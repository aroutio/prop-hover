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0" yWindow="0" windowWidth="28800" windowHeight="124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AE44" i="35" l="1"/>
  <c r="H115" i="35" l="1"/>
  <c r="AB42" i="35"/>
  <c r="AF44" i="35"/>
  <c r="AG44" i="35" s="1"/>
  <c r="AD44" i="35"/>
  <c r="AC44" i="35"/>
  <c r="Y3" i="35"/>
  <c r="Y4" i="35"/>
  <c r="Y5" i="35"/>
  <c r="Y6" i="35"/>
  <c r="Y7" i="35"/>
  <c r="Y8" i="35"/>
  <c r="Y9" i="35"/>
  <c r="Y10" i="35"/>
  <c r="Y11" i="35"/>
  <c r="Y12" i="35"/>
  <c r="Y13" i="35"/>
  <c r="Y14" i="35"/>
  <c r="Y15" i="35"/>
  <c r="Y16" i="35"/>
  <c r="Y17" i="35"/>
  <c r="Y18" i="35"/>
  <c r="Y19" i="35"/>
  <c r="Y20" i="35"/>
  <c r="Y21" i="35"/>
  <c r="Y22" i="35"/>
  <c r="Y23" i="35"/>
  <c r="Y24" i="35"/>
  <c r="Y25" i="35"/>
  <c r="Y26" i="35"/>
  <c r="Y27" i="35"/>
  <c r="Y28" i="35"/>
  <c r="Y29" i="35"/>
  <c r="Y30" i="35"/>
  <c r="Y31" i="35"/>
  <c r="Y32" i="35"/>
  <c r="Y33" i="35"/>
  <c r="Y34" i="35"/>
  <c r="Y35" i="35"/>
  <c r="Y36" i="35"/>
  <c r="Y37" i="35"/>
  <c r="Y38" i="35"/>
  <c r="Y39" i="35"/>
  <c r="Y40" i="35"/>
  <c r="Y41" i="35"/>
  <c r="Y42" i="35"/>
  <c r="Y43" i="35"/>
  <c r="Y44" i="35"/>
  <c r="Y45" i="35"/>
  <c r="Y46" i="35"/>
  <c r="Y47" i="35"/>
  <c r="Y48" i="35"/>
  <c r="Y49" i="35"/>
  <c r="Y50" i="35"/>
  <c r="Y51" i="35"/>
  <c r="Y52" i="35"/>
  <c r="Y53" i="35"/>
  <c r="Y54" i="35"/>
  <c r="Y55" i="35"/>
  <c r="Y56" i="35"/>
  <c r="Y57" i="35"/>
  <c r="Y58" i="35"/>
  <c r="Y59" i="35"/>
  <c r="Y60" i="35"/>
  <c r="Y61" i="35"/>
  <c r="Y62" i="35"/>
  <c r="Y63" i="35"/>
  <c r="Y64" i="35"/>
  <c r="Y65" i="35"/>
  <c r="Y66" i="35"/>
  <c r="Y67" i="35"/>
  <c r="Y68" i="35"/>
  <c r="Y69" i="35"/>
  <c r="Y70" i="35"/>
  <c r="Y71" i="35"/>
  <c r="Y72" i="35"/>
  <c r="Y73" i="35"/>
  <c r="Y74" i="35"/>
  <c r="Y75" i="35"/>
  <c r="Y76" i="35"/>
  <c r="Y77" i="35"/>
  <c r="Y78" i="35"/>
  <c r="Y79" i="35"/>
  <c r="Y80" i="35"/>
  <c r="Y81" i="35"/>
  <c r="Y82" i="35"/>
  <c r="Y83" i="35"/>
  <c r="Y84" i="35"/>
  <c r="Y85" i="35"/>
  <c r="Y86" i="35"/>
  <c r="Y87" i="35"/>
  <c r="Y88" i="35"/>
  <c r="Y89" i="35"/>
  <c r="Y90" i="35"/>
  <c r="Y91" i="35"/>
  <c r="Y92" i="35"/>
  <c r="Y93" i="35"/>
  <c r="Y94" i="35"/>
  <c r="Y95" i="35"/>
  <c r="Y96" i="35"/>
  <c r="Y97" i="35"/>
  <c r="Y98" i="35"/>
  <c r="Y99" i="35"/>
  <c r="Y100" i="35"/>
  <c r="Y101" i="35"/>
  <c r="Y102" i="35"/>
  <c r="Y103" i="35"/>
  <c r="Y104" i="35"/>
  <c r="Y105" i="35"/>
  <c r="Y106" i="35"/>
  <c r="Y107" i="35"/>
  <c r="Y108" i="35"/>
  <c r="Y109" i="35"/>
  <c r="Y110" i="35"/>
  <c r="Y111" i="35"/>
  <c r="Y112" i="35"/>
  <c r="Y113" i="35"/>
  <c r="Y114" i="35"/>
  <c r="Y115" i="35"/>
  <c r="Y116" i="35"/>
  <c r="Y117" i="35"/>
  <c r="Y118" i="35"/>
  <c r="Y119" i="35"/>
  <c r="Y120" i="35"/>
  <c r="Y121" i="35"/>
  <c r="Y122" i="35"/>
  <c r="Y123" i="35"/>
  <c r="Y124" i="35"/>
  <c r="Y125" i="35"/>
  <c r="Y126" i="35"/>
  <c r="Y127" i="35"/>
  <c r="Y128" i="35"/>
  <c r="Y129" i="35"/>
  <c r="Y130" i="35"/>
  <c r="Y131" i="35"/>
  <c r="Y132" i="35"/>
  <c r="Y133" i="35"/>
  <c r="Y134" i="35"/>
  <c r="Y135" i="35"/>
  <c r="Y136" i="35"/>
  <c r="Y137" i="35"/>
  <c r="Y138" i="35"/>
  <c r="Y139" i="35"/>
  <c r="Y140" i="35"/>
  <c r="Y141" i="35"/>
  <c r="Y142" i="35"/>
  <c r="Y143" i="35"/>
  <c r="Y144" i="35"/>
  <c r="Y145" i="35"/>
  <c r="Y146" i="35"/>
  <c r="Y147" i="35"/>
  <c r="Y148" i="35"/>
  <c r="Y149" i="35"/>
  <c r="Y150" i="35"/>
  <c r="Y151" i="35"/>
  <c r="Y152" i="35"/>
  <c r="Y153" i="35"/>
  <c r="Y154" i="35"/>
  <c r="Y155" i="35"/>
  <c r="Y156" i="35"/>
  <c r="Y157" i="35"/>
  <c r="Y158" i="35"/>
  <c r="Y159" i="35"/>
  <c r="Y160" i="35"/>
  <c r="Y161" i="35"/>
  <c r="Y162" i="35"/>
  <c r="Y163" i="35"/>
  <c r="Y164" i="35"/>
  <c r="Y165" i="35"/>
  <c r="Y166" i="35"/>
  <c r="Y167" i="35"/>
  <c r="Y168" i="35"/>
  <c r="Y169" i="35"/>
  <c r="Y170" i="35"/>
  <c r="Y171" i="35"/>
  <c r="Y172" i="35"/>
  <c r="Y173" i="35"/>
  <c r="Y174" i="35"/>
  <c r="Y175" i="35"/>
  <c r="Y176" i="35"/>
  <c r="Y177" i="35"/>
  <c r="Y178" i="35"/>
  <c r="Y179" i="35"/>
  <c r="Y180" i="35"/>
  <c r="Y181" i="35"/>
  <c r="Y182" i="35"/>
  <c r="Y183" i="35"/>
  <c r="Y184" i="35"/>
  <c r="Y185" i="35"/>
  <c r="Y186" i="35"/>
  <c r="Y187" i="35"/>
  <c r="Y188" i="35"/>
  <c r="Y189" i="35"/>
  <c r="Y190" i="35"/>
  <c r="Y191" i="35"/>
  <c r="Y192" i="35"/>
  <c r="Y193" i="35"/>
  <c r="Y194" i="35"/>
  <c r="Y195" i="35"/>
  <c r="Y196" i="35"/>
  <c r="Y197" i="35"/>
  <c r="Y198" i="35"/>
  <c r="Y199" i="35"/>
  <c r="Y200" i="35"/>
  <c r="Y201" i="35"/>
  <c r="Y202" i="35"/>
  <c r="Y203" i="35"/>
  <c r="Y204" i="35"/>
  <c r="Y205" i="35"/>
  <c r="Y206" i="35"/>
  <c r="Y207" i="35"/>
  <c r="Y208" i="35"/>
  <c r="Y209" i="35"/>
  <c r="Y210" i="35"/>
  <c r="Y211" i="35"/>
  <c r="Y212" i="35"/>
  <c r="Y213" i="35"/>
  <c r="Y214" i="35"/>
  <c r="Y215" i="35"/>
  <c r="Y216" i="35"/>
  <c r="Y217" i="35"/>
  <c r="Y218" i="35"/>
  <c r="Y219" i="35"/>
  <c r="Y220" i="35"/>
  <c r="Y221" i="35"/>
  <c r="Y222" i="35"/>
  <c r="Y223" i="35"/>
  <c r="Y224" i="35"/>
  <c r="Y225" i="35"/>
  <c r="Y226" i="35"/>
  <c r="Y227" i="35"/>
  <c r="Y228" i="35"/>
  <c r="Y229" i="35"/>
  <c r="Y230" i="35"/>
  <c r="Y231" i="35"/>
  <c r="Y232" i="35"/>
  <c r="Y233" i="35"/>
  <c r="Y234" i="35"/>
  <c r="Y235" i="35"/>
  <c r="Y236" i="35"/>
  <c r="Y237" i="35"/>
  <c r="Y238" i="35"/>
  <c r="Y239" i="35"/>
  <c r="Y240" i="35"/>
  <c r="Y241" i="35"/>
  <c r="Y242" i="35"/>
  <c r="Y243" i="35"/>
  <c r="Y244" i="35"/>
  <c r="Y245" i="35"/>
  <c r="Y246" i="35"/>
  <c r="Y247" i="35"/>
  <c r="Y248" i="35"/>
  <c r="Y249" i="35"/>
  <c r="Y250" i="35"/>
  <c r="Y251" i="35"/>
  <c r="Y252" i="35"/>
  <c r="Y253" i="35"/>
  <c r="Y254" i="35"/>
  <c r="Y255" i="35"/>
  <c r="Y256" i="35"/>
  <c r="Y257" i="35"/>
  <c r="Y258" i="35"/>
  <c r="Y259" i="35"/>
  <c r="Y260" i="35"/>
  <c r="Y261" i="35"/>
  <c r="Y262" i="35"/>
  <c r="Y263" i="35"/>
  <c r="Y264" i="35"/>
  <c r="Y265" i="35"/>
  <c r="Y266" i="35"/>
  <c r="Y267" i="35"/>
  <c r="Y268" i="35"/>
  <c r="Y269" i="35"/>
  <c r="Y270" i="35"/>
  <c r="Y271" i="35"/>
  <c r="Y272" i="35"/>
  <c r="Y273" i="35"/>
  <c r="Y274" i="35"/>
  <c r="Y275" i="35"/>
  <c r="Y276" i="35"/>
  <c r="Y277" i="35"/>
  <c r="Y278" i="35"/>
  <c r="Y279" i="35"/>
  <c r="Y280" i="35"/>
  <c r="Y281" i="35"/>
  <c r="Y282" i="35"/>
  <c r="Y283" i="35"/>
  <c r="Y284" i="35"/>
  <c r="Y285" i="35"/>
  <c r="Y286" i="35"/>
  <c r="Y287" i="35"/>
  <c r="Y288" i="35"/>
  <c r="Y289" i="35"/>
  <c r="Y290" i="35"/>
  <c r="Y291" i="35"/>
  <c r="Y292" i="35"/>
  <c r="Y293" i="35"/>
  <c r="Y294" i="35"/>
  <c r="Y295" i="35"/>
  <c r="Y296" i="35"/>
  <c r="Y297" i="35"/>
  <c r="Y298" i="35"/>
  <c r="Y299" i="35"/>
  <c r="Y300" i="35"/>
  <c r="Y301" i="35"/>
  <c r="Y302" i="35"/>
  <c r="Y303" i="35"/>
  <c r="Y304" i="35"/>
  <c r="Y305" i="35"/>
  <c r="Y306" i="35"/>
  <c r="Y307" i="35"/>
  <c r="Y308" i="35"/>
  <c r="Y309" i="35"/>
  <c r="Y310" i="35"/>
  <c r="Y311" i="35"/>
  <c r="Y312" i="35"/>
  <c r="Y313" i="35"/>
  <c r="Y314" i="35"/>
  <c r="Y315" i="35"/>
  <c r="Y316" i="35"/>
  <c r="Y317" i="35"/>
  <c r="Y318" i="35"/>
  <c r="Y319" i="35"/>
  <c r="Y320" i="35"/>
  <c r="Y321" i="35"/>
  <c r="Y322" i="35"/>
  <c r="Y323" i="35"/>
  <c r="Y324" i="35"/>
  <c r="Y325" i="35"/>
  <c r="Y326" i="35"/>
  <c r="Y327" i="35"/>
  <c r="Y328" i="35"/>
  <c r="Y329" i="35"/>
  <c r="Y330" i="35"/>
  <c r="Y331" i="35"/>
  <c r="Y332" i="35"/>
  <c r="Y333" i="35"/>
  <c r="Y334" i="35"/>
  <c r="Y335" i="35"/>
  <c r="Y336" i="35"/>
  <c r="Y337" i="35"/>
  <c r="Y338" i="35"/>
  <c r="Y339" i="35"/>
  <c r="Y340" i="35"/>
  <c r="Y341" i="35"/>
  <c r="Y342" i="35"/>
  <c r="Y343" i="35"/>
  <c r="Y344" i="35"/>
  <c r="Y345" i="35"/>
  <c r="Y346" i="35"/>
  <c r="Y347" i="35"/>
  <c r="Y348" i="35"/>
  <c r="Y349" i="35"/>
  <c r="Y350" i="35"/>
  <c r="Y351" i="35"/>
  <c r="Y352" i="35"/>
  <c r="Y353" i="35"/>
  <c r="Y354" i="35"/>
  <c r="Y355" i="35"/>
  <c r="Y356" i="35"/>
  <c r="Y357" i="35"/>
  <c r="Y358" i="35"/>
  <c r="Y359" i="35"/>
  <c r="Y360" i="35"/>
  <c r="Y361" i="35"/>
  <c r="Y362" i="35"/>
  <c r="Y363" i="35"/>
  <c r="Y364" i="35"/>
  <c r="Y365" i="35"/>
  <c r="Y366" i="35"/>
  <c r="Y367" i="35"/>
  <c r="Y368" i="35"/>
  <c r="Y369" i="35"/>
  <c r="Y370" i="35"/>
  <c r="Y371" i="35"/>
  <c r="Y372" i="35"/>
  <c r="Y373" i="35"/>
  <c r="Y374" i="35"/>
  <c r="Y375" i="35"/>
  <c r="Y376" i="35"/>
  <c r="Y377" i="35"/>
  <c r="Y378" i="35"/>
  <c r="Y379" i="35"/>
  <c r="Y380" i="35"/>
  <c r="Y381" i="35"/>
  <c r="Y382" i="35"/>
  <c r="Y383" i="35"/>
  <c r="Y384" i="35"/>
  <c r="Y385" i="35"/>
  <c r="Y386" i="35"/>
  <c r="Y387" i="35"/>
  <c r="Y388" i="35"/>
  <c r="Y389" i="35"/>
  <c r="Y390" i="35"/>
  <c r="Y391" i="35"/>
  <c r="Y392" i="35"/>
  <c r="Y393" i="35"/>
  <c r="Y394" i="35"/>
  <c r="Y395" i="35"/>
  <c r="Y396" i="35"/>
  <c r="Y397" i="35"/>
  <c r="Y398" i="35"/>
  <c r="Y399" i="35"/>
  <c r="Y400" i="35"/>
  <c r="Y401" i="35"/>
  <c r="Y402" i="35"/>
  <c r="Y403" i="35"/>
  <c r="Y404" i="35"/>
  <c r="Y405" i="35"/>
  <c r="Y406" i="35"/>
  <c r="Y407" i="35"/>
  <c r="Y408" i="35"/>
  <c r="Y409" i="35"/>
  <c r="Y410" i="35"/>
  <c r="Y411" i="35"/>
  <c r="Y412" i="35"/>
  <c r="Y413" i="35"/>
  <c r="Y414" i="35"/>
  <c r="Y415" i="35"/>
  <c r="Y416" i="35"/>
  <c r="Y417" i="35"/>
  <c r="Y418" i="35"/>
  <c r="Y419" i="35"/>
  <c r="Y420" i="35"/>
  <c r="Y421" i="35"/>
  <c r="Y422" i="35"/>
  <c r="Y423" i="35"/>
  <c r="Y424" i="35"/>
  <c r="Y425" i="35"/>
  <c r="Y426" i="35"/>
  <c r="Y427" i="35"/>
  <c r="Y428" i="35"/>
  <c r="Y429" i="35"/>
  <c r="Y430" i="35"/>
  <c r="Y431" i="35"/>
  <c r="Y432" i="35"/>
  <c r="Y433" i="35"/>
  <c r="Y434" i="35"/>
  <c r="Y435" i="35"/>
  <c r="Y436" i="35"/>
  <c r="Y437" i="35"/>
  <c r="Y438" i="35"/>
  <c r="Y439" i="35"/>
  <c r="Y440" i="35"/>
  <c r="Y441" i="35"/>
  <c r="Y442" i="35"/>
  <c r="Y443" i="35"/>
  <c r="Y444" i="35"/>
  <c r="Y445" i="35"/>
  <c r="Y446" i="35"/>
  <c r="Y447" i="35"/>
  <c r="Y448" i="35"/>
  <c r="Y449" i="35"/>
  <c r="Y450" i="35"/>
  <c r="Y451" i="35"/>
  <c r="Y452" i="35"/>
  <c r="Y453" i="35"/>
  <c r="Y454" i="35"/>
  <c r="Y455" i="35"/>
  <c r="Y456" i="35"/>
  <c r="Y457" i="35"/>
  <c r="Y458" i="35"/>
  <c r="Y459" i="35"/>
  <c r="Y460" i="35"/>
  <c r="Y461" i="35"/>
  <c r="Y462" i="35"/>
  <c r="Y463" i="35"/>
  <c r="Y464" i="35"/>
  <c r="Y465" i="35"/>
  <c r="Y466" i="35"/>
  <c r="Y467" i="35"/>
  <c r="Y468" i="35"/>
  <c r="Y469" i="35"/>
  <c r="Y470" i="35"/>
  <c r="Y471" i="35"/>
  <c r="Y472" i="35"/>
  <c r="Y473" i="35"/>
  <c r="Y474" i="35"/>
  <c r="Y475" i="35"/>
  <c r="Y476" i="35"/>
  <c r="Y477" i="35"/>
  <c r="Y478" i="35"/>
  <c r="Y479" i="35"/>
  <c r="Y480" i="35"/>
  <c r="Y481" i="35"/>
  <c r="Y482" i="35"/>
  <c r="Y483" i="35"/>
  <c r="Y484" i="35"/>
  <c r="Y485" i="35"/>
  <c r="Y486" i="35"/>
  <c r="Y487" i="35"/>
  <c r="Y488" i="35"/>
  <c r="Y489" i="35"/>
  <c r="Y490" i="35"/>
  <c r="Y491" i="35"/>
  <c r="Y492" i="35"/>
  <c r="Y493" i="35"/>
  <c r="Y494" i="35"/>
  <c r="Y495" i="35"/>
  <c r="Y496" i="35"/>
  <c r="Y497" i="35"/>
  <c r="Y498" i="35"/>
  <c r="Y499" i="35"/>
  <c r="Y500" i="35"/>
  <c r="Y501" i="35"/>
  <c r="Y502" i="35"/>
  <c r="Y503" i="35"/>
  <c r="Y504" i="35"/>
  <c r="Y505" i="35"/>
  <c r="Y506" i="35"/>
  <c r="Y507" i="35"/>
  <c r="Y508" i="35"/>
  <c r="Y509" i="35"/>
  <c r="Y510" i="35"/>
  <c r="Y511" i="35"/>
  <c r="Y512" i="35"/>
  <c r="Y513" i="35"/>
  <c r="Y514" i="35"/>
  <c r="Y515" i="35"/>
  <c r="Y516" i="35"/>
  <c r="Y517" i="35"/>
  <c r="Y518" i="35"/>
  <c r="Y519" i="35"/>
  <c r="Y520" i="35"/>
  <c r="Y521" i="35"/>
  <c r="Y522" i="35"/>
  <c r="Y523" i="35"/>
  <c r="Y524" i="35"/>
  <c r="Y525" i="35"/>
  <c r="Y526" i="35"/>
  <c r="Y527" i="35"/>
  <c r="Y528" i="35"/>
  <c r="Y529" i="35"/>
  <c r="Y530" i="35"/>
  <c r="Y531" i="35"/>
  <c r="Y532" i="35"/>
  <c r="Y533" i="35"/>
  <c r="Y534" i="35"/>
  <c r="Y535" i="35"/>
  <c r="Y536" i="35"/>
  <c r="Y537" i="35"/>
  <c r="Y538" i="35"/>
  <c r="Y539" i="35"/>
  <c r="Y540" i="35"/>
  <c r="Y541" i="35"/>
  <c r="Y542" i="35"/>
  <c r="Y543" i="35"/>
  <c r="Y544" i="35"/>
  <c r="Y545" i="35"/>
  <c r="Y546" i="35"/>
  <c r="Y547" i="35"/>
  <c r="Y548" i="35"/>
  <c r="Y549" i="35"/>
  <c r="Y550" i="35"/>
  <c r="Y551" i="35"/>
  <c r="Y552" i="35"/>
  <c r="Y553" i="35"/>
  <c r="Y554" i="35"/>
  <c r="Y555" i="35"/>
  <c r="Y556" i="35"/>
  <c r="Y557" i="35"/>
  <c r="Y558" i="35"/>
  <c r="Y559" i="35"/>
  <c r="Y560" i="35"/>
  <c r="Y561" i="35"/>
  <c r="Y562" i="35"/>
  <c r="Y563" i="35"/>
  <c r="Y564" i="35"/>
  <c r="Y565" i="35"/>
  <c r="Y566" i="35"/>
  <c r="Y567" i="35"/>
  <c r="Y568" i="35"/>
  <c r="Y569" i="35"/>
  <c r="Y570" i="35"/>
  <c r="Y571" i="35"/>
  <c r="Y572" i="35"/>
  <c r="Y573" i="35"/>
  <c r="Y574" i="35"/>
  <c r="Y575" i="35"/>
  <c r="Y576" i="35"/>
  <c r="Y577" i="35"/>
  <c r="Y578" i="35"/>
  <c r="Y579" i="35"/>
  <c r="Y580" i="35"/>
  <c r="Y581" i="35"/>
  <c r="Y582" i="35"/>
  <c r="Y583" i="35"/>
  <c r="Y584" i="35"/>
  <c r="Y585" i="35"/>
  <c r="Y586" i="35"/>
  <c r="Y587" i="35"/>
  <c r="Y588" i="35"/>
  <c r="Y589" i="35"/>
  <c r="Y590" i="35"/>
  <c r="Y591" i="35"/>
  <c r="Y592" i="35"/>
  <c r="Y593" i="35"/>
  <c r="Y594" i="35"/>
  <c r="Y595" i="35"/>
  <c r="Y596" i="35"/>
  <c r="Y597" i="35"/>
  <c r="Y598" i="35"/>
  <c r="Y599" i="35"/>
  <c r="Y600" i="35"/>
  <c r="Y601" i="35"/>
  <c r="Y602" i="35"/>
  <c r="Y603" i="35"/>
  <c r="Y604" i="35"/>
  <c r="Y605" i="35"/>
  <c r="Y606" i="35"/>
  <c r="Y607" i="35"/>
  <c r="Y608" i="35"/>
  <c r="Y609" i="35"/>
  <c r="Y610" i="35"/>
  <c r="Y611" i="35"/>
  <c r="Y612" i="35"/>
  <c r="Y613" i="35"/>
  <c r="Y614" i="35"/>
  <c r="Y615" i="35"/>
  <c r="Y616" i="35"/>
  <c r="Y617" i="35"/>
  <c r="Y618" i="35"/>
  <c r="Y619" i="35"/>
  <c r="Y620" i="35"/>
  <c r="Y621" i="35"/>
  <c r="Y622" i="35"/>
  <c r="Y623" i="35"/>
  <c r="Y624" i="35"/>
  <c r="Y625" i="35"/>
  <c r="Y626" i="35"/>
  <c r="Y627" i="35"/>
  <c r="Y628" i="35"/>
  <c r="Y629" i="35"/>
  <c r="Y630" i="35"/>
  <c r="Y631" i="35"/>
  <c r="Y632" i="35"/>
  <c r="Y633" i="35"/>
  <c r="Y634" i="35"/>
  <c r="Y635" i="35"/>
  <c r="Y636" i="35"/>
  <c r="Y637" i="35"/>
  <c r="Y638" i="35"/>
  <c r="Y639" i="35"/>
  <c r="Y640" i="35"/>
  <c r="Y641" i="35"/>
  <c r="Y642" i="35"/>
  <c r="Y643" i="35"/>
  <c r="Y644" i="35"/>
  <c r="Y645" i="35"/>
  <c r="Y646" i="35"/>
  <c r="Y647" i="35"/>
  <c r="Y648" i="35"/>
  <c r="Y649" i="35"/>
  <c r="Y650" i="35"/>
  <c r="Y651" i="35"/>
  <c r="Y652" i="35"/>
  <c r="Y653" i="35"/>
  <c r="Y654" i="35"/>
  <c r="Y655" i="35"/>
  <c r="Y656" i="35"/>
  <c r="Y657" i="35"/>
  <c r="Y658" i="35"/>
  <c r="Y659" i="35"/>
  <c r="Y660" i="35"/>
  <c r="Y661" i="35"/>
  <c r="Y662" i="35"/>
  <c r="Y663" i="35"/>
  <c r="Y664" i="35"/>
  <c r="Y665" i="35"/>
  <c r="Y666" i="35"/>
  <c r="Y667" i="35"/>
  <c r="Y668" i="35"/>
  <c r="Y669" i="35"/>
  <c r="Y670" i="35"/>
  <c r="Y671" i="35"/>
  <c r="Y672" i="35"/>
  <c r="Y673" i="35"/>
  <c r="Y674" i="35"/>
  <c r="Y675" i="35"/>
  <c r="Y676" i="35"/>
  <c r="Y677" i="35"/>
  <c r="Y678" i="35"/>
  <c r="Y679" i="35"/>
  <c r="Y680" i="35"/>
  <c r="Y681" i="35"/>
  <c r="Y682" i="35"/>
  <c r="Y683" i="35"/>
  <c r="Y684" i="35"/>
  <c r="Y685" i="35"/>
  <c r="Y686" i="35"/>
  <c r="Y687" i="35"/>
  <c r="Y688" i="35"/>
  <c r="Y689" i="35"/>
  <c r="Y690" i="35"/>
  <c r="Y691" i="35"/>
  <c r="Y692" i="35"/>
  <c r="Y693" i="35"/>
  <c r="Y694" i="35"/>
  <c r="Y695" i="35"/>
  <c r="Y696" i="35"/>
  <c r="Y697" i="35"/>
  <c r="Y698" i="35"/>
  <c r="Y699" i="35"/>
  <c r="Y700" i="35"/>
  <c r="Y701" i="35"/>
  <c r="Y702" i="35"/>
  <c r="Y703" i="35"/>
  <c r="Y704" i="35"/>
  <c r="Y705" i="35"/>
  <c r="Y706" i="35"/>
  <c r="Y707" i="35"/>
  <c r="Y708" i="35"/>
  <c r="Y709" i="35"/>
  <c r="Y710" i="35"/>
  <c r="Y711" i="35"/>
  <c r="Y712" i="35"/>
  <c r="Y713" i="35"/>
  <c r="Y714" i="35"/>
  <c r="Y715" i="35"/>
  <c r="Y716" i="35"/>
  <c r="Y717" i="35"/>
  <c r="Y718" i="35"/>
  <c r="Y719" i="35"/>
  <c r="Y720" i="35"/>
  <c r="Y721" i="35"/>
  <c r="Y722" i="35"/>
  <c r="Y723" i="35"/>
  <c r="Y724" i="35"/>
  <c r="Y725" i="35"/>
  <c r="Y726" i="35"/>
  <c r="Y727" i="35"/>
  <c r="Y728" i="35"/>
  <c r="Y729" i="35"/>
  <c r="Y730" i="35"/>
  <c r="Y731" i="35"/>
  <c r="Y732" i="35"/>
  <c r="Y733" i="35"/>
  <c r="Y734" i="35"/>
  <c r="Y735" i="35"/>
  <c r="Y736" i="35"/>
  <c r="Y737" i="35"/>
  <c r="Y738" i="35"/>
  <c r="Y739" i="35"/>
  <c r="Y740" i="35"/>
  <c r="Y741" i="35"/>
  <c r="Y742" i="35"/>
  <c r="Y743" i="35"/>
  <c r="Y744" i="35"/>
  <c r="Y745" i="35"/>
  <c r="Y746" i="35"/>
  <c r="Y747" i="35"/>
  <c r="Y748" i="35"/>
  <c r="Y749" i="35"/>
  <c r="Y750" i="35"/>
  <c r="Y751" i="35"/>
  <c r="Y752" i="35"/>
  <c r="Y753" i="35"/>
  <c r="Y754" i="35"/>
  <c r="Y755" i="35"/>
  <c r="Y756" i="35"/>
  <c r="Y757" i="35"/>
  <c r="Y758" i="35"/>
  <c r="Y759" i="35"/>
  <c r="Y760" i="35"/>
  <c r="Y761" i="35"/>
  <c r="Y762" i="35"/>
  <c r="Y763" i="35"/>
  <c r="Y764" i="35"/>
  <c r="Y765" i="35"/>
  <c r="Y766" i="35"/>
  <c r="Y767" i="35"/>
  <c r="Y768" i="35"/>
  <c r="Y769" i="35"/>
  <c r="Y770" i="35"/>
  <c r="Y771" i="35"/>
  <c r="Y772" i="35"/>
  <c r="Y773" i="35"/>
  <c r="Y774" i="35"/>
  <c r="Y775" i="35"/>
  <c r="Y776" i="35"/>
  <c r="Y777" i="35"/>
  <c r="Y778" i="35"/>
  <c r="Y779" i="35"/>
  <c r="Y780" i="35"/>
  <c r="Y781" i="35"/>
  <c r="Y782" i="35"/>
  <c r="Y783" i="35"/>
  <c r="Y784" i="35"/>
  <c r="Y785" i="35"/>
  <c r="Y786" i="35"/>
  <c r="Y787" i="35"/>
  <c r="Y788" i="35"/>
  <c r="Y789" i="35"/>
  <c r="Y790" i="35"/>
  <c r="Y791" i="35"/>
  <c r="Y792" i="35"/>
  <c r="Y793" i="35"/>
  <c r="Y794" i="35"/>
  <c r="Y795" i="35"/>
  <c r="Y796" i="35"/>
  <c r="Y797" i="35"/>
  <c r="Y798" i="35"/>
  <c r="Y799" i="35"/>
  <c r="Y800" i="35"/>
  <c r="Y801" i="35"/>
  <c r="Y802" i="35"/>
  <c r="Y803" i="35"/>
  <c r="Y804" i="35"/>
  <c r="Y805" i="35"/>
  <c r="Y806" i="35"/>
  <c r="Y807" i="35"/>
  <c r="Y808" i="35"/>
  <c r="Y809" i="35"/>
  <c r="Y810" i="35"/>
  <c r="Y811" i="35"/>
  <c r="Y812" i="35"/>
  <c r="Y813" i="35"/>
  <c r="Y814" i="35"/>
  <c r="Y815" i="35"/>
  <c r="Y816" i="35"/>
  <c r="Y817" i="35"/>
  <c r="Y818" i="35"/>
  <c r="Y819" i="35"/>
  <c r="Y820" i="35"/>
  <c r="Y821" i="35"/>
  <c r="Y822" i="35"/>
  <c r="Y823" i="35"/>
  <c r="Y824" i="35"/>
  <c r="Y825" i="35"/>
  <c r="Y826" i="35"/>
  <c r="Y827" i="35"/>
  <c r="Y828" i="35"/>
  <c r="Y829" i="35"/>
  <c r="Y830" i="35"/>
  <c r="Y831" i="35"/>
  <c r="Y832" i="35"/>
  <c r="Y833" i="35"/>
  <c r="Y834" i="35"/>
  <c r="Y835" i="35"/>
  <c r="Y836" i="35"/>
  <c r="Y837" i="35"/>
  <c r="Y838" i="35"/>
  <c r="Y839" i="35"/>
  <c r="Y840" i="35"/>
  <c r="Y841" i="35"/>
  <c r="Y842" i="35"/>
  <c r="Y843" i="35"/>
  <c r="Y844" i="35"/>
  <c r="Y845" i="35"/>
  <c r="Y846" i="35"/>
  <c r="Y847" i="35"/>
  <c r="Y848" i="35"/>
  <c r="Y849" i="35"/>
  <c r="Y850" i="35"/>
  <c r="Y851" i="35"/>
  <c r="Y852" i="35"/>
  <c r="Y853" i="35"/>
  <c r="Y854" i="35"/>
  <c r="Y855" i="35"/>
  <c r="Y856" i="35"/>
  <c r="Y857" i="35"/>
  <c r="Y858" i="35"/>
  <c r="Y859" i="35"/>
  <c r="Y860" i="35"/>
  <c r="Y861" i="35"/>
  <c r="Y862" i="35"/>
  <c r="Y863" i="35"/>
  <c r="Y864" i="35"/>
  <c r="Y865" i="35"/>
  <c r="Y866" i="35"/>
  <c r="Y867" i="35"/>
  <c r="Y868" i="35"/>
  <c r="Y869" i="35"/>
  <c r="Y870" i="35"/>
  <c r="Y871" i="35"/>
  <c r="Y872" i="35"/>
  <c r="Y873" i="35"/>
  <c r="Y874" i="35"/>
  <c r="Y875" i="35"/>
  <c r="Y876" i="35"/>
  <c r="Y877" i="35"/>
  <c r="Y878" i="35"/>
  <c r="Y879" i="35"/>
  <c r="Y880" i="35"/>
  <c r="Y881" i="35"/>
  <c r="Y882" i="35"/>
  <c r="Y883" i="35"/>
  <c r="Y884" i="35"/>
  <c r="Y885" i="35"/>
  <c r="Y886" i="35"/>
  <c r="Y887" i="35"/>
  <c r="Y888" i="35"/>
  <c r="Y889" i="35"/>
  <c r="Y890" i="35"/>
  <c r="Y891" i="35"/>
  <c r="Y892" i="35"/>
  <c r="Y893" i="35"/>
  <c r="Y894" i="35"/>
  <c r="Y895" i="35"/>
  <c r="Y896" i="35"/>
  <c r="Y897" i="35"/>
  <c r="Y898" i="35"/>
  <c r="Y899" i="35"/>
  <c r="Y900" i="35"/>
  <c r="Y901" i="35"/>
  <c r="Y902" i="35"/>
  <c r="Y903" i="35"/>
  <c r="Y904" i="35"/>
  <c r="Y905" i="35"/>
  <c r="Y906" i="35"/>
  <c r="Y907" i="35"/>
  <c r="Y908" i="35"/>
  <c r="Y909" i="35"/>
  <c r="Y910" i="35"/>
  <c r="Y911" i="35"/>
  <c r="Y912" i="35"/>
  <c r="Y913" i="35"/>
  <c r="Y914" i="35"/>
  <c r="Y915" i="35"/>
  <c r="Y916" i="35"/>
  <c r="Y917" i="35"/>
  <c r="Y918" i="35"/>
  <c r="Y919" i="35"/>
  <c r="Y920" i="35"/>
  <c r="Y921" i="35"/>
  <c r="Y922" i="35"/>
  <c r="Y923" i="35"/>
  <c r="Y924" i="35"/>
  <c r="Y925" i="35"/>
  <c r="Y926" i="35"/>
  <c r="Y927" i="35"/>
  <c r="Y928" i="35"/>
  <c r="Y929" i="35"/>
  <c r="Y930" i="35"/>
  <c r="Y931" i="35"/>
  <c r="Y932" i="35"/>
  <c r="Y933" i="35"/>
  <c r="Y934" i="35"/>
  <c r="Y935" i="35"/>
  <c r="Y936" i="35"/>
  <c r="Y937" i="35"/>
  <c r="Y938" i="35"/>
  <c r="Y939" i="35"/>
  <c r="Y940" i="35"/>
  <c r="Y941" i="35"/>
  <c r="Y942" i="35"/>
  <c r="Y943" i="35"/>
  <c r="Y944" i="35"/>
  <c r="Y945" i="35"/>
  <c r="Y946" i="35"/>
  <c r="Y947" i="35"/>
  <c r="Y948" i="35"/>
  <c r="Y949" i="35"/>
  <c r="Y950" i="35"/>
  <c r="Y951" i="35"/>
  <c r="Y952" i="35"/>
  <c r="Y953" i="35"/>
  <c r="Y954" i="35"/>
  <c r="Y955" i="35"/>
  <c r="Y956" i="35"/>
  <c r="Y957" i="35"/>
  <c r="Y958" i="35"/>
  <c r="Y959" i="35"/>
  <c r="Y960" i="35"/>
  <c r="Y961" i="35"/>
  <c r="Y962" i="35"/>
  <c r="Y963" i="35"/>
  <c r="Y964" i="35"/>
  <c r="Y965" i="35"/>
  <c r="Y966" i="35"/>
  <c r="Y967" i="35"/>
  <c r="Y968" i="35"/>
  <c r="Y969" i="35"/>
  <c r="Y970" i="35"/>
  <c r="Y971" i="35"/>
  <c r="Y972" i="35"/>
  <c r="Y973" i="35"/>
  <c r="Y974" i="35"/>
  <c r="Y975" i="35"/>
  <c r="Y976" i="35"/>
  <c r="Y977" i="35"/>
  <c r="Y978" i="35"/>
  <c r="Y979" i="35"/>
  <c r="Y980" i="35"/>
  <c r="Y981" i="35"/>
  <c r="Y982" i="35"/>
  <c r="Y983" i="35"/>
  <c r="Y984" i="35"/>
  <c r="Y985" i="35"/>
  <c r="Y986" i="35"/>
  <c r="Y987" i="35"/>
  <c r="Y988" i="35"/>
  <c r="Y989" i="35"/>
  <c r="Y990" i="35"/>
  <c r="Y991" i="35"/>
  <c r="Y992" i="35"/>
  <c r="Y993" i="35"/>
  <c r="Y994" i="35"/>
  <c r="Y995" i="35"/>
  <c r="Y996" i="35"/>
  <c r="Y997" i="35"/>
  <c r="Y998" i="35"/>
  <c r="Y999" i="35"/>
  <c r="Y1000" i="35"/>
  <c r="Y1001" i="35"/>
  <c r="Y1002" i="35"/>
  <c r="Y1003" i="35"/>
  <c r="Y1004" i="35"/>
  <c r="Y1005" i="35"/>
  <c r="Y1006" i="35"/>
  <c r="Y1007" i="35"/>
  <c r="Y1008" i="35"/>
  <c r="Y1009" i="35"/>
  <c r="Y1010" i="35"/>
  <c r="Y1011" i="35"/>
  <c r="Y1012" i="35"/>
  <c r="Y1013" i="35"/>
  <c r="Y1014" i="35"/>
  <c r="Y1015" i="35"/>
  <c r="Y1016" i="35"/>
  <c r="Y1017" i="35"/>
  <c r="Y1018" i="35"/>
  <c r="Y1019" i="35"/>
  <c r="Y1020" i="35"/>
  <c r="Y1021" i="35"/>
  <c r="Y1022" i="35"/>
  <c r="Y1023" i="35"/>
  <c r="Y1024" i="35"/>
  <c r="Y1025" i="35"/>
  <c r="Y1026" i="35"/>
  <c r="Y1027" i="35"/>
  <c r="Y1028" i="35"/>
  <c r="Y1029" i="35"/>
  <c r="Y1030" i="35"/>
  <c r="Y1031" i="35"/>
  <c r="Y1032" i="35"/>
  <c r="Y1033" i="35"/>
  <c r="Y1034" i="35"/>
  <c r="Y1035" i="35"/>
  <c r="Y1036" i="35"/>
  <c r="Y1037" i="35"/>
  <c r="Y1038" i="35"/>
  <c r="Y1039" i="35"/>
  <c r="Y1040" i="35"/>
  <c r="Y1041" i="35"/>
  <c r="Y1042" i="35"/>
  <c r="Y1043" i="35"/>
  <c r="Y1044" i="35"/>
  <c r="Y1045" i="35"/>
  <c r="Y1046" i="35"/>
  <c r="Y1047" i="35"/>
  <c r="Y1048" i="35"/>
  <c r="Y1049" i="35"/>
  <c r="Y1050" i="35"/>
  <c r="Y1051" i="35"/>
  <c r="Y1052" i="35"/>
  <c r="Y1053" i="35"/>
  <c r="Y1054" i="35"/>
  <c r="Y1055" i="35"/>
  <c r="Y1056" i="35"/>
  <c r="Y1057" i="35"/>
  <c r="Y1058" i="35"/>
  <c r="Y1059" i="35"/>
  <c r="Y1060" i="35"/>
  <c r="Y1061" i="35"/>
  <c r="Y1062" i="35"/>
  <c r="Y1063" i="35"/>
  <c r="Y1064" i="35"/>
  <c r="Y1065" i="35"/>
  <c r="Y1066" i="35"/>
  <c r="Y1067" i="35"/>
  <c r="Y1068" i="35"/>
  <c r="Y1069" i="35"/>
  <c r="Y1070" i="35"/>
  <c r="Y1071" i="35"/>
  <c r="Y1072" i="35"/>
  <c r="Y1073" i="35"/>
  <c r="Y1074" i="35"/>
  <c r="Y1075" i="35"/>
  <c r="Y1076" i="35"/>
  <c r="Y1077" i="35"/>
  <c r="Y1078" i="35"/>
  <c r="Y1079" i="35"/>
  <c r="Y1080" i="35"/>
  <c r="Y1081" i="35"/>
  <c r="Y1082" i="35"/>
  <c r="Y1083" i="35"/>
  <c r="Y1084" i="35"/>
  <c r="Y1085" i="35"/>
  <c r="Y1086" i="35"/>
  <c r="Y1087" i="35"/>
  <c r="Y1088" i="35"/>
  <c r="Y1089" i="35"/>
  <c r="Y1090" i="35"/>
  <c r="Y1091" i="35"/>
  <c r="Y1092" i="35"/>
  <c r="Y1093" i="35"/>
  <c r="Y1094" i="35"/>
  <c r="Y1095" i="35"/>
  <c r="Y1096" i="35"/>
  <c r="Y1097" i="35"/>
  <c r="Y1098" i="35"/>
  <c r="Y1099" i="35"/>
  <c r="Y1100" i="35"/>
  <c r="Y1101" i="35"/>
  <c r="Y1102" i="35"/>
  <c r="Y1103" i="35"/>
  <c r="Y1104" i="35"/>
  <c r="Y1105" i="35"/>
  <c r="Y1106" i="35"/>
  <c r="Y1107" i="35"/>
  <c r="Y1108" i="35"/>
  <c r="Y1109" i="35"/>
  <c r="Y1110" i="35"/>
  <c r="Y1111" i="35"/>
  <c r="Y1112" i="35"/>
  <c r="Y1113" i="35"/>
  <c r="Y1114" i="35"/>
  <c r="Y1115" i="35"/>
  <c r="Y1116" i="35"/>
  <c r="Y1117" i="35"/>
  <c r="Y1118" i="35"/>
  <c r="Y1119" i="35"/>
  <c r="Y1120" i="35"/>
  <c r="Y1121" i="35"/>
  <c r="Y1122" i="35"/>
  <c r="Y1123" i="35"/>
  <c r="Y1124" i="35"/>
  <c r="Y1125" i="35"/>
  <c r="Y1126" i="35"/>
  <c r="Y1127" i="35"/>
  <c r="Y1128" i="35"/>
  <c r="Y1129" i="35"/>
  <c r="Y1130" i="35"/>
  <c r="Y1131" i="35"/>
  <c r="Y1132" i="35"/>
  <c r="Y1133" i="35"/>
  <c r="Y1134" i="35"/>
  <c r="Y1135" i="35"/>
  <c r="Y1136" i="35"/>
  <c r="Y1137" i="35"/>
  <c r="Y1138" i="35"/>
  <c r="Y1139" i="35"/>
  <c r="Y1140" i="35"/>
  <c r="Y1141" i="35"/>
  <c r="Y1142" i="35"/>
  <c r="Y1143" i="35"/>
  <c r="Y1144" i="35"/>
  <c r="Y1145" i="35"/>
  <c r="Y1146" i="35"/>
  <c r="Y1147" i="35"/>
  <c r="Y1148" i="35"/>
  <c r="Y1149" i="35"/>
  <c r="Y1150" i="35"/>
  <c r="Y1151" i="35"/>
  <c r="Y1152" i="35"/>
  <c r="Y1153" i="35"/>
  <c r="Y1154" i="35"/>
  <c r="Y1155" i="35"/>
  <c r="Y1156" i="35"/>
  <c r="Y1157" i="35"/>
  <c r="Y1158" i="35"/>
  <c r="Y1159" i="35"/>
  <c r="Y1160" i="35"/>
  <c r="Y1161" i="35"/>
  <c r="Y1162" i="35"/>
  <c r="Y1163" i="35"/>
  <c r="Y1164" i="35"/>
  <c r="Y1165" i="35"/>
  <c r="Y1166" i="35"/>
  <c r="Y1167" i="35"/>
  <c r="Y1168" i="35"/>
  <c r="Y1169" i="35"/>
  <c r="Y1170" i="35"/>
  <c r="Y1171" i="35"/>
  <c r="Y1172" i="35"/>
  <c r="Y1173" i="35"/>
  <c r="Y1174" i="35"/>
  <c r="Y1175" i="35"/>
  <c r="Y1176" i="35"/>
  <c r="Y1177" i="35"/>
  <c r="Y1178" i="35"/>
  <c r="Y1179" i="35"/>
  <c r="Y1180" i="35"/>
  <c r="Y1181" i="35"/>
  <c r="Y1182" i="35"/>
  <c r="Y1183" i="35"/>
  <c r="Y1184" i="35"/>
  <c r="Y1185" i="35"/>
  <c r="Y1186" i="35"/>
  <c r="Y1187" i="35"/>
  <c r="Y1188" i="35"/>
  <c r="Y1189" i="35"/>
  <c r="Y1190" i="35"/>
  <c r="Y1191" i="35"/>
  <c r="Y1192" i="35"/>
  <c r="Y1193" i="35"/>
  <c r="Y1194" i="35"/>
  <c r="Y1195" i="35"/>
  <c r="Y1196" i="35"/>
  <c r="Y1197" i="35"/>
  <c r="Y1198" i="35"/>
  <c r="Y1199" i="35"/>
  <c r="Y1200" i="35"/>
  <c r="Y1201" i="35"/>
  <c r="Y1202" i="35"/>
  <c r="Y1203" i="35"/>
  <c r="Y1204" i="35"/>
  <c r="Y1205" i="35"/>
  <c r="Y1206" i="35"/>
  <c r="Y1207" i="35"/>
  <c r="Y1208" i="35"/>
  <c r="Y1209" i="35"/>
  <c r="Y1210" i="35"/>
  <c r="Y1211" i="35"/>
  <c r="Y1212" i="35"/>
  <c r="Y1213" i="35"/>
  <c r="Y1214" i="35"/>
  <c r="Y1215" i="35"/>
  <c r="Y1216" i="35"/>
  <c r="Y1217" i="35"/>
  <c r="Y1218" i="35"/>
  <c r="Y1219" i="35"/>
  <c r="Y1220" i="35"/>
  <c r="Y1221" i="35"/>
  <c r="Y1222" i="35"/>
  <c r="Y1223" i="35"/>
  <c r="Y1224" i="35"/>
  <c r="Y1225" i="35"/>
  <c r="Y1226" i="35"/>
  <c r="Y1227" i="35"/>
  <c r="Y1228" i="35"/>
  <c r="Y1229" i="35"/>
  <c r="Y1230" i="35"/>
  <c r="Y1231" i="35"/>
  <c r="Y1232" i="35"/>
  <c r="Y1233" i="35"/>
  <c r="Y1234" i="35"/>
  <c r="Y1235" i="35"/>
  <c r="Y1236" i="35"/>
  <c r="Y1237" i="35"/>
  <c r="Y1238" i="35"/>
  <c r="Y1239" i="35"/>
  <c r="Y1240" i="35"/>
  <c r="Y1241" i="35"/>
  <c r="Y1242" i="35"/>
  <c r="Y1243" i="35"/>
  <c r="Y1244" i="35"/>
  <c r="Y1245" i="35"/>
  <c r="Y1246" i="35"/>
  <c r="Y1247" i="35"/>
  <c r="Y1248" i="35"/>
  <c r="Y1249" i="35"/>
  <c r="Y1250" i="35"/>
  <c r="Y1251" i="35"/>
  <c r="Y1252" i="35"/>
  <c r="Y1253" i="35"/>
  <c r="Y1254" i="35"/>
  <c r="Y1255" i="35"/>
  <c r="Y1256" i="35"/>
  <c r="Y1257" i="35"/>
  <c r="Y1258" i="35"/>
  <c r="Y1259" i="35"/>
  <c r="Y1260" i="35"/>
  <c r="Y1261" i="35"/>
  <c r="Y1262" i="35"/>
  <c r="Y1263" i="35"/>
  <c r="Y1264" i="35"/>
  <c r="Y1265" i="35"/>
  <c r="Y1266" i="35"/>
  <c r="Y1267" i="35"/>
  <c r="Y1268" i="35"/>
  <c r="Y1269" i="35"/>
  <c r="Y1270" i="35"/>
  <c r="Y1271" i="35"/>
  <c r="Y1272" i="35"/>
  <c r="Y1273" i="35"/>
  <c r="Y1274" i="35"/>
  <c r="Y1275" i="35"/>
  <c r="Y1276" i="35"/>
  <c r="Y1277" i="35"/>
  <c r="Y1278" i="35"/>
  <c r="Y1279" i="35"/>
  <c r="Y1280" i="35"/>
  <c r="Y1281" i="35"/>
  <c r="Y1282" i="35"/>
  <c r="Y1283" i="35"/>
  <c r="Y1284" i="35"/>
  <c r="Y1285" i="35"/>
  <c r="Y1286" i="35"/>
  <c r="Y1287" i="35"/>
  <c r="Y1288" i="35"/>
  <c r="Y1289" i="35"/>
  <c r="Y1290" i="35"/>
  <c r="Y1291" i="35"/>
  <c r="Y1292" i="35"/>
  <c r="Y1293" i="35"/>
  <c r="Y1294" i="35"/>
  <c r="Y1295" i="35"/>
  <c r="Y1296" i="35"/>
  <c r="Y1297" i="35"/>
  <c r="Y1298" i="35"/>
  <c r="Y1299" i="35"/>
  <c r="Y1300" i="35"/>
  <c r="Y1301" i="35"/>
  <c r="Y1302" i="35"/>
  <c r="Y1303" i="35"/>
  <c r="Y1304" i="35"/>
  <c r="Y1305" i="35"/>
  <c r="Y1306" i="35"/>
  <c r="Y1307" i="35"/>
  <c r="Y1308" i="35"/>
  <c r="Y1309" i="35"/>
  <c r="Y1310" i="35"/>
  <c r="Y1311" i="35"/>
  <c r="Y1312" i="35"/>
  <c r="Y1313" i="35"/>
  <c r="Y1314" i="35"/>
  <c r="Y1315" i="35"/>
  <c r="Y1316" i="35"/>
  <c r="Y1317" i="35"/>
  <c r="Y1318" i="35"/>
  <c r="Y1319" i="35"/>
  <c r="Y1320" i="35"/>
  <c r="Y1321" i="35"/>
  <c r="Y1322" i="35"/>
  <c r="Y1323" i="35"/>
  <c r="Y1324" i="35"/>
  <c r="Y1325" i="35"/>
  <c r="Y1326" i="35"/>
  <c r="Y1327" i="35"/>
  <c r="Y1328" i="35"/>
  <c r="Y1329" i="35"/>
  <c r="Y1330" i="35"/>
  <c r="Y1331" i="35"/>
  <c r="Y1332" i="35"/>
  <c r="Y1333" i="35"/>
  <c r="Y1334" i="35"/>
  <c r="Y1335" i="35"/>
  <c r="Y1336" i="35"/>
  <c r="Y1337" i="35"/>
  <c r="Y1338" i="35"/>
  <c r="Y1339" i="35"/>
  <c r="Y1340" i="35"/>
  <c r="Y1341" i="35"/>
  <c r="Y1342" i="35"/>
  <c r="Y1343" i="35"/>
  <c r="Y1344" i="35"/>
  <c r="Y1345" i="35"/>
  <c r="Y1346" i="35"/>
  <c r="Y1347" i="35"/>
  <c r="Y1348" i="35"/>
  <c r="Y1349" i="35"/>
  <c r="Y1350" i="35"/>
  <c r="Y1351" i="35"/>
  <c r="Y1352" i="35"/>
  <c r="Y1353" i="35"/>
  <c r="Y1354" i="35"/>
  <c r="Y1355" i="35"/>
  <c r="Y1356" i="35"/>
  <c r="Y1357" i="35"/>
  <c r="Y1358" i="35"/>
  <c r="Y1359" i="35"/>
  <c r="Y1360" i="35"/>
  <c r="Y1361" i="35"/>
  <c r="Y1362" i="35"/>
  <c r="Y1363" i="35"/>
  <c r="Y1364" i="35"/>
  <c r="Y1365" i="35"/>
  <c r="Y1366" i="35"/>
  <c r="Y1367" i="35"/>
  <c r="Y1368" i="35"/>
  <c r="Y1369" i="35"/>
  <c r="Y1370" i="35"/>
  <c r="Y1371" i="35"/>
  <c r="Y1372" i="35"/>
  <c r="Y1373" i="35"/>
  <c r="Y1374" i="35"/>
  <c r="Y1375" i="35"/>
  <c r="Y1376" i="35"/>
  <c r="Y1377" i="35"/>
  <c r="Y1378" i="35"/>
  <c r="Y1379" i="35"/>
  <c r="Y1380" i="35"/>
  <c r="Y1381" i="35"/>
  <c r="Y1382" i="35"/>
  <c r="Y1383" i="35"/>
  <c r="Y1384" i="35"/>
  <c r="Y1385" i="35"/>
  <c r="Y1386" i="35"/>
  <c r="Y1387" i="35"/>
  <c r="Y1388" i="35"/>
  <c r="Y1389" i="35"/>
  <c r="Y1390" i="35"/>
  <c r="Y1391" i="35"/>
  <c r="Y1392" i="35"/>
  <c r="Y1393" i="35"/>
  <c r="Y1394" i="35"/>
  <c r="Y1395" i="35"/>
  <c r="Y1396" i="35"/>
  <c r="Y1397" i="35"/>
  <c r="Y1398" i="35"/>
  <c r="Y1399" i="35"/>
  <c r="Y1400" i="35"/>
  <c r="Y1401" i="35"/>
  <c r="Y1402" i="35"/>
  <c r="Y1403" i="35"/>
  <c r="Y1404" i="35"/>
  <c r="Y1405" i="35"/>
  <c r="Y1406" i="35"/>
  <c r="Y1407" i="35"/>
  <c r="Y1408" i="35"/>
  <c r="Y1409" i="35"/>
  <c r="Y1410" i="35"/>
  <c r="Y1411" i="35"/>
  <c r="Y1412" i="35"/>
  <c r="Y1413" i="35"/>
  <c r="Y1414" i="35"/>
  <c r="Y1415" i="35"/>
  <c r="Y1416" i="35"/>
  <c r="Y1417" i="35"/>
  <c r="Y1418" i="35"/>
  <c r="Y1419" i="35"/>
  <c r="Y1420" i="35"/>
  <c r="Y1421" i="35"/>
  <c r="Y1422" i="35"/>
  <c r="Y1423" i="35"/>
  <c r="Y1424" i="35"/>
  <c r="Y1425" i="35"/>
  <c r="Y1426" i="35"/>
  <c r="Y1427" i="35"/>
  <c r="Y1428" i="35"/>
  <c r="Y1429" i="35"/>
  <c r="Y1430" i="35"/>
  <c r="Y1431" i="35"/>
  <c r="Y1432" i="35"/>
  <c r="Y1433" i="35"/>
  <c r="Y1434" i="35"/>
  <c r="Y1435" i="35"/>
  <c r="Y1436" i="35"/>
  <c r="Y1437" i="35"/>
  <c r="Y1438" i="35"/>
  <c r="Y1439" i="35"/>
  <c r="Y1440" i="35"/>
  <c r="Y1441" i="35"/>
  <c r="Y1442" i="35"/>
  <c r="Y1443" i="35"/>
  <c r="Y1444" i="35"/>
  <c r="Y1445" i="35"/>
  <c r="Y1446" i="35"/>
  <c r="Y1447" i="35"/>
  <c r="Y1448" i="35"/>
  <c r="Y1449" i="35"/>
  <c r="Y1450" i="35"/>
  <c r="Y1451" i="35"/>
  <c r="Y1452" i="35"/>
  <c r="Y1453" i="35"/>
  <c r="Y1454" i="35"/>
  <c r="Y1455" i="35"/>
  <c r="Y1456" i="35"/>
  <c r="Y1457" i="35"/>
  <c r="Y1458" i="35"/>
  <c r="Y1459" i="35"/>
  <c r="Y1460" i="35"/>
  <c r="Y1461" i="35"/>
  <c r="Y1462" i="35"/>
  <c r="Y1463" i="35"/>
  <c r="Y1464" i="35"/>
  <c r="Y1465" i="35"/>
  <c r="Y1466" i="35"/>
  <c r="Y1467" i="35"/>
  <c r="Y1468" i="35"/>
  <c r="Y1469" i="35"/>
  <c r="Y1470" i="35"/>
  <c r="Y1471" i="35"/>
  <c r="Y1472" i="35"/>
  <c r="Y1473" i="35"/>
  <c r="Y1474" i="35"/>
  <c r="Y1475" i="35"/>
  <c r="Y1476" i="35"/>
  <c r="Y1477" i="35"/>
  <c r="Y1478" i="35"/>
  <c r="Y1479" i="35"/>
  <c r="Y1480" i="35"/>
  <c r="Y1481" i="35"/>
  <c r="Y1482" i="35"/>
  <c r="Y1483" i="35"/>
  <c r="Y1484" i="35"/>
  <c r="Y1485" i="35"/>
  <c r="Y1486" i="35"/>
  <c r="Y1487" i="35"/>
  <c r="Y1488" i="35"/>
  <c r="Y1489" i="35"/>
  <c r="Y1490" i="35"/>
  <c r="Y1491" i="35"/>
  <c r="Y1492" i="35"/>
  <c r="Y1493" i="35"/>
  <c r="Y1494" i="35"/>
  <c r="Y1495" i="35"/>
  <c r="Y1496" i="35"/>
  <c r="Y1497" i="35"/>
  <c r="Y1498" i="35"/>
  <c r="Y1499" i="35"/>
  <c r="Y1500" i="35"/>
  <c r="Y1501" i="35"/>
  <c r="Y1502" i="35"/>
  <c r="Y1503" i="35"/>
  <c r="Y1504" i="35"/>
  <c r="Y1505" i="35"/>
  <c r="Y1506" i="35"/>
  <c r="Y1507" i="35"/>
  <c r="Y1508" i="35"/>
  <c r="Y1509" i="35"/>
  <c r="Y1510" i="35"/>
  <c r="Y1511" i="35"/>
  <c r="Y1512" i="35"/>
  <c r="Y1513" i="35"/>
  <c r="Y1514" i="35"/>
  <c r="Y1515" i="35"/>
  <c r="Y1516" i="35"/>
  <c r="Y1517" i="35"/>
  <c r="Y1518" i="35"/>
  <c r="Y1519" i="35"/>
  <c r="Y1520" i="35"/>
  <c r="Y1521" i="35"/>
  <c r="Y1522" i="35"/>
  <c r="Y1523" i="35"/>
  <c r="Y1524" i="35"/>
  <c r="Y1525" i="35"/>
  <c r="Y1526" i="35"/>
  <c r="Y1527" i="35"/>
  <c r="Y1528" i="35"/>
  <c r="Y1529" i="35"/>
  <c r="Y1530" i="35"/>
  <c r="Y1531" i="35"/>
  <c r="Y1532" i="35"/>
  <c r="Y1533" i="35"/>
  <c r="Y1534" i="35"/>
  <c r="Y1535" i="35"/>
  <c r="Y1536" i="35"/>
  <c r="Y1537" i="35"/>
  <c r="Y1538" i="35"/>
  <c r="Y1539" i="35"/>
  <c r="Y1540" i="35"/>
  <c r="Y1541" i="35"/>
  <c r="Y1542" i="35"/>
  <c r="Y1543" i="35"/>
  <c r="Y1544" i="35"/>
  <c r="Y1545" i="35"/>
  <c r="Y1546" i="35"/>
  <c r="Y1547" i="35"/>
  <c r="Y1548" i="35"/>
  <c r="Y1549" i="35"/>
  <c r="Y1550" i="35"/>
  <c r="Y1551" i="35"/>
  <c r="Y1552" i="35"/>
  <c r="Y1553" i="35"/>
  <c r="Y1554" i="35"/>
  <c r="Y1555" i="35"/>
  <c r="Y1556" i="35"/>
  <c r="Y1557" i="35"/>
  <c r="Y1558" i="35"/>
  <c r="Y1559" i="35"/>
  <c r="Y1560" i="35"/>
  <c r="Y1561" i="35"/>
  <c r="Y1562" i="35"/>
  <c r="Y1563" i="35"/>
  <c r="Y1564" i="35"/>
  <c r="Y1565" i="35"/>
  <c r="Y1566" i="35"/>
  <c r="Y1567" i="35"/>
  <c r="Y1568" i="35"/>
  <c r="Y2" i="35"/>
  <c r="X3" i="35"/>
  <c r="X4" i="35"/>
  <c r="X5" i="35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36" i="35"/>
  <c r="X37" i="35"/>
  <c r="X38" i="35"/>
  <c r="X39" i="35"/>
  <c r="X40" i="35"/>
  <c r="X41" i="35"/>
  <c r="X42" i="35"/>
  <c r="X43" i="35"/>
  <c r="X44" i="35"/>
  <c r="X45" i="35"/>
  <c r="X46" i="35"/>
  <c r="X47" i="35"/>
  <c r="X48" i="35"/>
  <c r="X49" i="35"/>
  <c r="X50" i="35"/>
  <c r="X51" i="35"/>
  <c r="X52" i="35"/>
  <c r="X53" i="35"/>
  <c r="X54" i="35"/>
  <c r="X55" i="35"/>
  <c r="X56" i="35"/>
  <c r="X57" i="35"/>
  <c r="X58" i="35"/>
  <c r="X59" i="35"/>
  <c r="X60" i="35"/>
  <c r="X61" i="35"/>
  <c r="X62" i="35"/>
  <c r="X63" i="35"/>
  <c r="X64" i="35"/>
  <c r="X65" i="35"/>
  <c r="X66" i="35"/>
  <c r="X67" i="35"/>
  <c r="X68" i="35"/>
  <c r="X69" i="35"/>
  <c r="X70" i="35"/>
  <c r="X71" i="35"/>
  <c r="X72" i="35"/>
  <c r="X73" i="35"/>
  <c r="X74" i="35"/>
  <c r="X75" i="35"/>
  <c r="X76" i="35"/>
  <c r="X77" i="35"/>
  <c r="X78" i="35"/>
  <c r="X79" i="35"/>
  <c r="X80" i="35"/>
  <c r="X81" i="35"/>
  <c r="X82" i="35"/>
  <c r="X83" i="35"/>
  <c r="X84" i="35"/>
  <c r="X85" i="35"/>
  <c r="X86" i="35"/>
  <c r="X87" i="35"/>
  <c r="X88" i="35"/>
  <c r="X89" i="35"/>
  <c r="X90" i="35"/>
  <c r="X91" i="35"/>
  <c r="X92" i="35"/>
  <c r="X93" i="35"/>
  <c r="X94" i="35"/>
  <c r="X95" i="35"/>
  <c r="X96" i="35"/>
  <c r="X97" i="35"/>
  <c r="X98" i="35"/>
  <c r="X99" i="35"/>
  <c r="X100" i="35"/>
  <c r="X101" i="35"/>
  <c r="X102" i="35"/>
  <c r="X103" i="35"/>
  <c r="X104" i="35"/>
  <c r="X105" i="35"/>
  <c r="X106" i="35"/>
  <c r="X107" i="35"/>
  <c r="X108" i="35"/>
  <c r="X109" i="35"/>
  <c r="X110" i="35"/>
  <c r="X111" i="35"/>
  <c r="X112" i="35"/>
  <c r="X113" i="35"/>
  <c r="X114" i="35"/>
  <c r="X115" i="35"/>
  <c r="X116" i="35"/>
  <c r="X117" i="35"/>
  <c r="X118" i="35"/>
  <c r="X119" i="35"/>
  <c r="X120" i="35"/>
  <c r="X121" i="35"/>
  <c r="X122" i="35"/>
  <c r="X123" i="35"/>
  <c r="X124" i="35"/>
  <c r="X125" i="35"/>
  <c r="X126" i="35"/>
  <c r="X127" i="35"/>
  <c r="X128" i="35"/>
  <c r="X129" i="35"/>
  <c r="X130" i="35"/>
  <c r="X131" i="35"/>
  <c r="X132" i="35"/>
  <c r="X133" i="35"/>
  <c r="X134" i="35"/>
  <c r="X135" i="35"/>
  <c r="X136" i="35"/>
  <c r="X137" i="35"/>
  <c r="X138" i="35"/>
  <c r="X139" i="35"/>
  <c r="X140" i="35"/>
  <c r="X141" i="35"/>
  <c r="X142" i="35"/>
  <c r="X143" i="35"/>
  <c r="X144" i="35"/>
  <c r="X145" i="35"/>
  <c r="X146" i="35"/>
  <c r="X147" i="35"/>
  <c r="X148" i="35"/>
  <c r="X149" i="35"/>
  <c r="X150" i="35"/>
  <c r="X151" i="35"/>
  <c r="X152" i="35"/>
  <c r="X153" i="35"/>
  <c r="X154" i="35"/>
  <c r="X155" i="35"/>
  <c r="X156" i="35"/>
  <c r="X157" i="35"/>
  <c r="X158" i="35"/>
  <c r="X159" i="35"/>
  <c r="X160" i="35"/>
  <c r="X161" i="35"/>
  <c r="X162" i="35"/>
  <c r="X163" i="35"/>
  <c r="X164" i="35"/>
  <c r="X165" i="35"/>
  <c r="X166" i="35"/>
  <c r="X167" i="35"/>
  <c r="X168" i="35"/>
  <c r="X169" i="35"/>
  <c r="X170" i="35"/>
  <c r="X171" i="35"/>
  <c r="X172" i="35"/>
  <c r="X173" i="35"/>
  <c r="X174" i="35"/>
  <c r="X175" i="35"/>
  <c r="X176" i="35"/>
  <c r="X177" i="35"/>
  <c r="X178" i="35"/>
  <c r="X179" i="35"/>
  <c r="X180" i="35"/>
  <c r="X181" i="35"/>
  <c r="X182" i="35"/>
  <c r="X183" i="35"/>
  <c r="X184" i="35"/>
  <c r="X185" i="35"/>
  <c r="X186" i="35"/>
  <c r="X187" i="35"/>
  <c r="X188" i="35"/>
  <c r="X189" i="35"/>
  <c r="X190" i="35"/>
  <c r="X191" i="35"/>
  <c r="X192" i="35"/>
  <c r="X193" i="35"/>
  <c r="X194" i="35"/>
  <c r="X195" i="35"/>
  <c r="X196" i="35"/>
  <c r="X197" i="35"/>
  <c r="X198" i="35"/>
  <c r="X199" i="35"/>
  <c r="X200" i="35"/>
  <c r="X201" i="35"/>
  <c r="X202" i="35"/>
  <c r="X203" i="35"/>
  <c r="X204" i="35"/>
  <c r="X205" i="35"/>
  <c r="X206" i="35"/>
  <c r="X207" i="35"/>
  <c r="X208" i="35"/>
  <c r="X209" i="35"/>
  <c r="X210" i="35"/>
  <c r="X211" i="35"/>
  <c r="X212" i="35"/>
  <c r="X213" i="35"/>
  <c r="X214" i="35"/>
  <c r="X215" i="35"/>
  <c r="X216" i="35"/>
  <c r="X217" i="35"/>
  <c r="X218" i="35"/>
  <c r="X219" i="35"/>
  <c r="X220" i="35"/>
  <c r="X221" i="35"/>
  <c r="X222" i="35"/>
  <c r="X223" i="35"/>
  <c r="X224" i="35"/>
  <c r="X225" i="35"/>
  <c r="X226" i="35"/>
  <c r="X227" i="35"/>
  <c r="X228" i="35"/>
  <c r="X229" i="35"/>
  <c r="X230" i="35"/>
  <c r="X231" i="35"/>
  <c r="X232" i="35"/>
  <c r="X233" i="35"/>
  <c r="X234" i="35"/>
  <c r="X235" i="35"/>
  <c r="X236" i="35"/>
  <c r="X237" i="35"/>
  <c r="X238" i="35"/>
  <c r="X239" i="35"/>
  <c r="X240" i="35"/>
  <c r="X241" i="35"/>
  <c r="X242" i="35"/>
  <c r="X243" i="35"/>
  <c r="X244" i="35"/>
  <c r="X245" i="35"/>
  <c r="X246" i="35"/>
  <c r="X247" i="35"/>
  <c r="X248" i="35"/>
  <c r="X249" i="35"/>
  <c r="X250" i="35"/>
  <c r="X251" i="35"/>
  <c r="X252" i="35"/>
  <c r="X253" i="35"/>
  <c r="X254" i="35"/>
  <c r="X255" i="35"/>
  <c r="X256" i="35"/>
  <c r="X257" i="35"/>
  <c r="X258" i="35"/>
  <c r="X259" i="35"/>
  <c r="X260" i="35"/>
  <c r="X261" i="35"/>
  <c r="X262" i="35"/>
  <c r="X263" i="35"/>
  <c r="X264" i="35"/>
  <c r="X265" i="35"/>
  <c r="X266" i="35"/>
  <c r="X267" i="35"/>
  <c r="X268" i="35"/>
  <c r="X269" i="35"/>
  <c r="X270" i="35"/>
  <c r="X271" i="35"/>
  <c r="X272" i="35"/>
  <c r="X273" i="35"/>
  <c r="X274" i="35"/>
  <c r="X275" i="35"/>
  <c r="X276" i="35"/>
  <c r="X277" i="35"/>
  <c r="X278" i="35"/>
  <c r="X279" i="35"/>
  <c r="X280" i="35"/>
  <c r="X281" i="35"/>
  <c r="X282" i="35"/>
  <c r="X283" i="35"/>
  <c r="X284" i="35"/>
  <c r="X285" i="35"/>
  <c r="X286" i="35"/>
  <c r="X287" i="35"/>
  <c r="X288" i="35"/>
  <c r="X289" i="35"/>
  <c r="X290" i="35"/>
  <c r="X291" i="35"/>
  <c r="X292" i="35"/>
  <c r="X293" i="35"/>
  <c r="X294" i="35"/>
  <c r="X295" i="35"/>
  <c r="X296" i="35"/>
  <c r="X297" i="35"/>
  <c r="X298" i="35"/>
  <c r="X299" i="35"/>
  <c r="X300" i="35"/>
  <c r="X301" i="35"/>
  <c r="X302" i="35"/>
  <c r="X303" i="35"/>
  <c r="X304" i="35"/>
  <c r="X305" i="35"/>
  <c r="X306" i="35"/>
  <c r="X307" i="35"/>
  <c r="X308" i="35"/>
  <c r="X309" i="35"/>
  <c r="X310" i="35"/>
  <c r="X311" i="35"/>
  <c r="X312" i="35"/>
  <c r="X313" i="35"/>
  <c r="X314" i="35"/>
  <c r="X315" i="35"/>
  <c r="X316" i="35"/>
  <c r="X317" i="35"/>
  <c r="X318" i="35"/>
  <c r="X319" i="35"/>
  <c r="X320" i="35"/>
  <c r="X321" i="35"/>
  <c r="X322" i="35"/>
  <c r="X323" i="35"/>
  <c r="X324" i="35"/>
  <c r="X325" i="35"/>
  <c r="X326" i="35"/>
  <c r="X327" i="35"/>
  <c r="X328" i="35"/>
  <c r="X329" i="35"/>
  <c r="X330" i="35"/>
  <c r="X331" i="35"/>
  <c r="X332" i="35"/>
  <c r="X333" i="35"/>
  <c r="X334" i="35"/>
  <c r="X335" i="35"/>
  <c r="X336" i="35"/>
  <c r="X337" i="35"/>
  <c r="X338" i="35"/>
  <c r="X339" i="35"/>
  <c r="X340" i="35"/>
  <c r="X341" i="35"/>
  <c r="X342" i="35"/>
  <c r="X343" i="35"/>
  <c r="X344" i="35"/>
  <c r="X345" i="35"/>
  <c r="X346" i="35"/>
  <c r="X347" i="35"/>
  <c r="X348" i="35"/>
  <c r="X349" i="35"/>
  <c r="X350" i="35"/>
  <c r="X351" i="35"/>
  <c r="X352" i="35"/>
  <c r="X353" i="35"/>
  <c r="X354" i="35"/>
  <c r="X355" i="35"/>
  <c r="X356" i="35"/>
  <c r="X357" i="35"/>
  <c r="X358" i="35"/>
  <c r="X359" i="35"/>
  <c r="X360" i="35"/>
  <c r="X361" i="35"/>
  <c r="X362" i="35"/>
  <c r="X363" i="35"/>
  <c r="X364" i="35"/>
  <c r="X365" i="35"/>
  <c r="X366" i="35"/>
  <c r="X367" i="35"/>
  <c r="X368" i="35"/>
  <c r="X369" i="35"/>
  <c r="X370" i="35"/>
  <c r="X371" i="35"/>
  <c r="X372" i="35"/>
  <c r="X373" i="35"/>
  <c r="X374" i="35"/>
  <c r="X375" i="35"/>
  <c r="X376" i="35"/>
  <c r="X377" i="35"/>
  <c r="X378" i="35"/>
  <c r="X379" i="35"/>
  <c r="X380" i="35"/>
  <c r="X381" i="35"/>
  <c r="X382" i="35"/>
  <c r="X383" i="35"/>
  <c r="X384" i="35"/>
  <c r="X385" i="35"/>
  <c r="X386" i="35"/>
  <c r="X387" i="35"/>
  <c r="X388" i="35"/>
  <c r="X389" i="35"/>
  <c r="X390" i="35"/>
  <c r="X391" i="35"/>
  <c r="X392" i="35"/>
  <c r="X393" i="35"/>
  <c r="X394" i="35"/>
  <c r="X395" i="35"/>
  <c r="X396" i="35"/>
  <c r="X397" i="35"/>
  <c r="X398" i="35"/>
  <c r="X399" i="35"/>
  <c r="X400" i="35"/>
  <c r="X401" i="35"/>
  <c r="X402" i="35"/>
  <c r="X403" i="35"/>
  <c r="X404" i="35"/>
  <c r="X405" i="35"/>
  <c r="X406" i="35"/>
  <c r="X407" i="35"/>
  <c r="X408" i="35"/>
  <c r="X409" i="35"/>
  <c r="X410" i="35"/>
  <c r="X411" i="35"/>
  <c r="X412" i="35"/>
  <c r="X413" i="35"/>
  <c r="X414" i="35"/>
  <c r="X415" i="35"/>
  <c r="X416" i="35"/>
  <c r="X417" i="35"/>
  <c r="X418" i="35"/>
  <c r="X419" i="35"/>
  <c r="X420" i="35"/>
  <c r="X421" i="35"/>
  <c r="X422" i="35"/>
  <c r="X423" i="35"/>
  <c r="X424" i="35"/>
  <c r="X425" i="35"/>
  <c r="X426" i="35"/>
  <c r="X427" i="35"/>
  <c r="X428" i="35"/>
  <c r="X429" i="35"/>
  <c r="X430" i="35"/>
  <c r="X431" i="35"/>
  <c r="X432" i="35"/>
  <c r="X433" i="35"/>
  <c r="X434" i="35"/>
  <c r="X435" i="35"/>
  <c r="X436" i="35"/>
  <c r="X437" i="35"/>
  <c r="X438" i="35"/>
  <c r="X439" i="35"/>
  <c r="X440" i="35"/>
  <c r="X441" i="35"/>
  <c r="X442" i="35"/>
  <c r="X443" i="35"/>
  <c r="X444" i="35"/>
  <c r="X445" i="35"/>
  <c r="X446" i="35"/>
  <c r="X447" i="35"/>
  <c r="X448" i="35"/>
  <c r="X449" i="35"/>
  <c r="X450" i="35"/>
  <c r="X451" i="35"/>
  <c r="X452" i="35"/>
  <c r="X453" i="35"/>
  <c r="X454" i="35"/>
  <c r="X455" i="35"/>
  <c r="X456" i="35"/>
  <c r="X457" i="35"/>
  <c r="X458" i="35"/>
  <c r="X459" i="35"/>
  <c r="X460" i="35"/>
  <c r="X461" i="35"/>
  <c r="X462" i="35"/>
  <c r="X463" i="35"/>
  <c r="X464" i="35"/>
  <c r="X465" i="35"/>
  <c r="X466" i="35"/>
  <c r="X467" i="35"/>
  <c r="X468" i="35"/>
  <c r="X469" i="35"/>
  <c r="X470" i="35"/>
  <c r="X471" i="35"/>
  <c r="X472" i="35"/>
  <c r="X473" i="35"/>
  <c r="X474" i="35"/>
  <c r="X475" i="35"/>
  <c r="X476" i="35"/>
  <c r="X477" i="35"/>
  <c r="X478" i="35"/>
  <c r="X479" i="35"/>
  <c r="X480" i="35"/>
  <c r="X481" i="35"/>
  <c r="X482" i="35"/>
  <c r="X483" i="35"/>
  <c r="X484" i="35"/>
  <c r="X485" i="35"/>
  <c r="X486" i="35"/>
  <c r="X487" i="35"/>
  <c r="X488" i="35"/>
  <c r="X489" i="35"/>
  <c r="X490" i="35"/>
  <c r="X491" i="35"/>
  <c r="X492" i="35"/>
  <c r="X493" i="35"/>
  <c r="X494" i="35"/>
  <c r="X495" i="35"/>
  <c r="X496" i="35"/>
  <c r="X497" i="35"/>
  <c r="X498" i="35"/>
  <c r="X499" i="35"/>
  <c r="X500" i="35"/>
  <c r="X501" i="35"/>
  <c r="X502" i="35"/>
  <c r="X503" i="35"/>
  <c r="X504" i="35"/>
  <c r="X505" i="35"/>
  <c r="X506" i="35"/>
  <c r="X507" i="35"/>
  <c r="X508" i="35"/>
  <c r="X509" i="35"/>
  <c r="X510" i="35"/>
  <c r="X511" i="35"/>
  <c r="X512" i="35"/>
  <c r="X513" i="35"/>
  <c r="X514" i="35"/>
  <c r="X515" i="35"/>
  <c r="X516" i="35"/>
  <c r="X517" i="35"/>
  <c r="X518" i="35"/>
  <c r="X519" i="35"/>
  <c r="X520" i="35"/>
  <c r="X521" i="35"/>
  <c r="X522" i="35"/>
  <c r="X523" i="35"/>
  <c r="X524" i="35"/>
  <c r="X525" i="35"/>
  <c r="X526" i="35"/>
  <c r="X527" i="35"/>
  <c r="X528" i="35"/>
  <c r="X529" i="35"/>
  <c r="X530" i="35"/>
  <c r="X531" i="35"/>
  <c r="X532" i="35"/>
  <c r="X533" i="35"/>
  <c r="X534" i="35"/>
  <c r="X535" i="35"/>
  <c r="X536" i="35"/>
  <c r="X537" i="35"/>
  <c r="X538" i="35"/>
  <c r="X539" i="35"/>
  <c r="X540" i="35"/>
  <c r="X541" i="35"/>
  <c r="X542" i="35"/>
  <c r="X543" i="35"/>
  <c r="X544" i="35"/>
  <c r="X545" i="35"/>
  <c r="X546" i="35"/>
  <c r="X547" i="35"/>
  <c r="X548" i="35"/>
  <c r="X549" i="35"/>
  <c r="X550" i="35"/>
  <c r="X551" i="35"/>
  <c r="X552" i="35"/>
  <c r="X553" i="35"/>
  <c r="X554" i="35"/>
  <c r="X555" i="35"/>
  <c r="X556" i="35"/>
  <c r="X557" i="35"/>
  <c r="X558" i="35"/>
  <c r="X559" i="35"/>
  <c r="X560" i="35"/>
  <c r="X561" i="35"/>
  <c r="X562" i="35"/>
  <c r="X563" i="35"/>
  <c r="X564" i="35"/>
  <c r="X565" i="35"/>
  <c r="X566" i="35"/>
  <c r="X567" i="35"/>
  <c r="X568" i="35"/>
  <c r="X569" i="35"/>
  <c r="X570" i="35"/>
  <c r="X571" i="35"/>
  <c r="X572" i="35"/>
  <c r="X573" i="35"/>
  <c r="X574" i="35"/>
  <c r="X575" i="35"/>
  <c r="X576" i="35"/>
  <c r="X577" i="35"/>
  <c r="X578" i="35"/>
  <c r="X579" i="35"/>
  <c r="X580" i="35"/>
  <c r="X581" i="35"/>
  <c r="X582" i="35"/>
  <c r="X583" i="35"/>
  <c r="X584" i="35"/>
  <c r="X585" i="35"/>
  <c r="X586" i="35"/>
  <c r="X587" i="35"/>
  <c r="X588" i="35"/>
  <c r="X589" i="35"/>
  <c r="X590" i="35"/>
  <c r="X591" i="35"/>
  <c r="X592" i="35"/>
  <c r="X593" i="35"/>
  <c r="X594" i="35"/>
  <c r="X595" i="35"/>
  <c r="X596" i="35"/>
  <c r="X597" i="35"/>
  <c r="X598" i="35"/>
  <c r="X599" i="35"/>
  <c r="X600" i="35"/>
  <c r="X601" i="35"/>
  <c r="X602" i="35"/>
  <c r="X603" i="35"/>
  <c r="X604" i="35"/>
  <c r="X605" i="35"/>
  <c r="X606" i="35"/>
  <c r="X607" i="35"/>
  <c r="X608" i="35"/>
  <c r="X609" i="35"/>
  <c r="X610" i="35"/>
  <c r="X611" i="35"/>
  <c r="X612" i="35"/>
  <c r="X613" i="35"/>
  <c r="X614" i="35"/>
  <c r="X615" i="35"/>
  <c r="X616" i="35"/>
  <c r="X617" i="35"/>
  <c r="X618" i="35"/>
  <c r="X619" i="35"/>
  <c r="X620" i="35"/>
  <c r="X621" i="35"/>
  <c r="X622" i="35"/>
  <c r="X623" i="35"/>
  <c r="X624" i="35"/>
  <c r="X625" i="35"/>
  <c r="X626" i="35"/>
  <c r="X627" i="35"/>
  <c r="X628" i="35"/>
  <c r="X629" i="35"/>
  <c r="X630" i="35"/>
  <c r="X631" i="35"/>
  <c r="X632" i="35"/>
  <c r="X633" i="35"/>
  <c r="X634" i="35"/>
  <c r="X635" i="35"/>
  <c r="X636" i="35"/>
  <c r="X637" i="35"/>
  <c r="X638" i="35"/>
  <c r="X639" i="35"/>
  <c r="X640" i="35"/>
  <c r="X641" i="35"/>
  <c r="X642" i="35"/>
  <c r="X643" i="35"/>
  <c r="X644" i="35"/>
  <c r="X645" i="35"/>
  <c r="X646" i="35"/>
  <c r="X647" i="35"/>
  <c r="X648" i="35"/>
  <c r="X649" i="35"/>
  <c r="X650" i="35"/>
  <c r="X651" i="35"/>
  <c r="X652" i="35"/>
  <c r="X653" i="35"/>
  <c r="X654" i="35"/>
  <c r="X655" i="35"/>
  <c r="X656" i="35"/>
  <c r="X657" i="35"/>
  <c r="X658" i="35"/>
  <c r="X659" i="35"/>
  <c r="X660" i="35"/>
  <c r="X661" i="35"/>
  <c r="X662" i="35"/>
  <c r="X663" i="35"/>
  <c r="X664" i="35"/>
  <c r="X665" i="35"/>
  <c r="X666" i="35"/>
  <c r="X667" i="35"/>
  <c r="X668" i="35"/>
  <c r="X669" i="35"/>
  <c r="X670" i="35"/>
  <c r="X671" i="35"/>
  <c r="X672" i="35"/>
  <c r="X673" i="35"/>
  <c r="X674" i="35"/>
  <c r="X675" i="35"/>
  <c r="X676" i="35"/>
  <c r="X677" i="35"/>
  <c r="X678" i="35"/>
  <c r="X679" i="35"/>
  <c r="X680" i="35"/>
  <c r="X681" i="35"/>
  <c r="X682" i="35"/>
  <c r="X683" i="35"/>
  <c r="X684" i="35"/>
  <c r="X685" i="35"/>
  <c r="X686" i="35"/>
  <c r="X687" i="35"/>
  <c r="X688" i="35"/>
  <c r="X689" i="35"/>
  <c r="X690" i="35"/>
  <c r="X691" i="35"/>
  <c r="X692" i="35"/>
  <c r="X693" i="35"/>
  <c r="X694" i="35"/>
  <c r="X695" i="35"/>
  <c r="X696" i="35"/>
  <c r="X697" i="35"/>
  <c r="X698" i="35"/>
  <c r="X699" i="35"/>
  <c r="X700" i="35"/>
  <c r="X701" i="35"/>
  <c r="X702" i="35"/>
  <c r="X703" i="35"/>
  <c r="X704" i="35"/>
  <c r="X705" i="35"/>
  <c r="X706" i="35"/>
  <c r="X707" i="35"/>
  <c r="X708" i="35"/>
  <c r="X709" i="35"/>
  <c r="X710" i="35"/>
  <c r="X711" i="35"/>
  <c r="X712" i="35"/>
  <c r="X713" i="35"/>
  <c r="X714" i="35"/>
  <c r="X715" i="35"/>
  <c r="X716" i="35"/>
  <c r="X717" i="35"/>
  <c r="X718" i="35"/>
  <c r="X719" i="35"/>
  <c r="X720" i="35"/>
  <c r="X721" i="35"/>
  <c r="X722" i="35"/>
  <c r="X723" i="35"/>
  <c r="X724" i="35"/>
  <c r="X725" i="35"/>
  <c r="X726" i="35"/>
  <c r="X727" i="35"/>
  <c r="X728" i="35"/>
  <c r="X729" i="35"/>
  <c r="X730" i="35"/>
  <c r="X731" i="35"/>
  <c r="X732" i="35"/>
  <c r="X733" i="35"/>
  <c r="X734" i="35"/>
  <c r="X735" i="35"/>
  <c r="X736" i="35"/>
  <c r="X737" i="35"/>
  <c r="X738" i="35"/>
  <c r="X739" i="35"/>
  <c r="X740" i="35"/>
  <c r="X741" i="35"/>
  <c r="X742" i="35"/>
  <c r="X743" i="35"/>
  <c r="X744" i="35"/>
  <c r="X745" i="35"/>
  <c r="X746" i="35"/>
  <c r="X747" i="35"/>
  <c r="X748" i="35"/>
  <c r="X749" i="35"/>
  <c r="X750" i="35"/>
  <c r="X751" i="35"/>
  <c r="X752" i="35"/>
  <c r="X753" i="35"/>
  <c r="X754" i="35"/>
  <c r="X755" i="35"/>
  <c r="X756" i="35"/>
  <c r="X757" i="35"/>
  <c r="X758" i="35"/>
  <c r="X759" i="35"/>
  <c r="X760" i="35"/>
  <c r="X761" i="35"/>
  <c r="X762" i="35"/>
  <c r="X763" i="35"/>
  <c r="X764" i="35"/>
  <c r="X765" i="35"/>
  <c r="X766" i="35"/>
  <c r="X767" i="35"/>
  <c r="X768" i="35"/>
  <c r="X769" i="35"/>
  <c r="X770" i="35"/>
  <c r="X771" i="35"/>
  <c r="X772" i="35"/>
  <c r="X773" i="35"/>
  <c r="X774" i="35"/>
  <c r="X775" i="35"/>
  <c r="X776" i="35"/>
  <c r="X777" i="35"/>
  <c r="X778" i="35"/>
  <c r="X779" i="35"/>
  <c r="X780" i="35"/>
  <c r="X781" i="35"/>
  <c r="X782" i="35"/>
  <c r="X783" i="35"/>
  <c r="X784" i="35"/>
  <c r="X785" i="35"/>
  <c r="X786" i="35"/>
  <c r="X787" i="35"/>
  <c r="X788" i="35"/>
  <c r="X789" i="35"/>
  <c r="X790" i="35"/>
  <c r="X791" i="35"/>
  <c r="X792" i="35"/>
  <c r="X793" i="35"/>
  <c r="X794" i="35"/>
  <c r="X795" i="35"/>
  <c r="X796" i="35"/>
  <c r="X797" i="35"/>
  <c r="X798" i="35"/>
  <c r="X799" i="35"/>
  <c r="X800" i="35"/>
  <c r="X801" i="35"/>
  <c r="X802" i="35"/>
  <c r="X803" i="35"/>
  <c r="X804" i="35"/>
  <c r="X805" i="35"/>
  <c r="X806" i="35"/>
  <c r="X807" i="35"/>
  <c r="X808" i="35"/>
  <c r="X809" i="35"/>
  <c r="X810" i="35"/>
  <c r="X811" i="35"/>
  <c r="X812" i="35"/>
  <c r="X813" i="35"/>
  <c r="X814" i="35"/>
  <c r="X815" i="35"/>
  <c r="X816" i="35"/>
  <c r="X817" i="35"/>
  <c r="X818" i="35"/>
  <c r="X819" i="35"/>
  <c r="X820" i="35"/>
  <c r="X821" i="35"/>
  <c r="X822" i="35"/>
  <c r="X823" i="35"/>
  <c r="X824" i="35"/>
  <c r="X825" i="35"/>
  <c r="X826" i="35"/>
  <c r="X827" i="35"/>
  <c r="X828" i="35"/>
  <c r="X829" i="35"/>
  <c r="X830" i="35"/>
  <c r="X831" i="35"/>
  <c r="X832" i="35"/>
  <c r="X833" i="35"/>
  <c r="X834" i="35"/>
  <c r="X835" i="35"/>
  <c r="X836" i="35"/>
  <c r="X837" i="35"/>
  <c r="X838" i="35"/>
  <c r="X839" i="35"/>
  <c r="X840" i="35"/>
  <c r="X841" i="35"/>
  <c r="X842" i="35"/>
  <c r="X843" i="35"/>
  <c r="X844" i="35"/>
  <c r="X845" i="35"/>
  <c r="X846" i="35"/>
  <c r="X847" i="35"/>
  <c r="X848" i="35"/>
  <c r="X849" i="35"/>
  <c r="X850" i="35"/>
  <c r="X851" i="35"/>
  <c r="X852" i="35"/>
  <c r="X853" i="35"/>
  <c r="X854" i="35"/>
  <c r="X855" i="35"/>
  <c r="X856" i="35"/>
  <c r="X857" i="35"/>
  <c r="X858" i="35"/>
  <c r="X859" i="35"/>
  <c r="X860" i="35"/>
  <c r="X861" i="35"/>
  <c r="X862" i="35"/>
  <c r="X863" i="35"/>
  <c r="X864" i="35"/>
  <c r="X865" i="35"/>
  <c r="X866" i="35"/>
  <c r="X867" i="35"/>
  <c r="X868" i="35"/>
  <c r="X869" i="35"/>
  <c r="X870" i="35"/>
  <c r="X871" i="35"/>
  <c r="X872" i="35"/>
  <c r="X873" i="35"/>
  <c r="X874" i="35"/>
  <c r="X875" i="35"/>
  <c r="X876" i="35"/>
  <c r="X877" i="35"/>
  <c r="X878" i="35"/>
  <c r="X879" i="35"/>
  <c r="X880" i="35"/>
  <c r="X881" i="35"/>
  <c r="X882" i="35"/>
  <c r="X883" i="35"/>
  <c r="X884" i="35"/>
  <c r="X885" i="35"/>
  <c r="X886" i="35"/>
  <c r="X887" i="35"/>
  <c r="X888" i="35"/>
  <c r="X889" i="35"/>
  <c r="X890" i="35"/>
  <c r="X891" i="35"/>
  <c r="X892" i="35"/>
  <c r="X893" i="35"/>
  <c r="X894" i="35"/>
  <c r="X895" i="35"/>
  <c r="X896" i="35"/>
  <c r="X897" i="35"/>
  <c r="X898" i="35"/>
  <c r="X899" i="35"/>
  <c r="X900" i="35"/>
  <c r="X901" i="35"/>
  <c r="X902" i="35"/>
  <c r="X903" i="35"/>
  <c r="X904" i="35"/>
  <c r="X905" i="35"/>
  <c r="X906" i="35"/>
  <c r="X907" i="35"/>
  <c r="X908" i="35"/>
  <c r="X909" i="35"/>
  <c r="X910" i="35"/>
  <c r="X911" i="35"/>
  <c r="X912" i="35"/>
  <c r="X913" i="35"/>
  <c r="X914" i="35"/>
  <c r="X915" i="35"/>
  <c r="X916" i="35"/>
  <c r="X917" i="35"/>
  <c r="X918" i="35"/>
  <c r="X919" i="35"/>
  <c r="X920" i="35"/>
  <c r="X921" i="35"/>
  <c r="X922" i="35"/>
  <c r="X923" i="35"/>
  <c r="X924" i="35"/>
  <c r="X925" i="35"/>
  <c r="X926" i="35"/>
  <c r="X927" i="35"/>
  <c r="X928" i="35"/>
  <c r="X929" i="35"/>
  <c r="X930" i="35"/>
  <c r="X931" i="35"/>
  <c r="X932" i="35"/>
  <c r="X933" i="35"/>
  <c r="X934" i="35"/>
  <c r="X935" i="35"/>
  <c r="X936" i="35"/>
  <c r="X937" i="35"/>
  <c r="X938" i="35"/>
  <c r="X939" i="35"/>
  <c r="X940" i="35"/>
  <c r="X941" i="35"/>
  <c r="X942" i="35"/>
  <c r="X943" i="35"/>
  <c r="X944" i="35"/>
  <c r="X945" i="35"/>
  <c r="X946" i="35"/>
  <c r="X947" i="35"/>
  <c r="X948" i="35"/>
  <c r="X949" i="35"/>
  <c r="X950" i="35"/>
  <c r="X951" i="35"/>
  <c r="X952" i="35"/>
  <c r="X953" i="35"/>
  <c r="X954" i="35"/>
  <c r="X955" i="35"/>
  <c r="X956" i="35"/>
  <c r="X957" i="35"/>
  <c r="X958" i="35"/>
  <c r="X959" i="35"/>
  <c r="X960" i="35"/>
  <c r="X961" i="35"/>
  <c r="X962" i="35"/>
  <c r="X963" i="35"/>
  <c r="X964" i="35"/>
  <c r="X965" i="35"/>
  <c r="X966" i="35"/>
  <c r="X967" i="35"/>
  <c r="X968" i="35"/>
  <c r="X969" i="35"/>
  <c r="X970" i="35"/>
  <c r="X971" i="35"/>
  <c r="X972" i="35"/>
  <c r="X973" i="35"/>
  <c r="X974" i="35"/>
  <c r="X975" i="35"/>
  <c r="X976" i="35"/>
  <c r="X977" i="35"/>
  <c r="X978" i="35"/>
  <c r="X979" i="35"/>
  <c r="X980" i="35"/>
  <c r="X981" i="35"/>
  <c r="X982" i="35"/>
  <c r="X983" i="35"/>
  <c r="X984" i="35"/>
  <c r="X985" i="35"/>
  <c r="X986" i="35"/>
  <c r="X987" i="35"/>
  <c r="X988" i="35"/>
  <c r="X989" i="35"/>
  <c r="X990" i="35"/>
  <c r="X991" i="35"/>
  <c r="X992" i="35"/>
  <c r="X993" i="35"/>
  <c r="X994" i="35"/>
  <c r="X995" i="35"/>
  <c r="X996" i="35"/>
  <c r="X997" i="35"/>
  <c r="X998" i="35"/>
  <c r="X999" i="35"/>
  <c r="X1000" i="35"/>
  <c r="X1001" i="35"/>
  <c r="X1002" i="35"/>
  <c r="X1003" i="35"/>
  <c r="X1004" i="35"/>
  <c r="X1005" i="35"/>
  <c r="X1006" i="35"/>
  <c r="X1007" i="35"/>
  <c r="X1008" i="35"/>
  <c r="X1009" i="35"/>
  <c r="X1010" i="35"/>
  <c r="X1011" i="35"/>
  <c r="X1012" i="35"/>
  <c r="X1013" i="35"/>
  <c r="X1014" i="35"/>
  <c r="X1015" i="35"/>
  <c r="X1016" i="35"/>
  <c r="X1017" i="35"/>
  <c r="X1018" i="35"/>
  <c r="X1019" i="35"/>
  <c r="X1020" i="35"/>
  <c r="X1021" i="35"/>
  <c r="X1022" i="35"/>
  <c r="X1023" i="35"/>
  <c r="X1024" i="35"/>
  <c r="X1025" i="35"/>
  <c r="X1026" i="35"/>
  <c r="X1027" i="35"/>
  <c r="X1028" i="35"/>
  <c r="X1029" i="35"/>
  <c r="X1030" i="35"/>
  <c r="X1031" i="35"/>
  <c r="X1032" i="35"/>
  <c r="X1033" i="35"/>
  <c r="X1034" i="35"/>
  <c r="X1035" i="35"/>
  <c r="X1036" i="35"/>
  <c r="X1037" i="35"/>
  <c r="X1038" i="35"/>
  <c r="X1039" i="35"/>
  <c r="X1040" i="35"/>
  <c r="X1041" i="35"/>
  <c r="X1042" i="35"/>
  <c r="X1043" i="35"/>
  <c r="X1044" i="35"/>
  <c r="X1045" i="35"/>
  <c r="X1046" i="35"/>
  <c r="X1047" i="35"/>
  <c r="X1048" i="35"/>
  <c r="X1049" i="35"/>
  <c r="X1050" i="35"/>
  <c r="X1051" i="35"/>
  <c r="X1052" i="35"/>
  <c r="X1053" i="35"/>
  <c r="X1054" i="35"/>
  <c r="X1055" i="35"/>
  <c r="X1056" i="35"/>
  <c r="X1057" i="35"/>
  <c r="X1058" i="35"/>
  <c r="X1059" i="35"/>
  <c r="X1060" i="35"/>
  <c r="X1061" i="35"/>
  <c r="X1062" i="35"/>
  <c r="X1063" i="35"/>
  <c r="X1064" i="35"/>
  <c r="X1065" i="35"/>
  <c r="X1066" i="35"/>
  <c r="X1067" i="35"/>
  <c r="X1068" i="35"/>
  <c r="X1069" i="35"/>
  <c r="X1070" i="35"/>
  <c r="X1071" i="35"/>
  <c r="X1072" i="35"/>
  <c r="X1073" i="35"/>
  <c r="X1074" i="35"/>
  <c r="X1075" i="35"/>
  <c r="X1076" i="35"/>
  <c r="X1077" i="35"/>
  <c r="X1078" i="35"/>
  <c r="X1079" i="35"/>
  <c r="X1080" i="35"/>
  <c r="X1081" i="35"/>
  <c r="X1082" i="35"/>
  <c r="X1083" i="35"/>
  <c r="X1084" i="35"/>
  <c r="X1085" i="35"/>
  <c r="X1086" i="35"/>
  <c r="X1087" i="35"/>
  <c r="X1088" i="35"/>
  <c r="X1089" i="35"/>
  <c r="X1090" i="35"/>
  <c r="X1091" i="35"/>
  <c r="X1092" i="35"/>
  <c r="X1093" i="35"/>
  <c r="X1094" i="35"/>
  <c r="X1095" i="35"/>
  <c r="X1096" i="35"/>
  <c r="X1097" i="35"/>
  <c r="X1098" i="35"/>
  <c r="X1099" i="35"/>
  <c r="X1100" i="35"/>
  <c r="X1101" i="35"/>
  <c r="X1102" i="35"/>
  <c r="X1103" i="35"/>
  <c r="X1104" i="35"/>
  <c r="X1105" i="35"/>
  <c r="X1106" i="35"/>
  <c r="X1107" i="35"/>
  <c r="X1108" i="35"/>
  <c r="X1109" i="35"/>
  <c r="X1110" i="35"/>
  <c r="X1111" i="35"/>
  <c r="X1112" i="35"/>
  <c r="X1113" i="35"/>
  <c r="X1114" i="35"/>
  <c r="X1115" i="35"/>
  <c r="X1116" i="35"/>
  <c r="X1117" i="35"/>
  <c r="X1118" i="35"/>
  <c r="X1119" i="35"/>
  <c r="X1120" i="35"/>
  <c r="X1121" i="35"/>
  <c r="X1122" i="35"/>
  <c r="X1123" i="35"/>
  <c r="X1124" i="35"/>
  <c r="X1125" i="35"/>
  <c r="X1126" i="35"/>
  <c r="X1127" i="35"/>
  <c r="X1128" i="35"/>
  <c r="X1129" i="35"/>
  <c r="X1130" i="35"/>
  <c r="X1131" i="35"/>
  <c r="X1132" i="35"/>
  <c r="X1133" i="35"/>
  <c r="X1134" i="35"/>
  <c r="X1135" i="35"/>
  <c r="X1136" i="35"/>
  <c r="X1137" i="35"/>
  <c r="X1138" i="35"/>
  <c r="X1139" i="35"/>
  <c r="X1140" i="35"/>
  <c r="X1141" i="35"/>
  <c r="X1142" i="35"/>
  <c r="X1143" i="35"/>
  <c r="X1144" i="35"/>
  <c r="X1145" i="35"/>
  <c r="X1146" i="35"/>
  <c r="X1147" i="35"/>
  <c r="X1148" i="35"/>
  <c r="X1149" i="35"/>
  <c r="X1150" i="35"/>
  <c r="X1151" i="35"/>
  <c r="X1152" i="35"/>
  <c r="X1153" i="35"/>
  <c r="X1154" i="35"/>
  <c r="X1155" i="35"/>
  <c r="X1156" i="35"/>
  <c r="X1157" i="35"/>
  <c r="X1158" i="35"/>
  <c r="X1159" i="35"/>
  <c r="X1160" i="35"/>
  <c r="X1161" i="35"/>
  <c r="X1162" i="35"/>
  <c r="X1163" i="35"/>
  <c r="X1164" i="35"/>
  <c r="X1165" i="35"/>
  <c r="X1166" i="35"/>
  <c r="X1167" i="35"/>
  <c r="X1168" i="35"/>
  <c r="X1169" i="35"/>
  <c r="X1170" i="35"/>
  <c r="X1171" i="35"/>
  <c r="X1172" i="35"/>
  <c r="X1173" i="35"/>
  <c r="X1174" i="35"/>
  <c r="X1175" i="35"/>
  <c r="X1176" i="35"/>
  <c r="X1177" i="35"/>
  <c r="X1178" i="35"/>
  <c r="X1179" i="35"/>
  <c r="X1180" i="35"/>
  <c r="X1181" i="35"/>
  <c r="X1182" i="35"/>
  <c r="X1183" i="35"/>
  <c r="X1184" i="35"/>
  <c r="X1185" i="35"/>
  <c r="X1186" i="35"/>
  <c r="X1187" i="35"/>
  <c r="X1188" i="35"/>
  <c r="X1189" i="35"/>
  <c r="X1190" i="35"/>
  <c r="X1191" i="35"/>
  <c r="X1192" i="35"/>
  <c r="X1193" i="35"/>
  <c r="X1194" i="35"/>
  <c r="X1195" i="35"/>
  <c r="X1196" i="35"/>
  <c r="X1197" i="35"/>
  <c r="X1198" i="35"/>
  <c r="X1199" i="35"/>
  <c r="X1200" i="35"/>
  <c r="X1201" i="35"/>
  <c r="X1202" i="35"/>
  <c r="X1203" i="35"/>
  <c r="X1204" i="35"/>
  <c r="X1205" i="35"/>
  <c r="X1206" i="35"/>
  <c r="X1207" i="35"/>
  <c r="X1208" i="35"/>
  <c r="X1209" i="35"/>
  <c r="X1210" i="35"/>
  <c r="X1211" i="35"/>
  <c r="X1212" i="35"/>
  <c r="X1213" i="35"/>
  <c r="X1214" i="35"/>
  <c r="X1215" i="35"/>
  <c r="X1216" i="35"/>
  <c r="X1217" i="35"/>
  <c r="X1218" i="35"/>
  <c r="X1219" i="35"/>
  <c r="X1220" i="35"/>
  <c r="X1221" i="35"/>
  <c r="X1222" i="35"/>
  <c r="X1223" i="35"/>
  <c r="X1224" i="35"/>
  <c r="X1225" i="35"/>
  <c r="X1226" i="35"/>
  <c r="X1227" i="35"/>
  <c r="X1228" i="35"/>
  <c r="X1229" i="35"/>
  <c r="X1230" i="35"/>
  <c r="X1231" i="35"/>
  <c r="X1232" i="35"/>
  <c r="X1233" i="35"/>
  <c r="X1234" i="35"/>
  <c r="X1235" i="35"/>
  <c r="X1236" i="35"/>
  <c r="X1237" i="35"/>
  <c r="X1238" i="35"/>
  <c r="X1239" i="35"/>
  <c r="X1240" i="35"/>
  <c r="X1241" i="35"/>
  <c r="X1242" i="35"/>
  <c r="X1243" i="35"/>
  <c r="X1244" i="35"/>
  <c r="X1245" i="35"/>
  <c r="X1246" i="35"/>
  <c r="X1247" i="35"/>
  <c r="X1248" i="35"/>
  <c r="X1249" i="35"/>
  <c r="X1250" i="35"/>
  <c r="X1251" i="35"/>
  <c r="X1252" i="35"/>
  <c r="X1253" i="35"/>
  <c r="X1254" i="35"/>
  <c r="X1255" i="35"/>
  <c r="X1256" i="35"/>
  <c r="X1257" i="35"/>
  <c r="X1258" i="35"/>
  <c r="X1259" i="35"/>
  <c r="X1260" i="35"/>
  <c r="X1261" i="35"/>
  <c r="X1262" i="35"/>
  <c r="X1263" i="35"/>
  <c r="X1264" i="35"/>
  <c r="X1265" i="35"/>
  <c r="X1266" i="35"/>
  <c r="X1267" i="35"/>
  <c r="X1268" i="35"/>
  <c r="X1269" i="35"/>
  <c r="X1270" i="35"/>
  <c r="X1271" i="35"/>
  <c r="X1272" i="35"/>
  <c r="X1273" i="35"/>
  <c r="X1274" i="35"/>
  <c r="X1275" i="35"/>
  <c r="X1276" i="35"/>
  <c r="X1277" i="35"/>
  <c r="X1278" i="35"/>
  <c r="X1279" i="35"/>
  <c r="X1280" i="35"/>
  <c r="X1281" i="35"/>
  <c r="X1282" i="35"/>
  <c r="X1283" i="35"/>
  <c r="X1284" i="35"/>
  <c r="X1285" i="35"/>
  <c r="X1286" i="35"/>
  <c r="X1287" i="35"/>
  <c r="X1288" i="35"/>
  <c r="X1289" i="35"/>
  <c r="X1290" i="35"/>
  <c r="X1291" i="35"/>
  <c r="X1292" i="35"/>
  <c r="X1293" i="35"/>
  <c r="X1294" i="35"/>
  <c r="X1295" i="35"/>
  <c r="X1296" i="35"/>
  <c r="X1297" i="35"/>
  <c r="X1298" i="35"/>
  <c r="X1299" i="35"/>
  <c r="X1300" i="35"/>
  <c r="X1301" i="35"/>
  <c r="X1302" i="35"/>
  <c r="X1303" i="35"/>
  <c r="X1304" i="35"/>
  <c r="X1305" i="35"/>
  <c r="X1306" i="35"/>
  <c r="X1307" i="35"/>
  <c r="X1308" i="35"/>
  <c r="X1309" i="35"/>
  <c r="X1310" i="35"/>
  <c r="X1311" i="35"/>
  <c r="X1312" i="35"/>
  <c r="X1313" i="35"/>
  <c r="X1314" i="35"/>
  <c r="X1315" i="35"/>
  <c r="X1316" i="35"/>
  <c r="X1317" i="35"/>
  <c r="X1318" i="35"/>
  <c r="X1319" i="35"/>
  <c r="X1320" i="35"/>
  <c r="X1321" i="35"/>
  <c r="X1322" i="35"/>
  <c r="X1323" i="35"/>
  <c r="X1324" i="35"/>
  <c r="X1325" i="35"/>
  <c r="X1326" i="35"/>
  <c r="X1327" i="35"/>
  <c r="X1328" i="35"/>
  <c r="X1329" i="35"/>
  <c r="X1330" i="35"/>
  <c r="X1331" i="35"/>
  <c r="X1332" i="35"/>
  <c r="X1333" i="35"/>
  <c r="X1334" i="35"/>
  <c r="X1335" i="35"/>
  <c r="X1336" i="35"/>
  <c r="X1337" i="35"/>
  <c r="X1338" i="35"/>
  <c r="X1339" i="35"/>
  <c r="X1340" i="35"/>
  <c r="X1341" i="35"/>
  <c r="X1342" i="35"/>
  <c r="X1343" i="35"/>
  <c r="X1344" i="35"/>
  <c r="X1345" i="35"/>
  <c r="X1346" i="35"/>
  <c r="X1347" i="35"/>
  <c r="X1348" i="35"/>
  <c r="X1349" i="35"/>
  <c r="X1350" i="35"/>
  <c r="X1351" i="35"/>
  <c r="X1352" i="35"/>
  <c r="X1353" i="35"/>
  <c r="X1354" i="35"/>
  <c r="X1355" i="35"/>
  <c r="X1356" i="35"/>
  <c r="X1357" i="35"/>
  <c r="X1358" i="35"/>
  <c r="X1359" i="35"/>
  <c r="X1360" i="35"/>
  <c r="X1361" i="35"/>
  <c r="X1362" i="35"/>
  <c r="X1363" i="35"/>
  <c r="X1364" i="35"/>
  <c r="X1365" i="35"/>
  <c r="X1366" i="35"/>
  <c r="X1367" i="35"/>
  <c r="X1368" i="35"/>
  <c r="X1369" i="35"/>
  <c r="X1370" i="35"/>
  <c r="X1371" i="35"/>
  <c r="X1372" i="35"/>
  <c r="X1373" i="35"/>
  <c r="X1374" i="35"/>
  <c r="X1375" i="35"/>
  <c r="X1376" i="35"/>
  <c r="X1377" i="35"/>
  <c r="X1378" i="35"/>
  <c r="X1379" i="35"/>
  <c r="X1380" i="35"/>
  <c r="X1381" i="35"/>
  <c r="X1382" i="35"/>
  <c r="X1383" i="35"/>
  <c r="X1384" i="35"/>
  <c r="X1385" i="35"/>
  <c r="X1386" i="35"/>
  <c r="X1387" i="35"/>
  <c r="X1388" i="35"/>
  <c r="X1389" i="35"/>
  <c r="X1390" i="35"/>
  <c r="X1391" i="35"/>
  <c r="X1392" i="35"/>
  <c r="X1393" i="35"/>
  <c r="X1394" i="35"/>
  <c r="X1395" i="35"/>
  <c r="X1396" i="35"/>
  <c r="X1397" i="35"/>
  <c r="X1398" i="35"/>
  <c r="X1399" i="35"/>
  <c r="X1400" i="35"/>
  <c r="X1401" i="35"/>
  <c r="X1402" i="35"/>
  <c r="X1403" i="35"/>
  <c r="X1404" i="35"/>
  <c r="X1405" i="35"/>
  <c r="X1406" i="35"/>
  <c r="X1407" i="35"/>
  <c r="X1408" i="35"/>
  <c r="X1409" i="35"/>
  <c r="X1410" i="35"/>
  <c r="X1411" i="35"/>
  <c r="X1412" i="35"/>
  <c r="X1413" i="35"/>
  <c r="X1414" i="35"/>
  <c r="X1415" i="35"/>
  <c r="X1416" i="35"/>
  <c r="X1417" i="35"/>
  <c r="X1418" i="35"/>
  <c r="X1419" i="35"/>
  <c r="X1420" i="35"/>
  <c r="X1421" i="35"/>
  <c r="X1422" i="35"/>
  <c r="X1423" i="35"/>
  <c r="X1424" i="35"/>
  <c r="X1425" i="35"/>
  <c r="X1426" i="35"/>
  <c r="X1427" i="35"/>
  <c r="X1428" i="35"/>
  <c r="X1429" i="35"/>
  <c r="X1430" i="35"/>
  <c r="X1431" i="35"/>
  <c r="X1432" i="35"/>
  <c r="X1433" i="35"/>
  <c r="X1434" i="35"/>
  <c r="X1435" i="35"/>
  <c r="X1436" i="35"/>
  <c r="X1437" i="35"/>
  <c r="X1438" i="35"/>
  <c r="X1439" i="35"/>
  <c r="X1440" i="35"/>
  <c r="X1441" i="35"/>
  <c r="X1442" i="35"/>
  <c r="X1443" i="35"/>
  <c r="X1444" i="35"/>
  <c r="X1445" i="35"/>
  <c r="X1446" i="35"/>
  <c r="X1447" i="35"/>
  <c r="X1448" i="35"/>
  <c r="X1449" i="35"/>
  <c r="X1450" i="35"/>
  <c r="X1451" i="35"/>
  <c r="X1452" i="35"/>
  <c r="X1453" i="35"/>
  <c r="X1454" i="35"/>
  <c r="X1455" i="35"/>
  <c r="X1456" i="35"/>
  <c r="X1457" i="35"/>
  <c r="X1458" i="35"/>
  <c r="X1459" i="35"/>
  <c r="X1460" i="35"/>
  <c r="X1461" i="35"/>
  <c r="X1462" i="35"/>
  <c r="X1463" i="35"/>
  <c r="X1464" i="35"/>
  <c r="X1465" i="35"/>
  <c r="X1466" i="35"/>
  <c r="X1467" i="35"/>
  <c r="X1468" i="35"/>
  <c r="X1469" i="35"/>
  <c r="X1470" i="35"/>
  <c r="X1471" i="35"/>
  <c r="X1472" i="35"/>
  <c r="X1473" i="35"/>
  <c r="X1474" i="35"/>
  <c r="X1475" i="35"/>
  <c r="X1476" i="35"/>
  <c r="X1477" i="35"/>
  <c r="X1478" i="35"/>
  <c r="X1479" i="35"/>
  <c r="X1480" i="35"/>
  <c r="X1481" i="35"/>
  <c r="X1482" i="35"/>
  <c r="X1483" i="35"/>
  <c r="X1484" i="35"/>
  <c r="X1485" i="35"/>
  <c r="X1486" i="35"/>
  <c r="X1487" i="35"/>
  <c r="X1488" i="35"/>
  <c r="X1489" i="35"/>
  <c r="X1490" i="35"/>
  <c r="X1491" i="35"/>
  <c r="X1492" i="35"/>
  <c r="X1493" i="35"/>
  <c r="X1494" i="35"/>
  <c r="X1495" i="35"/>
  <c r="X1496" i="35"/>
  <c r="X1497" i="35"/>
  <c r="X1498" i="35"/>
  <c r="X1499" i="35"/>
  <c r="X1500" i="35"/>
  <c r="X1501" i="35"/>
  <c r="X1502" i="35"/>
  <c r="X1503" i="35"/>
  <c r="X1504" i="35"/>
  <c r="X1505" i="35"/>
  <c r="X1506" i="35"/>
  <c r="X1507" i="35"/>
  <c r="X1508" i="35"/>
  <c r="X1509" i="35"/>
  <c r="X1510" i="35"/>
  <c r="X1511" i="35"/>
  <c r="X1512" i="35"/>
  <c r="X1513" i="35"/>
  <c r="X1514" i="35"/>
  <c r="X1515" i="35"/>
  <c r="X1516" i="35"/>
  <c r="X1517" i="35"/>
  <c r="X1518" i="35"/>
  <c r="X1519" i="35"/>
  <c r="X1520" i="35"/>
  <c r="X1521" i="35"/>
  <c r="X1522" i="35"/>
  <c r="X1523" i="35"/>
  <c r="X1524" i="35"/>
  <c r="X1525" i="35"/>
  <c r="X1526" i="35"/>
  <c r="X1527" i="35"/>
  <c r="X1528" i="35"/>
  <c r="X1529" i="35"/>
  <c r="X1530" i="35"/>
  <c r="X1531" i="35"/>
  <c r="X1532" i="35"/>
  <c r="X1533" i="35"/>
  <c r="X1534" i="35"/>
  <c r="X1535" i="35"/>
  <c r="X1536" i="35"/>
  <c r="X1537" i="35"/>
  <c r="X1538" i="35"/>
  <c r="X1539" i="35"/>
  <c r="X1540" i="35"/>
  <c r="X1541" i="35"/>
  <c r="X1542" i="35"/>
  <c r="X1543" i="35"/>
  <c r="X1544" i="35"/>
  <c r="X1545" i="35"/>
  <c r="X1546" i="35"/>
  <c r="X1547" i="35"/>
  <c r="X1548" i="35"/>
  <c r="X1549" i="35"/>
  <c r="X1550" i="35"/>
  <c r="X1551" i="35"/>
  <c r="X1552" i="35"/>
  <c r="X1553" i="35"/>
  <c r="X1554" i="35"/>
  <c r="X1555" i="35"/>
  <c r="X1556" i="35"/>
  <c r="X1557" i="35"/>
  <c r="X1558" i="35"/>
  <c r="X1559" i="35"/>
  <c r="X1560" i="35"/>
  <c r="X1561" i="35"/>
  <c r="X1562" i="35"/>
  <c r="X1563" i="35"/>
  <c r="X1564" i="35"/>
  <c r="X1565" i="35"/>
  <c r="X1566" i="35"/>
  <c r="X1567" i="35"/>
  <c r="X1568" i="35"/>
  <c r="X2" i="35"/>
  <c r="W3" i="35"/>
  <c r="W4" i="35"/>
  <c r="W5" i="35"/>
  <c r="W6" i="35"/>
  <c r="W7" i="35"/>
  <c r="W8" i="35"/>
  <c r="W9" i="35"/>
  <c r="W10" i="35"/>
  <c r="W11" i="35"/>
  <c r="W12" i="35"/>
  <c r="W13" i="35"/>
  <c r="W14" i="35"/>
  <c r="W15" i="35"/>
  <c r="W16" i="35"/>
  <c r="W17" i="35"/>
  <c r="W18" i="35"/>
  <c r="W19" i="35"/>
  <c r="W20" i="35"/>
  <c r="W21" i="35"/>
  <c r="W22" i="35"/>
  <c r="W23" i="35"/>
  <c r="W24" i="35"/>
  <c r="W25" i="35"/>
  <c r="W26" i="35"/>
  <c r="W27" i="35"/>
  <c r="W28" i="35"/>
  <c r="W29" i="35"/>
  <c r="W30" i="35"/>
  <c r="W31" i="35"/>
  <c r="W32" i="35"/>
  <c r="W33" i="35"/>
  <c r="W34" i="35"/>
  <c r="W35" i="35"/>
  <c r="W36" i="35"/>
  <c r="W37" i="35"/>
  <c r="W38" i="35"/>
  <c r="W39" i="35"/>
  <c r="W40" i="35"/>
  <c r="W41" i="35"/>
  <c r="W42" i="35"/>
  <c r="W43" i="35"/>
  <c r="W44" i="35"/>
  <c r="W45" i="35"/>
  <c r="W46" i="35"/>
  <c r="W47" i="35"/>
  <c r="W48" i="35"/>
  <c r="W49" i="35"/>
  <c r="W50" i="35"/>
  <c r="W51" i="35"/>
  <c r="W52" i="35"/>
  <c r="W53" i="35"/>
  <c r="W54" i="35"/>
  <c r="W55" i="35"/>
  <c r="W56" i="35"/>
  <c r="W57" i="35"/>
  <c r="W58" i="35"/>
  <c r="W59" i="35"/>
  <c r="W60" i="35"/>
  <c r="W61" i="35"/>
  <c r="W62" i="35"/>
  <c r="W63" i="35"/>
  <c r="W64" i="35"/>
  <c r="W65" i="35"/>
  <c r="W66" i="35"/>
  <c r="W67" i="35"/>
  <c r="W68" i="35"/>
  <c r="W69" i="35"/>
  <c r="W70" i="35"/>
  <c r="W71" i="35"/>
  <c r="W72" i="35"/>
  <c r="W73" i="35"/>
  <c r="W74" i="35"/>
  <c r="W75" i="35"/>
  <c r="W76" i="35"/>
  <c r="W77" i="35"/>
  <c r="W78" i="35"/>
  <c r="W79" i="35"/>
  <c r="W80" i="35"/>
  <c r="W81" i="35"/>
  <c r="W82" i="35"/>
  <c r="W83" i="35"/>
  <c r="W84" i="35"/>
  <c r="W85" i="35"/>
  <c r="W86" i="35"/>
  <c r="W87" i="35"/>
  <c r="W88" i="35"/>
  <c r="W89" i="35"/>
  <c r="W90" i="35"/>
  <c r="W91" i="35"/>
  <c r="W92" i="35"/>
  <c r="W93" i="35"/>
  <c r="W94" i="35"/>
  <c r="W95" i="35"/>
  <c r="W96" i="35"/>
  <c r="W97" i="35"/>
  <c r="W98" i="35"/>
  <c r="W99" i="35"/>
  <c r="W100" i="35"/>
  <c r="W101" i="35"/>
  <c r="W102" i="35"/>
  <c r="W103" i="35"/>
  <c r="W104" i="35"/>
  <c r="W105" i="35"/>
  <c r="W106" i="35"/>
  <c r="W107" i="35"/>
  <c r="W108" i="35"/>
  <c r="W109" i="35"/>
  <c r="W110" i="35"/>
  <c r="W111" i="35"/>
  <c r="W112" i="35"/>
  <c r="W113" i="35"/>
  <c r="W114" i="35"/>
  <c r="W115" i="35"/>
  <c r="W116" i="35"/>
  <c r="W117" i="35"/>
  <c r="W118" i="35"/>
  <c r="W119" i="35"/>
  <c r="W120" i="35"/>
  <c r="W121" i="35"/>
  <c r="W122" i="35"/>
  <c r="W123" i="35"/>
  <c r="W124" i="35"/>
  <c r="W125" i="35"/>
  <c r="W126" i="35"/>
  <c r="W127" i="35"/>
  <c r="W128" i="35"/>
  <c r="W129" i="35"/>
  <c r="W130" i="35"/>
  <c r="W131" i="35"/>
  <c r="W132" i="35"/>
  <c r="W133" i="35"/>
  <c r="W134" i="35"/>
  <c r="W135" i="35"/>
  <c r="W136" i="35"/>
  <c r="W137" i="35"/>
  <c r="W138" i="35"/>
  <c r="W139" i="35"/>
  <c r="W140" i="35"/>
  <c r="W141" i="35"/>
  <c r="W142" i="35"/>
  <c r="W143" i="35"/>
  <c r="W144" i="35"/>
  <c r="W145" i="35"/>
  <c r="W146" i="35"/>
  <c r="W147" i="35"/>
  <c r="W148" i="35"/>
  <c r="W149" i="35"/>
  <c r="W150" i="35"/>
  <c r="W151" i="35"/>
  <c r="W152" i="35"/>
  <c r="W153" i="35"/>
  <c r="W154" i="35"/>
  <c r="W155" i="35"/>
  <c r="W156" i="35"/>
  <c r="W157" i="35"/>
  <c r="W158" i="35"/>
  <c r="W159" i="35"/>
  <c r="W160" i="35"/>
  <c r="W161" i="35"/>
  <c r="W162" i="35"/>
  <c r="W163" i="35"/>
  <c r="W164" i="35"/>
  <c r="W165" i="35"/>
  <c r="W166" i="35"/>
  <c r="W167" i="35"/>
  <c r="W168" i="35"/>
  <c r="W169" i="35"/>
  <c r="W170" i="35"/>
  <c r="W171" i="35"/>
  <c r="W172" i="35"/>
  <c r="W173" i="35"/>
  <c r="W174" i="35"/>
  <c r="W175" i="35"/>
  <c r="W176" i="35"/>
  <c r="W177" i="35"/>
  <c r="W178" i="35"/>
  <c r="W179" i="35"/>
  <c r="W180" i="35"/>
  <c r="W181" i="35"/>
  <c r="W182" i="35"/>
  <c r="W183" i="35"/>
  <c r="W184" i="35"/>
  <c r="W185" i="35"/>
  <c r="W186" i="35"/>
  <c r="W187" i="35"/>
  <c r="W188" i="35"/>
  <c r="W189" i="35"/>
  <c r="W190" i="35"/>
  <c r="W191" i="35"/>
  <c r="W192" i="35"/>
  <c r="W193" i="35"/>
  <c r="W194" i="35"/>
  <c r="W195" i="35"/>
  <c r="W196" i="35"/>
  <c r="W197" i="35"/>
  <c r="W198" i="35"/>
  <c r="W199" i="35"/>
  <c r="W200" i="35"/>
  <c r="W201" i="35"/>
  <c r="W202" i="35"/>
  <c r="W203" i="35"/>
  <c r="W204" i="35"/>
  <c r="W205" i="35"/>
  <c r="W206" i="35"/>
  <c r="W207" i="35"/>
  <c r="W208" i="35"/>
  <c r="W209" i="35"/>
  <c r="W210" i="35"/>
  <c r="W211" i="35"/>
  <c r="W212" i="35"/>
  <c r="W213" i="35"/>
  <c r="W214" i="35"/>
  <c r="W215" i="35"/>
  <c r="W216" i="35"/>
  <c r="W217" i="35"/>
  <c r="W218" i="35"/>
  <c r="W219" i="35"/>
  <c r="W220" i="35"/>
  <c r="W221" i="35"/>
  <c r="W222" i="35"/>
  <c r="W223" i="35"/>
  <c r="W224" i="35"/>
  <c r="W225" i="35"/>
  <c r="W226" i="35"/>
  <c r="W227" i="35"/>
  <c r="W228" i="35"/>
  <c r="W229" i="35"/>
  <c r="W230" i="35"/>
  <c r="W231" i="35"/>
  <c r="W232" i="35"/>
  <c r="W233" i="35"/>
  <c r="W234" i="35"/>
  <c r="W235" i="35"/>
  <c r="W236" i="35"/>
  <c r="W237" i="35"/>
  <c r="W238" i="35"/>
  <c r="W239" i="35"/>
  <c r="W240" i="35"/>
  <c r="W241" i="35"/>
  <c r="W242" i="35"/>
  <c r="W243" i="35"/>
  <c r="W244" i="35"/>
  <c r="W245" i="35"/>
  <c r="W246" i="35"/>
  <c r="W247" i="35"/>
  <c r="W248" i="35"/>
  <c r="W249" i="35"/>
  <c r="W250" i="35"/>
  <c r="W251" i="35"/>
  <c r="W252" i="35"/>
  <c r="W253" i="35"/>
  <c r="W254" i="35"/>
  <c r="W255" i="35"/>
  <c r="W256" i="35"/>
  <c r="W257" i="35"/>
  <c r="W258" i="35"/>
  <c r="W259" i="35"/>
  <c r="W260" i="35"/>
  <c r="W261" i="35"/>
  <c r="W262" i="35"/>
  <c r="W263" i="35"/>
  <c r="W264" i="35"/>
  <c r="W265" i="35"/>
  <c r="W266" i="35"/>
  <c r="W267" i="35"/>
  <c r="W268" i="35"/>
  <c r="W269" i="35"/>
  <c r="W270" i="35"/>
  <c r="W271" i="35"/>
  <c r="W272" i="35"/>
  <c r="W273" i="35"/>
  <c r="W274" i="35"/>
  <c r="W275" i="35"/>
  <c r="W276" i="35"/>
  <c r="W277" i="35"/>
  <c r="W278" i="35"/>
  <c r="W279" i="35"/>
  <c r="W280" i="35"/>
  <c r="W281" i="35"/>
  <c r="W282" i="35"/>
  <c r="W283" i="35"/>
  <c r="W284" i="35"/>
  <c r="W285" i="35"/>
  <c r="W286" i="35"/>
  <c r="W287" i="35"/>
  <c r="W288" i="35"/>
  <c r="W289" i="35"/>
  <c r="W290" i="35"/>
  <c r="W291" i="35"/>
  <c r="W292" i="35"/>
  <c r="W293" i="35"/>
  <c r="W294" i="35"/>
  <c r="W295" i="35"/>
  <c r="W296" i="35"/>
  <c r="W297" i="35"/>
  <c r="W298" i="35"/>
  <c r="W299" i="35"/>
  <c r="W300" i="35"/>
  <c r="W301" i="35"/>
  <c r="W302" i="35"/>
  <c r="W303" i="35"/>
  <c r="W304" i="35"/>
  <c r="W305" i="35"/>
  <c r="W306" i="35"/>
  <c r="W307" i="35"/>
  <c r="W308" i="35"/>
  <c r="W309" i="35"/>
  <c r="W310" i="35"/>
  <c r="W311" i="35"/>
  <c r="W312" i="35"/>
  <c r="W313" i="35"/>
  <c r="W314" i="35"/>
  <c r="W315" i="35"/>
  <c r="W316" i="35"/>
  <c r="W317" i="35"/>
  <c r="W318" i="35"/>
  <c r="W319" i="35"/>
  <c r="W320" i="35"/>
  <c r="W321" i="35"/>
  <c r="W322" i="35"/>
  <c r="W323" i="35"/>
  <c r="W324" i="35"/>
  <c r="W325" i="35"/>
  <c r="W326" i="35"/>
  <c r="W327" i="35"/>
  <c r="W328" i="35"/>
  <c r="W329" i="35"/>
  <c r="W330" i="35"/>
  <c r="W331" i="35"/>
  <c r="W332" i="35"/>
  <c r="W333" i="35"/>
  <c r="W334" i="35"/>
  <c r="W335" i="35"/>
  <c r="W336" i="35"/>
  <c r="W337" i="35"/>
  <c r="W338" i="35"/>
  <c r="W339" i="35"/>
  <c r="W340" i="35"/>
  <c r="W341" i="35"/>
  <c r="W342" i="35"/>
  <c r="W343" i="35"/>
  <c r="W344" i="35"/>
  <c r="W345" i="35"/>
  <c r="W346" i="35"/>
  <c r="W347" i="35"/>
  <c r="W348" i="35"/>
  <c r="W349" i="35"/>
  <c r="W350" i="35"/>
  <c r="W351" i="35"/>
  <c r="W352" i="35"/>
  <c r="W353" i="35"/>
  <c r="W354" i="35"/>
  <c r="W355" i="35"/>
  <c r="W356" i="35"/>
  <c r="W357" i="35"/>
  <c r="W358" i="35"/>
  <c r="W359" i="35"/>
  <c r="W360" i="35"/>
  <c r="W361" i="35"/>
  <c r="W362" i="35"/>
  <c r="W363" i="35"/>
  <c r="W364" i="35"/>
  <c r="W365" i="35"/>
  <c r="W366" i="35"/>
  <c r="W367" i="35"/>
  <c r="W368" i="35"/>
  <c r="W369" i="35"/>
  <c r="W370" i="35"/>
  <c r="W371" i="35"/>
  <c r="W372" i="35"/>
  <c r="W373" i="35"/>
  <c r="W374" i="35"/>
  <c r="W375" i="35"/>
  <c r="W376" i="35"/>
  <c r="W377" i="35"/>
  <c r="W378" i="35"/>
  <c r="W379" i="35"/>
  <c r="W380" i="35"/>
  <c r="W381" i="35"/>
  <c r="W382" i="35"/>
  <c r="W383" i="35"/>
  <c r="W384" i="35"/>
  <c r="W385" i="35"/>
  <c r="W386" i="35"/>
  <c r="W387" i="35"/>
  <c r="W388" i="35"/>
  <c r="W389" i="35"/>
  <c r="W390" i="35"/>
  <c r="W391" i="35"/>
  <c r="W392" i="35"/>
  <c r="W393" i="35"/>
  <c r="W394" i="35"/>
  <c r="W395" i="35"/>
  <c r="W396" i="35"/>
  <c r="W397" i="35"/>
  <c r="W398" i="35"/>
  <c r="W399" i="35"/>
  <c r="W400" i="35"/>
  <c r="W401" i="35"/>
  <c r="W402" i="35"/>
  <c r="W403" i="35"/>
  <c r="W404" i="35"/>
  <c r="W405" i="35"/>
  <c r="W406" i="35"/>
  <c r="W407" i="35"/>
  <c r="W408" i="35"/>
  <c r="W409" i="35"/>
  <c r="W410" i="35"/>
  <c r="W411" i="35"/>
  <c r="W412" i="35"/>
  <c r="W413" i="35"/>
  <c r="W414" i="35"/>
  <c r="W415" i="35"/>
  <c r="W416" i="35"/>
  <c r="W417" i="35"/>
  <c r="W418" i="35"/>
  <c r="W419" i="35"/>
  <c r="W420" i="35"/>
  <c r="W421" i="35"/>
  <c r="W422" i="35"/>
  <c r="W423" i="35"/>
  <c r="W424" i="35"/>
  <c r="W425" i="35"/>
  <c r="W426" i="35"/>
  <c r="W427" i="35"/>
  <c r="W428" i="35"/>
  <c r="W429" i="35"/>
  <c r="W430" i="35"/>
  <c r="W431" i="35"/>
  <c r="W432" i="35"/>
  <c r="W433" i="35"/>
  <c r="W434" i="35"/>
  <c r="W435" i="35"/>
  <c r="W436" i="35"/>
  <c r="W437" i="35"/>
  <c r="W438" i="35"/>
  <c r="W439" i="35"/>
  <c r="W440" i="35"/>
  <c r="W441" i="35"/>
  <c r="W442" i="35"/>
  <c r="W443" i="35"/>
  <c r="W444" i="35"/>
  <c r="W445" i="35"/>
  <c r="W446" i="35"/>
  <c r="W447" i="35"/>
  <c r="W448" i="35"/>
  <c r="W449" i="35"/>
  <c r="W450" i="35"/>
  <c r="W451" i="35"/>
  <c r="W452" i="35"/>
  <c r="W453" i="35"/>
  <c r="W454" i="35"/>
  <c r="W455" i="35"/>
  <c r="W456" i="35"/>
  <c r="W457" i="35"/>
  <c r="W458" i="35"/>
  <c r="W459" i="35"/>
  <c r="W460" i="35"/>
  <c r="W461" i="35"/>
  <c r="W462" i="35"/>
  <c r="W463" i="35"/>
  <c r="W464" i="35"/>
  <c r="W465" i="35"/>
  <c r="W466" i="35"/>
  <c r="W467" i="35"/>
  <c r="W468" i="35"/>
  <c r="W469" i="35"/>
  <c r="W470" i="35"/>
  <c r="W471" i="35"/>
  <c r="W472" i="35"/>
  <c r="W473" i="35"/>
  <c r="W474" i="35"/>
  <c r="W475" i="35"/>
  <c r="W476" i="35"/>
  <c r="W477" i="35"/>
  <c r="W478" i="35"/>
  <c r="W479" i="35"/>
  <c r="W480" i="35"/>
  <c r="W481" i="35"/>
  <c r="W482" i="35"/>
  <c r="W483" i="35"/>
  <c r="W484" i="35"/>
  <c r="W485" i="35"/>
  <c r="W486" i="35"/>
  <c r="W487" i="35"/>
  <c r="W488" i="35"/>
  <c r="W489" i="35"/>
  <c r="W490" i="35"/>
  <c r="W491" i="35"/>
  <c r="W492" i="35"/>
  <c r="W493" i="35"/>
  <c r="W494" i="35"/>
  <c r="W495" i="35"/>
  <c r="W496" i="35"/>
  <c r="W497" i="35"/>
  <c r="W498" i="35"/>
  <c r="W499" i="35"/>
  <c r="W500" i="35"/>
  <c r="W501" i="35"/>
  <c r="W502" i="35"/>
  <c r="W503" i="35"/>
  <c r="W504" i="35"/>
  <c r="W505" i="35"/>
  <c r="W506" i="35"/>
  <c r="W507" i="35"/>
  <c r="W508" i="35"/>
  <c r="W509" i="35"/>
  <c r="W510" i="35"/>
  <c r="W511" i="35"/>
  <c r="W512" i="35"/>
  <c r="W513" i="35"/>
  <c r="W514" i="35"/>
  <c r="W515" i="35"/>
  <c r="W516" i="35"/>
  <c r="W517" i="35"/>
  <c r="W518" i="35"/>
  <c r="W519" i="35"/>
  <c r="W520" i="35"/>
  <c r="W521" i="35"/>
  <c r="W522" i="35"/>
  <c r="W523" i="35"/>
  <c r="W524" i="35"/>
  <c r="W525" i="35"/>
  <c r="W526" i="35"/>
  <c r="W527" i="35"/>
  <c r="W528" i="35"/>
  <c r="W529" i="35"/>
  <c r="W530" i="35"/>
  <c r="W531" i="35"/>
  <c r="W532" i="35"/>
  <c r="W533" i="35"/>
  <c r="W534" i="35"/>
  <c r="W535" i="35"/>
  <c r="W536" i="35"/>
  <c r="W537" i="35"/>
  <c r="W538" i="35"/>
  <c r="W539" i="35"/>
  <c r="W540" i="35"/>
  <c r="W541" i="35"/>
  <c r="W542" i="35"/>
  <c r="W543" i="35"/>
  <c r="W544" i="35"/>
  <c r="W545" i="35"/>
  <c r="W546" i="35"/>
  <c r="W547" i="35"/>
  <c r="W548" i="35"/>
  <c r="W549" i="35"/>
  <c r="W550" i="35"/>
  <c r="W551" i="35"/>
  <c r="W552" i="35"/>
  <c r="W553" i="35"/>
  <c r="W554" i="35"/>
  <c r="W555" i="35"/>
  <c r="W556" i="35"/>
  <c r="W557" i="35"/>
  <c r="W558" i="35"/>
  <c r="W559" i="35"/>
  <c r="W560" i="35"/>
  <c r="W561" i="35"/>
  <c r="W562" i="35"/>
  <c r="W563" i="35"/>
  <c r="W564" i="35"/>
  <c r="W565" i="35"/>
  <c r="W566" i="35"/>
  <c r="W567" i="35"/>
  <c r="W568" i="35"/>
  <c r="W569" i="35"/>
  <c r="W570" i="35"/>
  <c r="W571" i="35"/>
  <c r="W572" i="35"/>
  <c r="W573" i="35"/>
  <c r="W574" i="35"/>
  <c r="W575" i="35"/>
  <c r="W576" i="35"/>
  <c r="W577" i="35"/>
  <c r="W578" i="35"/>
  <c r="W579" i="35"/>
  <c r="W580" i="35"/>
  <c r="W581" i="35"/>
  <c r="W582" i="35"/>
  <c r="W583" i="35"/>
  <c r="W584" i="35"/>
  <c r="W585" i="35"/>
  <c r="W586" i="35"/>
  <c r="W587" i="35"/>
  <c r="W588" i="35"/>
  <c r="W589" i="35"/>
  <c r="W590" i="35"/>
  <c r="W591" i="35"/>
  <c r="W592" i="35"/>
  <c r="W593" i="35"/>
  <c r="W594" i="35"/>
  <c r="W595" i="35"/>
  <c r="W596" i="35"/>
  <c r="W597" i="35"/>
  <c r="W598" i="35"/>
  <c r="W599" i="35"/>
  <c r="W600" i="35"/>
  <c r="W601" i="35"/>
  <c r="W602" i="35"/>
  <c r="W603" i="35"/>
  <c r="W604" i="35"/>
  <c r="W605" i="35"/>
  <c r="W606" i="35"/>
  <c r="W607" i="35"/>
  <c r="W608" i="35"/>
  <c r="W609" i="35"/>
  <c r="W610" i="35"/>
  <c r="W611" i="35"/>
  <c r="W612" i="35"/>
  <c r="W613" i="35"/>
  <c r="W614" i="35"/>
  <c r="W615" i="35"/>
  <c r="W616" i="35"/>
  <c r="W617" i="35"/>
  <c r="W618" i="35"/>
  <c r="W619" i="35"/>
  <c r="W620" i="35"/>
  <c r="W621" i="35"/>
  <c r="W622" i="35"/>
  <c r="W623" i="35"/>
  <c r="W624" i="35"/>
  <c r="W625" i="35"/>
  <c r="W626" i="35"/>
  <c r="W627" i="35"/>
  <c r="W628" i="35"/>
  <c r="W629" i="35"/>
  <c r="W630" i="35"/>
  <c r="W631" i="35"/>
  <c r="W632" i="35"/>
  <c r="W633" i="35"/>
  <c r="W634" i="35"/>
  <c r="W635" i="35"/>
  <c r="W636" i="35"/>
  <c r="W637" i="35"/>
  <c r="W638" i="35"/>
  <c r="W639" i="35"/>
  <c r="W640" i="35"/>
  <c r="W641" i="35"/>
  <c r="W642" i="35"/>
  <c r="W643" i="35"/>
  <c r="W644" i="35"/>
  <c r="W645" i="35"/>
  <c r="W646" i="35"/>
  <c r="W647" i="35"/>
  <c r="W648" i="35"/>
  <c r="W649" i="35"/>
  <c r="W650" i="35"/>
  <c r="W651" i="35"/>
  <c r="W652" i="35"/>
  <c r="W653" i="35"/>
  <c r="W654" i="35"/>
  <c r="W655" i="35"/>
  <c r="W656" i="35"/>
  <c r="W657" i="35"/>
  <c r="W658" i="35"/>
  <c r="W659" i="35"/>
  <c r="W660" i="35"/>
  <c r="W661" i="35"/>
  <c r="W662" i="35"/>
  <c r="W663" i="35"/>
  <c r="W664" i="35"/>
  <c r="W665" i="35"/>
  <c r="W666" i="35"/>
  <c r="W667" i="35"/>
  <c r="W668" i="35"/>
  <c r="W669" i="35"/>
  <c r="W670" i="35"/>
  <c r="W671" i="35"/>
  <c r="W672" i="35"/>
  <c r="W673" i="35"/>
  <c r="W674" i="35"/>
  <c r="W675" i="35"/>
  <c r="W676" i="35"/>
  <c r="W677" i="35"/>
  <c r="W678" i="35"/>
  <c r="W679" i="35"/>
  <c r="W680" i="35"/>
  <c r="W681" i="35"/>
  <c r="W682" i="35"/>
  <c r="W683" i="35"/>
  <c r="W684" i="35"/>
  <c r="W685" i="35"/>
  <c r="W686" i="35"/>
  <c r="W687" i="35"/>
  <c r="W688" i="35"/>
  <c r="W689" i="35"/>
  <c r="W690" i="35"/>
  <c r="W691" i="35"/>
  <c r="W692" i="35"/>
  <c r="W693" i="35"/>
  <c r="W694" i="35"/>
  <c r="W695" i="35"/>
  <c r="W696" i="35"/>
  <c r="W697" i="35"/>
  <c r="W698" i="35"/>
  <c r="W699" i="35"/>
  <c r="W700" i="35"/>
  <c r="W701" i="35"/>
  <c r="W702" i="35"/>
  <c r="W703" i="35"/>
  <c r="W704" i="35"/>
  <c r="W705" i="35"/>
  <c r="W706" i="35"/>
  <c r="W707" i="35"/>
  <c r="W708" i="35"/>
  <c r="W709" i="35"/>
  <c r="W710" i="35"/>
  <c r="W711" i="35"/>
  <c r="W712" i="35"/>
  <c r="W713" i="35"/>
  <c r="W714" i="35"/>
  <c r="W715" i="35"/>
  <c r="W716" i="35"/>
  <c r="W717" i="35"/>
  <c r="W718" i="35"/>
  <c r="W719" i="35"/>
  <c r="W720" i="35"/>
  <c r="W721" i="35"/>
  <c r="W722" i="35"/>
  <c r="W723" i="35"/>
  <c r="W724" i="35"/>
  <c r="W725" i="35"/>
  <c r="W726" i="35"/>
  <c r="W727" i="35"/>
  <c r="W728" i="35"/>
  <c r="W729" i="35"/>
  <c r="W730" i="35"/>
  <c r="W731" i="35"/>
  <c r="W732" i="35"/>
  <c r="W733" i="35"/>
  <c r="W734" i="35"/>
  <c r="W735" i="35"/>
  <c r="W736" i="35"/>
  <c r="W737" i="35"/>
  <c r="W738" i="35"/>
  <c r="W739" i="35"/>
  <c r="W740" i="35"/>
  <c r="W741" i="35"/>
  <c r="W742" i="35"/>
  <c r="W743" i="35"/>
  <c r="W744" i="35"/>
  <c r="W745" i="35"/>
  <c r="W746" i="35"/>
  <c r="W747" i="35"/>
  <c r="W748" i="35"/>
  <c r="W749" i="35"/>
  <c r="W750" i="35"/>
  <c r="W751" i="35"/>
  <c r="W752" i="35"/>
  <c r="W753" i="35"/>
  <c r="W754" i="35"/>
  <c r="W755" i="35"/>
  <c r="W756" i="35"/>
  <c r="W757" i="35"/>
  <c r="W758" i="35"/>
  <c r="W759" i="35"/>
  <c r="W760" i="35"/>
  <c r="W761" i="35"/>
  <c r="W762" i="35"/>
  <c r="W763" i="35"/>
  <c r="W764" i="35"/>
  <c r="W765" i="35"/>
  <c r="W766" i="35"/>
  <c r="W767" i="35"/>
  <c r="W768" i="35"/>
  <c r="W769" i="35"/>
  <c r="W770" i="35"/>
  <c r="W771" i="35"/>
  <c r="W772" i="35"/>
  <c r="W773" i="35"/>
  <c r="W774" i="35"/>
  <c r="W775" i="35"/>
  <c r="W776" i="35"/>
  <c r="W777" i="35"/>
  <c r="W778" i="35"/>
  <c r="W779" i="35"/>
  <c r="W780" i="35"/>
  <c r="W781" i="35"/>
  <c r="W782" i="35"/>
  <c r="W783" i="35"/>
  <c r="W784" i="35"/>
  <c r="W785" i="35"/>
  <c r="W786" i="35"/>
  <c r="W787" i="35"/>
  <c r="W788" i="35"/>
  <c r="W789" i="35"/>
  <c r="W790" i="35"/>
  <c r="W791" i="35"/>
  <c r="W792" i="35"/>
  <c r="W793" i="35"/>
  <c r="W794" i="35"/>
  <c r="W795" i="35"/>
  <c r="W796" i="35"/>
  <c r="W797" i="35"/>
  <c r="W798" i="35"/>
  <c r="W799" i="35"/>
  <c r="W800" i="35"/>
  <c r="W801" i="35"/>
  <c r="W802" i="35"/>
  <c r="W803" i="35"/>
  <c r="W804" i="35"/>
  <c r="W805" i="35"/>
  <c r="W806" i="35"/>
  <c r="W807" i="35"/>
  <c r="W808" i="35"/>
  <c r="W809" i="35"/>
  <c r="W810" i="35"/>
  <c r="W811" i="35"/>
  <c r="W812" i="35"/>
  <c r="W813" i="35"/>
  <c r="W814" i="35"/>
  <c r="W815" i="35"/>
  <c r="W816" i="35"/>
  <c r="W817" i="35"/>
  <c r="W818" i="35"/>
  <c r="W819" i="35"/>
  <c r="W820" i="35"/>
  <c r="W821" i="35"/>
  <c r="W822" i="35"/>
  <c r="W823" i="35"/>
  <c r="W824" i="35"/>
  <c r="W825" i="35"/>
  <c r="W826" i="35"/>
  <c r="W827" i="35"/>
  <c r="W828" i="35"/>
  <c r="W829" i="35"/>
  <c r="W830" i="35"/>
  <c r="W831" i="35"/>
  <c r="W832" i="35"/>
  <c r="W833" i="35"/>
  <c r="W834" i="35"/>
  <c r="W835" i="35"/>
  <c r="W836" i="35"/>
  <c r="W837" i="35"/>
  <c r="W838" i="35"/>
  <c r="W839" i="35"/>
  <c r="W840" i="35"/>
  <c r="W841" i="35"/>
  <c r="W842" i="35"/>
  <c r="W843" i="35"/>
  <c r="W844" i="35"/>
  <c r="W845" i="35"/>
  <c r="W846" i="35"/>
  <c r="W847" i="35"/>
  <c r="W848" i="35"/>
  <c r="W849" i="35"/>
  <c r="W850" i="35"/>
  <c r="W851" i="35"/>
  <c r="W852" i="35"/>
  <c r="W853" i="35"/>
  <c r="W854" i="35"/>
  <c r="W855" i="35"/>
  <c r="W856" i="35"/>
  <c r="W857" i="35"/>
  <c r="W858" i="35"/>
  <c r="W859" i="35"/>
  <c r="W860" i="35"/>
  <c r="W861" i="35"/>
  <c r="W862" i="35"/>
  <c r="W863" i="35"/>
  <c r="W864" i="35"/>
  <c r="W865" i="35"/>
  <c r="W866" i="35"/>
  <c r="W867" i="35"/>
  <c r="W868" i="35"/>
  <c r="W869" i="35"/>
  <c r="W870" i="35"/>
  <c r="W871" i="35"/>
  <c r="W872" i="35"/>
  <c r="W873" i="35"/>
  <c r="W874" i="35"/>
  <c r="W875" i="35"/>
  <c r="W876" i="35"/>
  <c r="W877" i="35"/>
  <c r="W878" i="35"/>
  <c r="W879" i="35"/>
  <c r="W880" i="35"/>
  <c r="W881" i="35"/>
  <c r="W882" i="35"/>
  <c r="W883" i="35"/>
  <c r="W884" i="35"/>
  <c r="W885" i="35"/>
  <c r="W886" i="35"/>
  <c r="W887" i="35"/>
  <c r="W888" i="35"/>
  <c r="W889" i="35"/>
  <c r="W890" i="35"/>
  <c r="W891" i="35"/>
  <c r="W892" i="35"/>
  <c r="W893" i="35"/>
  <c r="W894" i="35"/>
  <c r="W895" i="35"/>
  <c r="W896" i="35"/>
  <c r="W897" i="35"/>
  <c r="W898" i="35"/>
  <c r="W899" i="35"/>
  <c r="W900" i="35"/>
  <c r="W901" i="35"/>
  <c r="W902" i="35"/>
  <c r="W903" i="35"/>
  <c r="W904" i="35"/>
  <c r="W905" i="35"/>
  <c r="W906" i="35"/>
  <c r="W907" i="35"/>
  <c r="W908" i="35"/>
  <c r="W909" i="35"/>
  <c r="W910" i="35"/>
  <c r="W911" i="35"/>
  <c r="W912" i="35"/>
  <c r="W913" i="35"/>
  <c r="W914" i="35"/>
  <c r="W915" i="35"/>
  <c r="W916" i="35"/>
  <c r="W917" i="35"/>
  <c r="W918" i="35"/>
  <c r="W919" i="35"/>
  <c r="W920" i="35"/>
  <c r="W921" i="35"/>
  <c r="W922" i="35"/>
  <c r="W923" i="35"/>
  <c r="W924" i="35"/>
  <c r="W925" i="35"/>
  <c r="W926" i="35"/>
  <c r="W927" i="35"/>
  <c r="W928" i="35"/>
  <c r="W929" i="35"/>
  <c r="W930" i="35"/>
  <c r="W931" i="35"/>
  <c r="W932" i="35"/>
  <c r="W933" i="35"/>
  <c r="W934" i="35"/>
  <c r="W935" i="35"/>
  <c r="W936" i="35"/>
  <c r="W937" i="35"/>
  <c r="W938" i="35"/>
  <c r="W939" i="35"/>
  <c r="W940" i="35"/>
  <c r="W941" i="35"/>
  <c r="W942" i="35"/>
  <c r="W943" i="35"/>
  <c r="W944" i="35"/>
  <c r="W945" i="35"/>
  <c r="W946" i="35"/>
  <c r="W947" i="35"/>
  <c r="W948" i="35"/>
  <c r="W949" i="35"/>
  <c r="W950" i="35"/>
  <c r="W951" i="35"/>
  <c r="W952" i="35"/>
  <c r="W953" i="35"/>
  <c r="W954" i="35"/>
  <c r="W955" i="35"/>
  <c r="W956" i="35"/>
  <c r="W957" i="35"/>
  <c r="W958" i="35"/>
  <c r="W959" i="35"/>
  <c r="W960" i="35"/>
  <c r="W961" i="35"/>
  <c r="W962" i="35"/>
  <c r="W963" i="35"/>
  <c r="W964" i="35"/>
  <c r="W965" i="35"/>
  <c r="W966" i="35"/>
  <c r="W967" i="35"/>
  <c r="W968" i="35"/>
  <c r="W969" i="35"/>
  <c r="W970" i="35"/>
  <c r="W971" i="35"/>
  <c r="W972" i="35"/>
  <c r="W973" i="35"/>
  <c r="W974" i="35"/>
  <c r="W975" i="35"/>
  <c r="W976" i="35"/>
  <c r="W977" i="35"/>
  <c r="W978" i="35"/>
  <c r="W979" i="35"/>
  <c r="W980" i="35"/>
  <c r="W981" i="35"/>
  <c r="W982" i="35"/>
  <c r="W983" i="35"/>
  <c r="W984" i="35"/>
  <c r="W985" i="35"/>
  <c r="W986" i="35"/>
  <c r="W987" i="35"/>
  <c r="W988" i="35"/>
  <c r="W989" i="35"/>
  <c r="W990" i="35"/>
  <c r="W991" i="35"/>
  <c r="W992" i="35"/>
  <c r="W993" i="35"/>
  <c r="W994" i="35"/>
  <c r="W995" i="35"/>
  <c r="W996" i="35"/>
  <c r="W997" i="35"/>
  <c r="W998" i="35"/>
  <c r="W999" i="35"/>
  <c r="W1000" i="35"/>
  <c r="W1001" i="35"/>
  <c r="W1002" i="35"/>
  <c r="W1003" i="35"/>
  <c r="W1004" i="35"/>
  <c r="W1005" i="35"/>
  <c r="W1006" i="35"/>
  <c r="W1007" i="35"/>
  <c r="W1008" i="35"/>
  <c r="W1009" i="35"/>
  <c r="W1010" i="35"/>
  <c r="W1011" i="35"/>
  <c r="W1012" i="35"/>
  <c r="W1013" i="35"/>
  <c r="W1014" i="35"/>
  <c r="W1015" i="35"/>
  <c r="W1016" i="35"/>
  <c r="W1017" i="35"/>
  <c r="W1018" i="35"/>
  <c r="W1019" i="35"/>
  <c r="W1020" i="35"/>
  <c r="W1021" i="35"/>
  <c r="W1022" i="35"/>
  <c r="W1023" i="35"/>
  <c r="W1024" i="35"/>
  <c r="W1025" i="35"/>
  <c r="W1026" i="35"/>
  <c r="W1027" i="35"/>
  <c r="W1028" i="35"/>
  <c r="W1029" i="35"/>
  <c r="W1030" i="35"/>
  <c r="W1031" i="35"/>
  <c r="W1032" i="35"/>
  <c r="W1033" i="35"/>
  <c r="W1034" i="35"/>
  <c r="W1035" i="35"/>
  <c r="W1036" i="35"/>
  <c r="W1037" i="35"/>
  <c r="W1038" i="35"/>
  <c r="W1039" i="35"/>
  <c r="W1040" i="35"/>
  <c r="W1041" i="35"/>
  <c r="W1042" i="35"/>
  <c r="W1043" i="35"/>
  <c r="W1044" i="35"/>
  <c r="W1045" i="35"/>
  <c r="W1046" i="35"/>
  <c r="W1047" i="35"/>
  <c r="W1048" i="35"/>
  <c r="W1049" i="35"/>
  <c r="W1050" i="35"/>
  <c r="W1051" i="35"/>
  <c r="W1052" i="35"/>
  <c r="W1053" i="35"/>
  <c r="W1054" i="35"/>
  <c r="W1055" i="35"/>
  <c r="W1056" i="35"/>
  <c r="W1057" i="35"/>
  <c r="W1058" i="35"/>
  <c r="W1059" i="35"/>
  <c r="W1060" i="35"/>
  <c r="W1061" i="35"/>
  <c r="W1062" i="35"/>
  <c r="W1063" i="35"/>
  <c r="W1064" i="35"/>
  <c r="W1065" i="35"/>
  <c r="W1066" i="35"/>
  <c r="W1067" i="35"/>
  <c r="W1068" i="35"/>
  <c r="W1069" i="35"/>
  <c r="W1070" i="35"/>
  <c r="W1071" i="35"/>
  <c r="W1072" i="35"/>
  <c r="W1073" i="35"/>
  <c r="W1074" i="35"/>
  <c r="W1075" i="35"/>
  <c r="W1076" i="35"/>
  <c r="W1077" i="35"/>
  <c r="W1078" i="35"/>
  <c r="W1079" i="35"/>
  <c r="W1080" i="35"/>
  <c r="W1081" i="35"/>
  <c r="W1082" i="35"/>
  <c r="W1083" i="35"/>
  <c r="W1084" i="35"/>
  <c r="W1085" i="35"/>
  <c r="W1086" i="35"/>
  <c r="W1087" i="35"/>
  <c r="W1088" i="35"/>
  <c r="W1089" i="35"/>
  <c r="W1090" i="35"/>
  <c r="W1091" i="35"/>
  <c r="W1092" i="35"/>
  <c r="W1093" i="35"/>
  <c r="W1094" i="35"/>
  <c r="W1095" i="35"/>
  <c r="W1096" i="35"/>
  <c r="W1097" i="35"/>
  <c r="W1098" i="35"/>
  <c r="W1099" i="35"/>
  <c r="W1100" i="35"/>
  <c r="W1101" i="35"/>
  <c r="W1102" i="35"/>
  <c r="W1103" i="35"/>
  <c r="W1104" i="35"/>
  <c r="W1105" i="35"/>
  <c r="W1106" i="35"/>
  <c r="W1107" i="35"/>
  <c r="W1108" i="35"/>
  <c r="W1109" i="35"/>
  <c r="W1110" i="35"/>
  <c r="W1111" i="35"/>
  <c r="W1112" i="35"/>
  <c r="W1113" i="35"/>
  <c r="W1114" i="35"/>
  <c r="W1115" i="35"/>
  <c r="W1116" i="35"/>
  <c r="W1117" i="35"/>
  <c r="W1118" i="35"/>
  <c r="W1119" i="35"/>
  <c r="W1120" i="35"/>
  <c r="W1121" i="35"/>
  <c r="W1122" i="35"/>
  <c r="W1123" i="35"/>
  <c r="W1124" i="35"/>
  <c r="W1125" i="35"/>
  <c r="W1126" i="35"/>
  <c r="W1127" i="35"/>
  <c r="W1128" i="35"/>
  <c r="W1129" i="35"/>
  <c r="W1130" i="35"/>
  <c r="W1131" i="35"/>
  <c r="W1132" i="35"/>
  <c r="W1133" i="35"/>
  <c r="W1134" i="35"/>
  <c r="W1135" i="35"/>
  <c r="W1136" i="35"/>
  <c r="W1137" i="35"/>
  <c r="W1138" i="35"/>
  <c r="W1139" i="35"/>
  <c r="W1140" i="35"/>
  <c r="W1141" i="35"/>
  <c r="W1142" i="35"/>
  <c r="W1143" i="35"/>
  <c r="W1144" i="35"/>
  <c r="W1145" i="35"/>
  <c r="W1146" i="35"/>
  <c r="W1147" i="35"/>
  <c r="W1148" i="35"/>
  <c r="W1149" i="35"/>
  <c r="W1150" i="35"/>
  <c r="W1151" i="35"/>
  <c r="W1152" i="35"/>
  <c r="W1153" i="35"/>
  <c r="W1154" i="35"/>
  <c r="W1155" i="35"/>
  <c r="W1156" i="35"/>
  <c r="W1157" i="35"/>
  <c r="W1158" i="35"/>
  <c r="W1159" i="35"/>
  <c r="W1160" i="35"/>
  <c r="W1161" i="35"/>
  <c r="W1162" i="35"/>
  <c r="W1163" i="35"/>
  <c r="W1164" i="35"/>
  <c r="W1165" i="35"/>
  <c r="W1166" i="35"/>
  <c r="W1167" i="35"/>
  <c r="W1168" i="35"/>
  <c r="W1169" i="35"/>
  <c r="W1170" i="35"/>
  <c r="W1171" i="35"/>
  <c r="W1172" i="35"/>
  <c r="W1173" i="35"/>
  <c r="W1174" i="35"/>
  <c r="W1175" i="35"/>
  <c r="W1176" i="35"/>
  <c r="W1177" i="35"/>
  <c r="W1178" i="35"/>
  <c r="W1179" i="35"/>
  <c r="W1180" i="35"/>
  <c r="W1181" i="35"/>
  <c r="W1182" i="35"/>
  <c r="W1183" i="35"/>
  <c r="W1184" i="35"/>
  <c r="W1185" i="35"/>
  <c r="W1186" i="35"/>
  <c r="W1187" i="35"/>
  <c r="W1188" i="35"/>
  <c r="W1189" i="35"/>
  <c r="W1190" i="35"/>
  <c r="W1191" i="35"/>
  <c r="W1192" i="35"/>
  <c r="W1193" i="35"/>
  <c r="W1194" i="35"/>
  <c r="W1195" i="35"/>
  <c r="W1196" i="35"/>
  <c r="W1197" i="35"/>
  <c r="W1198" i="35"/>
  <c r="W1199" i="35"/>
  <c r="W1200" i="35"/>
  <c r="W1201" i="35"/>
  <c r="W1202" i="35"/>
  <c r="W1203" i="35"/>
  <c r="W1204" i="35"/>
  <c r="W1205" i="35"/>
  <c r="W1206" i="35"/>
  <c r="W1207" i="35"/>
  <c r="W1208" i="35"/>
  <c r="W1209" i="35"/>
  <c r="W1210" i="35"/>
  <c r="W1211" i="35"/>
  <c r="W1212" i="35"/>
  <c r="W1213" i="35"/>
  <c r="W1214" i="35"/>
  <c r="W1215" i="35"/>
  <c r="W1216" i="35"/>
  <c r="W1217" i="35"/>
  <c r="W1218" i="35"/>
  <c r="W1219" i="35"/>
  <c r="W1220" i="35"/>
  <c r="W1221" i="35"/>
  <c r="W1222" i="35"/>
  <c r="W1223" i="35"/>
  <c r="W1224" i="35"/>
  <c r="W1225" i="35"/>
  <c r="W1226" i="35"/>
  <c r="W1227" i="35"/>
  <c r="W1228" i="35"/>
  <c r="W1229" i="35"/>
  <c r="W1230" i="35"/>
  <c r="W1231" i="35"/>
  <c r="W1232" i="35"/>
  <c r="W1233" i="35"/>
  <c r="W1234" i="35"/>
  <c r="W1235" i="35"/>
  <c r="W1236" i="35"/>
  <c r="W1237" i="35"/>
  <c r="W1238" i="35"/>
  <c r="W1239" i="35"/>
  <c r="W1240" i="35"/>
  <c r="W1241" i="35"/>
  <c r="W1242" i="35"/>
  <c r="W1243" i="35"/>
  <c r="W1244" i="35"/>
  <c r="W1245" i="35"/>
  <c r="W1246" i="35"/>
  <c r="W1247" i="35"/>
  <c r="W1248" i="35"/>
  <c r="W1249" i="35"/>
  <c r="W1250" i="35"/>
  <c r="W1251" i="35"/>
  <c r="W1252" i="35"/>
  <c r="W1253" i="35"/>
  <c r="W1254" i="35"/>
  <c r="W1255" i="35"/>
  <c r="W1256" i="35"/>
  <c r="W1257" i="35"/>
  <c r="W1258" i="35"/>
  <c r="W1259" i="35"/>
  <c r="W1260" i="35"/>
  <c r="W1261" i="35"/>
  <c r="W1262" i="35"/>
  <c r="W1263" i="35"/>
  <c r="W1264" i="35"/>
  <c r="W1265" i="35"/>
  <c r="W1266" i="35"/>
  <c r="W1267" i="35"/>
  <c r="W1268" i="35"/>
  <c r="W1269" i="35"/>
  <c r="W1270" i="35"/>
  <c r="W1271" i="35"/>
  <c r="W1272" i="35"/>
  <c r="W1273" i="35"/>
  <c r="W1274" i="35"/>
  <c r="W1275" i="35"/>
  <c r="W1276" i="35"/>
  <c r="W1277" i="35"/>
  <c r="W1278" i="35"/>
  <c r="W1279" i="35"/>
  <c r="W1280" i="35"/>
  <c r="W1281" i="35"/>
  <c r="W1282" i="35"/>
  <c r="W1283" i="35"/>
  <c r="W1284" i="35"/>
  <c r="W1285" i="35"/>
  <c r="W1286" i="35"/>
  <c r="W1287" i="35"/>
  <c r="W1288" i="35"/>
  <c r="W1289" i="35"/>
  <c r="W1290" i="35"/>
  <c r="W1291" i="35"/>
  <c r="W1292" i="35"/>
  <c r="W1293" i="35"/>
  <c r="W1294" i="35"/>
  <c r="W1295" i="35"/>
  <c r="W1296" i="35"/>
  <c r="W1297" i="35"/>
  <c r="W1298" i="35"/>
  <c r="W1299" i="35"/>
  <c r="W1300" i="35"/>
  <c r="W1301" i="35"/>
  <c r="W1302" i="35"/>
  <c r="W1303" i="35"/>
  <c r="W1304" i="35"/>
  <c r="W1305" i="35"/>
  <c r="W1306" i="35"/>
  <c r="W1307" i="35"/>
  <c r="W1308" i="35"/>
  <c r="W1309" i="35"/>
  <c r="W1310" i="35"/>
  <c r="W1311" i="35"/>
  <c r="W1312" i="35"/>
  <c r="W1313" i="35"/>
  <c r="W1314" i="35"/>
  <c r="W1315" i="35"/>
  <c r="W1316" i="35"/>
  <c r="W1317" i="35"/>
  <c r="W1318" i="35"/>
  <c r="W1319" i="35"/>
  <c r="W1320" i="35"/>
  <c r="W1321" i="35"/>
  <c r="W1322" i="35"/>
  <c r="W1323" i="35"/>
  <c r="W1324" i="35"/>
  <c r="W1325" i="35"/>
  <c r="W1326" i="35"/>
  <c r="W1327" i="35"/>
  <c r="W1328" i="35"/>
  <c r="W1329" i="35"/>
  <c r="W1330" i="35"/>
  <c r="W1331" i="35"/>
  <c r="W1332" i="35"/>
  <c r="W1333" i="35"/>
  <c r="W1334" i="35"/>
  <c r="W1335" i="35"/>
  <c r="W1336" i="35"/>
  <c r="W1337" i="35"/>
  <c r="W1338" i="35"/>
  <c r="W1339" i="35"/>
  <c r="W1340" i="35"/>
  <c r="W1341" i="35"/>
  <c r="W1342" i="35"/>
  <c r="W1343" i="35"/>
  <c r="W1344" i="35"/>
  <c r="W1345" i="35"/>
  <c r="W1346" i="35"/>
  <c r="W1347" i="35"/>
  <c r="W1348" i="35"/>
  <c r="W1349" i="35"/>
  <c r="W1350" i="35"/>
  <c r="W1351" i="35"/>
  <c r="W1352" i="35"/>
  <c r="W1353" i="35"/>
  <c r="W1354" i="35"/>
  <c r="W1355" i="35"/>
  <c r="W1356" i="35"/>
  <c r="W1357" i="35"/>
  <c r="W1358" i="35"/>
  <c r="W1359" i="35"/>
  <c r="W1360" i="35"/>
  <c r="W1361" i="35"/>
  <c r="W1362" i="35"/>
  <c r="W1363" i="35"/>
  <c r="W1364" i="35"/>
  <c r="W1365" i="35"/>
  <c r="W1366" i="35"/>
  <c r="W1367" i="35"/>
  <c r="W1368" i="35"/>
  <c r="W1369" i="35"/>
  <c r="W1370" i="35"/>
  <c r="W1371" i="35"/>
  <c r="W1372" i="35"/>
  <c r="W1373" i="35"/>
  <c r="W1374" i="35"/>
  <c r="W1375" i="35"/>
  <c r="W1376" i="35"/>
  <c r="W1377" i="35"/>
  <c r="W1378" i="35"/>
  <c r="W1379" i="35"/>
  <c r="W1380" i="35"/>
  <c r="W1381" i="35"/>
  <c r="W1382" i="35"/>
  <c r="W1383" i="35"/>
  <c r="W1384" i="35"/>
  <c r="W1385" i="35"/>
  <c r="W1386" i="35"/>
  <c r="W1387" i="35"/>
  <c r="W1388" i="35"/>
  <c r="W1389" i="35"/>
  <c r="W1390" i="35"/>
  <c r="W1391" i="35"/>
  <c r="W1392" i="35"/>
  <c r="W1393" i="35"/>
  <c r="W1394" i="35"/>
  <c r="W1395" i="35"/>
  <c r="W1396" i="35"/>
  <c r="W1397" i="35"/>
  <c r="W1398" i="35"/>
  <c r="W1399" i="35"/>
  <c r="W1400" i="35"/>
  <c r="W1401" i="35"/>
  <c r="W1402" i="35"/>
  <c r="W1403" i="35"/>
  <c r="W1404" i="35"/>
  <c r="W1405" i="35"/>
  <c r="W1406" i="35"/>
  <c r="W1407" i="35"/>
  <c r="W1408" i="35"/>
  <c r="W1409" i="35"/>
  <c r="W1410" i="35"/>
  <c r="W1411" i="35"/>
  <c r="W1412" i="35"/>
  <c r="W1413" i="35"/>
  <c r="W1414" i="35"/>
  <c r="W1415" i="35"/>
  <c r="W1416" i="35"/>
  <c r="W1417" i="35"/>
  <c r="W1418" i="35"/>
  <c r="W1419" i="35"/>
  <c r="W1420" i="35"/>
  <c r="W1421" i="35"/>
  <c r="W1422" i="35"/>
  <c r="W1423" i="35"/>
  <c r="W1424" i="35"/>
  <c r="W1425" i="35"/>
  <c r="W1426" i="35"/>
  <c r="W1427" i="35"/>
  <c r="W1428" i="35"/>
  <c r="W1429" i="35"/>
  <c r="W1430" i="35"/>
  <c r="W1431" i="35"/>
  <c r="W1432" i="35"/>
  <c r="W1433" i="35"/>
  <c r="W1434" i="35"/>
  <c r="W1435" i="35"/>
  <c r="W1436" i="35"/>
  <c r="W1437" i="35"/>
  <c r="W1438" i="35"/>
  <c r="W1439" i="35"/>
  <c r="W1440" i="35"/>
  <c r="W1441" i="35"/>
  <c r="W1442" i="35"/>
  <c r="W1443" i="35"/>
  <c r="W1444" i="35"/>
  <c r="W1445" i="35"/>
  <c r="W1446" i="35"/>
  <c r="W1447" i="35"/>
  <c r="W1448" i="35"/>
  <c r="W1449" i="35"/>
  <c r="W1450" i="35"/>
  <c r="W1451" i="35"/>
  <c r="W1452" i="35"/>
  <c r="W1453" i="35"/>
  <c r="W1454" i="35"/>
  <c r="W1455" i="35"/>
  <c r="W1456" i="35"/>
  <c r="W1457" i="35"/>
  <c r="W1458" i="35"/>
  <c r="W1459" i="35"/>
  <c r="W1460" i="35"/>
  <c r="W1461" i="35"/>
  <c r="W1462" i="35"/>
  <c r="W1463" i="35"/>
  <c r="W1464" i="35"/>
  <c r="W1465" i="35"/>
  <c r="W1466" i="35"/>
  <c r="W1467" i="35"/>
  <c r="W1468" i="35"/>
  <c r="W1469" i="35"/>
  <c r="W1470" i="35"/>
  <c r="W1471" i="35"/>
  <c r="W1472" i="35"/>
  <c r="W1473" i="35"/>
  <c r="W1474" i="35"/>
  <c r="W1475" i="35"/>
  <c r="W1476" i="35"/>
  <c r="W1477" i="35"/>
  <c r="W1478" i="35"/>
  <c r="W1479" i="35"/>
  <c r="W1480" i="35"/>
  <c r="W1481" i="35"/>
  <c r="W1482" i="35"/>
  <c r="W1483" i="35"/>
  <c r="W1484" i="35"/>
  <c r="W1485" i="35"/>
  <c r="W1486" i="35"/>
  <c r="W1487" i="35"/>
  <c r="W1488" i="35"/>
  <c r="W1489" i="35"/>
  <c r="W1490" i="35"/>
  <c r="W1491" i="35"/>
  <c r="W1492" i="35"/>
  <c r="W1493" i="35"/>
  <c r="W1494" i="35"/>
  <c r="W1495" i="35"/>
  <c r="W1496" i="35"/>
  <c r="W1497" i="35"/>
  <c r="W1498" i="35"/>
  <c r="W1499" i="35"/>
  <c r="W1500" i="35"/>
  <c r="W1501" i="35"/>
  <c r="W1502" i="35"/>
  <c r="W1503" i="35"/>
  <c r="W1504" i="35"/>
  <c r="W1505" i="35"/>
  <c r="W1506" i="35"/>
  <c r="W1507" i="35"/>
  <c r="W1508" i="35"/>
  <c r="W1509" i="35"/>
  <c r="W1510" i="35"/>
  <c r="W1511" i="35"/>
  <c r="W1512" i="35"/>
  <c r="W1513" i="35"/>
  <c r="W1514" i="35"/>
  <c r="W1515" i="35"/>
  <c r="W1516" i="35"/>
  <c r="W1517" i="35"/>
  <c r="W1518" i="35"/>
  <c r="W1519" i="35"/>
  <c r="W1520" i="35"/>
  <c r="W1521" i="35"/>
  <c r="W1522" i="35"/>
  <c r="W1523" i="35"/>
  <c r="W1524" i="35"/>
  <c r="W1525" i="35"/>
  <c r="W1526" i="35"/>
  <c r="W1527" i="35"/>
  <c r="W1528" i="35"/>
  <c r="W1529" i="35"/>
  <c r="W1530" i="35"/>
  <c r="W1531" i="35"/>
  <c r="W1532" i="35"/>
  <c r="W1533" i="35"/>
  <c r="W1534" i="35"/>
  <c r="W1535" i="35"/>
  <c r="W1536" i="35"/>
  <c r="W1537" i="35"/>
  <c r="W1538" i="35"/>
  <c r="W1539" i="35"/>
  <c r="W1540" i="35"/>
  <c r="W1541" i="35"/>
  <c r="W1542" i="35"/>
  <c r="W1543" i="35"/>
  <c r="W1544" i="35"/>
  <c r="W1545" i="35"/>
  <c r="W1546" i="35"/>
  <c r="W1547" i="35"/>
  <c r="W1548" i="35"/>
  <c r="W1549" i="35"/>
  <c r="W1550" i="35"/>
  <c r="W1551" i="35"/>
  <c r="W1552" i="35"/>
  <c r="W1553" i="35"/>
  <c r="W1554" i="35"/>
  <c r="W1555" i="35"/>
  <c r="W1556" i="35"/>
  <c r="W1557" i="35"/>
  <c r="W1558" i="35"/>
  <c r="W1559" i="35"/>
  <c r="W1560" i="35"/>
  <c r="W1561" i="35"/>
  <c r="W1562" i="35"/>
  <c r="W1563" i="35"/>
  <c r="W1564" i="35"/>
  <c r="W1565" i="35"/>
  <c r="W1566" i="35"/>
  <c r="W1567" i="35"/>
  <c r="W1568" i="35"/>
  <c r="W2" i="35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41" i="35"/>
  <c r="D42" i="35"/>
  <c r="D43" i="35"/>
  <c r="D44" i="35"/>
  <c r="D45" i="35"/>
  <c r="D46" i="35"/>
  <c r="D47" i="35"/>
  <c r="D48" i="35"/>
  <c r="D49" i="35"/>
  <c r="D50" i="35"/>
  <c r="D51" i="35"/>
  <c r="D52" i="35"/>
  <c r="D53" i="35"/>
  <c r="D54" i="35"/>
  <c r="D55" i="35"/>
  <c r="D56" i="35"/>
  <c r="D57" i="35"/>
  <c r="D58" i="35"/>
  <c r="D59" i="35"/>
  <c r="D60" i="35"/>
  <c r="D61" i="35"/>
  <c r="D62" i="35"/>
  <c r="D63" i="35"/>
  <c r="D64" i="35"/>
  <c r="D65" i="35"/>
  <c r="D66" i="35"/>
  <c r="D67" i="35"/>
  <c r="D68" i="35"/>
  <c r="D69" i="35"/>
  <c r="D70" i="35"/>
  <c r="D71" i="35"/>
  <c r="D72" i="35"/>
  <c r="D73" i="35"/>
  <c r="D74" i="35"/>
  <c r="D75" i="35"/>
  <c r="D76" i="35"/>
  <c r="D77" i="35"/>
  <c r="D78" i="35"/>
  <c r="D79" i="35"/>
  <c r="D80" i="35"/>
  <c r="D81" i="35"/>
  <c r="D82" i="35"/>
  <c r="D83" i="35"/>
  <c r="D84" i="35"/>
  <c r="D85" i="35"/>
  <c r="D86" i="35"/>
  <c r="D87" i="35"/>
  <c r="D88" i="35"/>
  <c r="D89" i="35"/>
  <c r="D90" i="35"/>
  <c r="D91" i="35"/>
  <c r="D92" i="35"/>
  <c r="D93" i="35"/>
  <c r="D94" i="35"/>
  <c r="D95" i="35"/>
  <c r="D96" i="35"/>
  <c r="D97" i="35"/>
  <c r="D98" i="35"/>
  <c r="D99" i="35"/>
  <c r="D100" i="35"/>
  <c r="D101" i="35"/>
  <c r="D102" i="35"/>
  <c r="D103" i="35"/>
  <c r="D104" i="35"/>
  <c r="D105" i="35"/>
  <c r="D106" i="35"/>
  <c r="D107" i="35"/>
  <c r="D108" i="35"/>
  <c r="D109" i="35"/>
  <c r="D110" i="35"/>
  <c r="D111" i="35"/>
  <c r="D112" i="35"/>
  <c r="D113" i="35"/>
  <c r="D114" i="35"/>
  <c r="D115" i="35"/>
  <c r="D116" i="35"/>
  <c r="D117" i="35"/>
  <c r="D118" i="35"/>
  <c r="D119" i="35"/>
  <c r="D120" i="35"/>
  <c r="D121" i="35"/>
  <c r="D122" i="35"/>
  <c r="D123" i="35"/>
  <c r="D124" i="35"/>
  <c r="D125" i="35"/>
  <c r="D126" i="35"/>
  <c r="D127" i="35"/>
  <c r="D128" i="35"/>
  <c r="D129" i="35"/>
  <c r="D130" i="35"/>
  <c r="D131" i="35"/>
  <c r="D132" i="35"/>
  <c r="D133" i="35"/>
  <c r="D134" i="35"/>
  <c r="D135" i="35"/>
  <c r="D136" i="35"/>
  <c r="D137" i="35"/>
  <c r="D138" i="35"/>
  <c r="D139" i="35"/>
  <c r="D140" i="35"/>
  <c r="D141" i="35"/>
  <c r="D142" i="35"/>
  <c r="D143" i="35"/>
  <c r="D144" i="35"/>
  <c r="D145" i="35"/>
  <c r="D146" i="35"/>
  <c r="D147" i="35"/>
  <c r="D148" i="35"/>
  <c r="D149" i="35"/>
  <c r="D150" i="35"/>
  <c r="D151" i="35"/>
  <c r="D152" i="35"/>
  <c r="D153" i="35"/>
  <c r="D154" i="35"/>
  <c r="D155" i="35"/>
  <c r="D156" i="35"/>
  <c r="D157" i="35"/>
  <c r="D158" i="35"/>
  <c r="D159" i="35"/>
  <c r="D160" i="35"/>
  <c r="D161" i="35"/>
  <c r="D162" i="35"/>
  <c r="D163" i="35"/>
  <c r="D164" i="35"/>
  <c r="D165" i="35"/>
  <c r="D166" i="35"/>
  <c r="D167" i="35"/>
  <c r="D168" i="35"/>
  <c r="D169" i="35"/>
  <c r="D170" i="35"/>
  <c r="D171" i="35"/>
  <c r="D172" i="35"/>
  <c r="D173" i="35"/>
  <c r="D174" i="35"/>
  <c r="D175" i="35"/>
  <c r="D176" i="35"/>
  <c r="D177" i="35"/>
  <c r="D178" i="35"/>
  <c r="D179" i="35"/>
  <c r="D180" i="35"/>
  <c r="D181" i="35"/>
  <c r="D182" i="35"/>
  <c r="D183" i="35"/>
  <c r="D184" i="35"/>
  <c r="D185" i="35"/>
  <c r="D186" i="35"/>
  <c r="D187" i="35"/>
  <c r="D188" i="35"/>
  <c r="D189" i="35"/>
  <c r="D190" i="35"/>
  <c r="D191" i="35"/>
  <c r="D192" i="35"/>
  <c r="D193" i="35"/>
  <c r="D194" i="35"/>
  <c r="D195" i="35"/>
  <c r="D196" i="35"/>
  <c r="D197" i="35"/>
  <c r="D198" i="35"/>
  <c r="D199" i="35"/>
  <c r="D200" i="35"/>
  <c r="D201" i="35"/>
  <c r="D202" i="35"/>
  <c r="D203" i="35"/>
  <c r="D204" i="35"/>
  <c r="D205" i="35"/>
  <c r="D206" i="35"/>
  <c r="D207" i="35"/>
  <c r="D208" i="35"/>
  <c r="D209" i="35"/>
  <c r="D210" i="35"/>
  <c r="D211" i="35"/>
  <c r="D212" i="35"/>
  <c r="D213" i="35"/>
  <c r="D214" i="35"/>
  <c r="D215" i="35"/>
  <c r="D216" i="35"/>
  <c r="D217" i="35"/>
  <c r="D218" i="35"/>
  <c r="D219" i="35"/>
  <c r="D220" i="35"/>
  <c r="D221" i="35"/>
  <c r="D222" i="35"/>
  <c r="D223" i="35"/>
  <c r="D224" i="35"/>
  <c r="D225" i="35"/>
  <c r="D226" i="35"/>
  <c r="D227" i="35"/>
  <c r="D228" i="35"/>
  <c r="D229" i="35"/>
  <c r="D230" i="35"/>
  <c r="D231" i="35"/>
  <c r="D232" i="35"/>
  <c r="D233" i="35"/>
  <c r="D234" i="35"/>
  <c r="D235" i="35"/>
  <c r="D236" i="35"/>
  <c r="D237" i="35"/>
  <c r="D238" i="35"/>
  <c r="D239" i="35"/>
  <c r="D240" i="35"/>
  <c r="D241" i="35"/>
  <c r="D242" i="35"/>
  <c r="D243" i="35"/>
  <c r="D244" i="35"/>
  <c r="D245" i="35"/>
  <c r="D246" i="35"/>
  <c r="D247" i="35"/>
  <c r="D248" i="35"/>
  <c r="D249" i="35"/>
  <c r="D250" i="35"/>
  <c r="D251" i="35"/>
  <c r="D252" i="35"/>
  <c r="D253" i="35"/>
  <c r="D254" i="35"/>
  <c r="D255" i="35"/>
  <c r="D256" i="35"/>
  <c r="D257" i="35"/>
  <c r="D258" i="35"/>
  <c r="D259" i="35"/>
  <c r="D260" i="35"/>
  <c r="D261" i="35"/>
  <c r="D262" i="35"/>
  <c r="D263" i="35"/>
  <c r="D264" i="35"/>
  <c r="D265" i="35"/>
  <c r="D266" i="35"/>
  <c r="D267" i="35"/>
  <c r="D268" i="35"/>
  <c r="D269" i="35"/>
  <c r="D270" i="35"/>
  <c r="D271" i="35"/>
  <c r="D272" i="35"/>
  <c r="D273" i="35"/>
  <c r="D274" i="35"/>
  <c r="D275" i="35"/>
  <c r="D276" i="35"/>
  <c r="D277" i="35"/>
  <c r="D278" i="35"/>
  <c r="D279" i="35"/>
  <c r="D280" i="35"/>
  <c r="D281" i="35"/>
  <c r="D282" i="35"/>
  <c r="D283" i="35"/>
  <c r="D284" i="35"/>
  <c r="D285" i="35"/>
  <c r="D286" i="35"/>
  <c r="D287" i="35"/>
  <c r="D288" i="35"/>
  <c r="D289" i="35"/>
  <c r="D290" i="35"/>
  <c r="D291" i="35"/>
  <c r="D292" i="35"/>
  <c r="D293" i="35"/>
  <c r="D294" i="35"/>
  <c r="D295" i="35"/>
  <c r="D296" i="35"/>
  <c r="D297" i="35"/>
  <c r="D298" i="35"/>
  <c r="D299" i="35"/>
  <c r="D300" i="35"/>
  <c r="D301" i="35"/>
  <c r="D302" i="35"/>
  <c r="D303" i="35"/>
  <c r="D304" i="35"/>
  <c r="D305" i="35"/>
  <c r="D306" i="35"/>
  <c r="D307" i="35"/>
  <c r="D308" i="35"/>
  <c r="D309" i="35"/>
  <c r="D310" i="35"/>
  <c r="D311" i="35"/>
  <c r="D312" i="35"/>
  <c r="D313" i="35"/>
  <c r="D314" i="35"/>
  <c r="D315" i="35"/>
  <c r="D316" i="35"/>
  <c r="D317" i="35"/>
  <c r="D318" i="35"/>
  <c r="D319" i="35"/>
  <c r="D320" i="35"/>
  <c r="D321" i="35"/>
  <c r="D322" i="35"/>
  <c r="D323" i="35"/>
  <c r="D324" i="35"/>
  <c r="D325" i="35"/>
  <c r="D326" i="35"/>
  <c r="D327" i="35"/>
  <c r="D328" i="35"/>
  <c r="D329" i="35"/>
  <c r="D330" i="35"/>
  <c r="D331" i="35"/>
  <c r="D332" i="35"/>
  <c r="D333" i="35"/>
  <c r="D334" i="35"/>
  <c r="D335" i="35"/>
  <c r="D336" i="35"/>
  <c r="D337" i="35"/>
  <c r="D338" i="35"/>
  <c r="D339" i="35"/>
  <c r="D340" i="35"/>
  <c r="D341" i="35"/>
  <c r="D342" i="35"/>
  <c r="D343" i="35"/>
  <c r="D344" i="35"/>
  <c r="D345" i="35"/>
  <c r="D346" i="35"/>
  <c r="D347" i="35"/>
  <c r="D348" i="35"/>
  <c r="D349" i="35"/>
  <c r="D350" i="35"/>
  <c r="D351" i="35"/>
  <c r="D352" i="35"/>
  <c r="D353" i="35"/>
  <c r="D354" i="35"/>
  <c r="D355" i="35"/>
  <c r="D356" i="35"/>
  <c r="D357" i="35"/>
  <c r="D358" i="35"/>
  <c r="D359" i="35"/>
  <c r="D360" i="35"/>
  <c r="D361" i="35"/>
  <c r="D362" i="35"/>
  <c r="D363" i="35"/>
  <c r="D364" i="35"/>
  <c r="D365" i="35"/>
  <c r="D366" i="35"/>
  <c r="D367" i="35"/>
  <c r="D368" i="35"/>
  <c r="D369" i="35"/>
  <c r="D370" i="35"/>
  <c r="D371" i="35"/>
  <c r="D372" i="35"/>
  <c r="D373" i="35"/>
  <c r="D374" i="35"/>
  <c r="D375" i="35"/>
  <c r="D376" i="35"/>
  <c r="D377" i="35"/>
  <c r="D378" i="35"/>
  <c r="D379" i="35"/>
  <c r="D380" i="35"/>
  <c r="D381" i="35"/>
  <c r="D382" i="35"/>
  <c r="D383" i="35"/>
  <c r="D384" i="35"/>
  <c r="D385" i="35"/>
  <c r="D386" i="35"/>
  <c r="D387" i="35"/>
  <c r="D388" i="35"/>
  <c r="D389" i="35"/>
  <c r="D390" i="35"/>
  <c r="D391" i="35"/>
  <c r="D392" i="35"/>
  <c r="D393" i="35"/>
  <c r="D394" i="35"/>
  <c r="D395" i="35"/>
  <c r="D396" i="35"/>
  <c r="D397" i="35"/>
  <c r="D398" i="35"/>
  <c r="D399" i="35"/>
  <c r="D400" i="35"/>
  <c r="D401" i="35"/>
  <c r="D402" i="35"/>
  <c r="D403" i="35"/>
  <c r="D404" i="35"/>
  <c r="D405" i="35"/>
  <c r="D406" i="35"/>
  <c r="D407" i="35"/>
  <c r="D408" i="35"/>
  <c r="D2" i="35"/>
  <c r="C3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C163" i="35"/>
  <c r="C164" i="35"/>
  <c r="C165" i="35"/>
  <c r="C166" i="35"/>
  <c r="C167" i="35"/>
  <c r="C168" i="35"/>
  <c r="C169" i="35"/>
  <c r="C170" i="35"/>
  <c r="C171" i="35"/>
  <c r="C172" i="35"/>
  <c r="C173" i="35"/>
  <c r="C174" i="35"/>
  <c r="C175" i="35"/>
  <c r="C176" i="35"/>
  <c r="C177" i="35"/>
  <c r="C178" i="35"/>
  <c r="C179" i="35"/>
  <c r="C180" i="35"/>
  <c r="C181" i="35"/>
  <c r="C182" i="35"/>
  <c r="C183" i="35"/>
  <c r="C184" i="35"/>
  <c r="C185" i="35"/>
  <c r="C186" i="35"/>
  <c r="C187" i="35"/>
  <c r="C188" i="35"/>
  <c r="C189" i="35"/>
  <c r="C190" i="35"/>
  <c r="C191" i="35"/>
  <c r="C192" i="35"/>
  <c r="C193" i="35"/>
  <c r="C194" i="35"/>
  <c r="C195" i="35"/>
  <c r="C196" i="35"/>
  <c r="C197" i="35"/>
  <c r="C198" i="35"/>
  <c r="C199" i="35"/>
  <c r="C200" i="35"/>
  <c r="C201" i="35"/>
  <c r="C202" i="35"/>
  <c r="C203" i="35"/>
  <c r="C204" i="35"/>
  <c r="C205" i="35"/>
  <c r="C206" i="35"/>
  <c r="C207" i="35"/>
  <c r="C208" i="35"/>
  <c r="C209" i="35"/>
  <c r="C210" i="35"/>
  <c r="C211" i="35"/>
  <c r="C212" i="35"/>
  <c r="C213" i="35"/>
  <c r="C214" i="35"/>
  <c r="C215" i="35"/>
  <c r="C216" i="35"/>
  <c r="C217" i="35"/>
  <c r="C218" i="35"/>
  <c r="C219" i="35"/>
  <c r="C220" i="35"/>
  <c r="C221" i="35"/>
  <c r="C222" i="35"/>
  <c r="C223" i="35"/>
  <c r="C224" i="35"/>
  <c r="C225" i="35"/>
  <c r="C226" i="35"/>
  <c r="C227" i="35"/>
  <c r="C228" i="35"/>
  <c r="C229" i="35"/>
  <c r="C230" i="35"/>
  <c r="C231" i="35"/>
  <c r="C232" i="35"/>
  <c r="C233" i="35"/>
  <c r="C234" i="35"/>
  <c r="C235" i="35"/>
  <c r="C236" i="35"/>
  <c r="C237" i="35"/>
  <c r="C238" i="35"/>
  <c r="C239" i="35"/>
  <c r="C240" i="35"/>
  <c r="C241" i="35"/>
  <c r="C242" i="35"/>
  <c r="C243" i="35"/>
  <c r="C244" i="35"/>
  <c r="C245" i="35"/>
  <c r="C246" i="35"/>
  <c r="C247" i="35"/>
  <c r="C248" i="35"/>
  <c r="C249" i="35"/>
  <c r="C250" i="35"/>
  <c r="C251" i="35"/>
  <c r="C252" i="35"/>
  <c r="C253" i="35"/>
  <c r="C254" i="35"/>
  <c r="C255" i="35"/>
  <c r="C256" i="35"/>
  <c r="C257" i="35"/>
  <c r="C258" i="35"/>
  <c r="C259" i="35"/>
  <c r="C260" i="35"/>
  <c r="C261" i="35"/>
  <c r="C262" i="35"/>
  <c r="C263" i="35"/>
  <c r="C264" i="35"/>
  <c r="C265" i="35"/>
  <c r="C266" i="35"/>
  <c r="C267" i="35"/>
  <c r="C268" i="35"/>
  <c r="C269" i="35"/>
  <c r="C270" i="35"/>
  <c r="C271" i="35"/>
  <c r="C272" i="35"/>
  <c r="C273" i="35"/>
  <c r="C274" i="35"/>
  <c r="C275" i="35"/>
  <c r="C276" i="35"/>
  <c r="C277" i="35"/>
  <c r="C278" i="35"/>
  <c r="C279" i="35"/>
  <c r="C280" i="35"/>
  <c r="C281" i="35"/>
  <c r="C282" i="35"/>
  <c r="C283" i="35"/>
  <c r="C284" i="35"/>
  <c r="C285" i="35"/>
  <c r="C286" i="35"/>
  <c r="C287" i="35"/>
  <c r="C288" i="35"/>
  <c r="C289" i="35"/>
  <c r="C290" i="35"/>
  <c r="C291" i="35"/>
  <c r="C292" i="35"/>
  <c r="C293" i="35"/>
  <c r="C294" i="35"/>
  <c r="C295" i="35"/>
  <c r="C296" i="35"/>
  <c r="C297" i="35"/>
  <c r="C298" i="35"/>
  <c r="C299" i="35"/>
  <c r="C300" i="35"/>
  <c r="C301" i="35"/>
  <c r="C302" i="35"/>
  <c r="C303" i="35"/>
  <c r="C304" i="35"/>
  <c r="C305" i="35"/>
  <c r="C306" i="35"/>
  <c r="C307" i="35"/>
  <c r="C308" i="35"/>
  <c r="C309" i="35"/>
  <c r="C310" i="35"/>
  <c r="C311" i="35"/>
  <c r="C312" i="35"/>
  <c r="C313" i="35"/>
  <c r="C314" i="35"/>
  <c r="C315" i="35"/>
  <c r="C316" i="35"/>
  <c r="C317" i="35"/>
  <c r="C318" i="35"/>
  <c r="C319" i="35"/>
  <c r="C320" i="35"/>
  <c r="C321" i="35"/>
  <c r="C322" i="35"/>
  <c r="C323" i="35"/>
  <c r="C324" i="35"/>
  <c r="C325" i="35"/>
  <c r="C326" i="35"/>
  <c r="C327" i="35"/>
  <c r="C328" i="35"/>
  <c r="C329" i="35"/>
  <c r="C330" i="35"/>
  <c r="C331" i="35"/>
  <c r="C332" i="35"/>
  <c r="C333" i="35"/>
  <c r="C334" i="35"/>
  <c r="C335" i="35"/>
  <c r="C336" i="35"/>
  <c r="C337" i="35"/>
  <c r="C338" i="35"/>
  <c r="C339" i="35"/>
  <c r="C340" i="35"/>
  <c r="C341" i="35"/>
  <c r="C342" i="35"/>
  <c r="C343" i="35"/>
  <c r="C344" i="35"/>
  <c r="C345" i="35"/>
  <c r="C346" i="35"/>
  <c r="C347" i="35"/>
  <c r="C348" i="35"/>
  <c r="C349" i="35"/>
  <c r="C350" i="35"/>
  <c r="C351" i="35"/>
  <c r="C352" i="35"/>
  <c r="C353" i="35"/>
  <c r="C354" i="35"/>
  <c r="C355" i="35"/>
  <c r="C356" i="35"/>
  <c r="C357" i="35"/>
  <c r="C358" i="35"/>
  <c r="C359" i="35"/>
  <c r="C360" i="35"/>
  <c r="C361" i="35"/>
  <c r="C362" i="35"/>
  <c r="C363" i="35"/>
  <c r="C364" i="35"/>
  <c r="C365" i="35"/>
  <c r="C366" i="35"/>
  <c r="C367" i="35"/>
  <c r="C368" i="35"/>
  <c r="C369" i="35"/>
  <c r="C370" i="35"/>
  <c r="C371" i="35"/>
  <c r="C372" i="35"/>
  <c r="C373" i="35"/>
  <c r="C374" i="35"/>
  <c r="C375" i="35"/>
  <c r="C376" i="35"/>
  <c r="C377" i="35"/>
  <c r="C378" i="35"/>
  <c r="C379" i="35"/>
  <c r="C380" i="35"/>
  <c r="C381" i="35"/>
  <c r="C382" i="35"/>
  <c r="C383" i="35"/>
  <c r="C384" i="35"/>
  <c r="C385" i="35"/>
  <c r="C386" i="35"/>
  <c r="C387" i="35"/>
  <c r="C388" i="35"/>
  <c r="C389" i="35"/>
  <c r="C390" i="35"/>
  <c r="C391" i="35"/>
  <c r="C392" i="35"/>
  <c r="C393" i="35"/>
  <c r="C394" i="35"/>
  <c r="C395" i="35"/>
  <c r="C396" i="35"/>
  <c r="C397" i="35"/>
  <c r="C398" i="35"/>
  <c r="C399" i="35"/>
  <c r="C400" i="35"/>
  <c r="C401" i="35"/>
  <c r="C402" i="35"/>
  <c r="C403" i="35"/>
  <c r="C404" i="35"/>
  <c r="C405" i="35"/>
  <c r="C406" i="35"/>
  <c r="C407" i="35"/>
  <c r="C408" i="35"/>
  <c r="C2" i="35"/>
</calcChain>
</file>

<file path=xl/sharedStrings.xml><?xml version="1.0" encoding="utf-8"?>
<sst xmlns="http://schemas.openxmlformats.org/spreadsheetml/2006/main" count="40" uniqueCount="35">
  <si>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</si>
  <si>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</si>
  <si>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</si>
  <si>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</si>
  <si>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</si>
  <si>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</si>
  <si>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</si>
  <si>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</si>
  <si>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</si>
  <si>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</si>
  <si>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</si>
  <si>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</si>
  <si>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</si>
  <si>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</si>
  <si>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</si>
  <si>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</si>
  <si>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</si>
  <si>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</si>
  <si>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</si>
  <si>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</si>
  <si>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 [ms]</t>
  </si>
  <si>
    <t>Distance [mm]</t>
  </si>
  <si>
    <t>Throttle [%]</t>
  </si>
  <si>
    <t>Time [s]</t>
  </si>
  <si>
    <t>Distance [m]</t>
  </si>
  <si>
    <t>Velocity [m/s]</t>
  </si>
  <si>
    <t>Acceleration [m/s^2]</t>
  </si>
  <si>
    <t>Vehicle Mass [kg]</t>
  </si>
  <si>
    <t>Max Accel [m/s^2]</t>
  </si>
  <si>
    <t>Force Thrust [N]</t>
  </si>
  <si>
    <t>Net Force Thrust [N]</t>
  </si>
  <si>
    <t>Force Thrust [kg]</t>
  </si>
  <si>
    <t>T/W</t>
  </si>
  <si>
    <t>Theoretical Max Ft [kg]</t>
  </si>
  <si>
    <t>Prop Delay 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</si>
</sst>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0" xfId="0" applyFont="1"/>
    <xf numFmtId="165" fontId="2" fillId="0" borderId="0" xfId="0" applyNumberFormat="1" applyFont="1"/>
    <xf numFmtId="165" fontId="0" fillId="2" borderId="0" xfId="0" applyNumberFormat="1" applyFill="1"/>
    <xf numFmtId="165" fontId="2" fillId="2" borderId="0" xfId="0" applyNumberFormat="1" applyFont="1" applyFill="1"/>
    <xf numFmtId="165" fontId="0" fillId="2" borderId="0" xfId="0" applyNumberFormat="1" applyFill="1" applyAlignment="1">
      <alignment horizontal="center"/>
    </xf>
    <xf numFmtId="0" fontId="0" fillId="2" borderId="0" xfId="0" applyNumberForma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4770425177657181E-2"/>
          <c:y val="2.3906545088394321E-2"/>
          <c:w val="0.94367962688393381"/>
          <c:h val="0.8795907582807001"/>
        </c:manualLayout>
      </c:layout>
      <c:scatterChart>
        <c:scatterStyle val="lineMarker"/>
        <c:varyColors val="0"/>
        <c:ser>
          <c:idx val="0"/>
          <c:order val="0"/>
          <c:tx>
            <c:v>Distance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Data'!$C$2:$C$408</c:f>
              <c:numCache>
                <c:formatCode>General</c:formatCode>
                <c:ptCount val="407"/>
                <c:pt idx="0">
                  <c:v>30145</c:v>
                </c:pt>
                <c:pt idx="1">
                  <c:v>30175</c:v>
                </c:pt>
                <c:pt idx="2">
                  <c:v>30236</c:v>
                </c:pt>
                <c:pt idx="3">
                  <c:v>30306</c:v>
                </c:pt>
                <c:pt idx="4">
                  <c:v>30338</c:v>
                </c:pt>
                <c:pt idx="5">
                  <c:v>30407</c:v>
                </c:pt>
                <c:pt idx="6">
                  <c:v>30438</c:v>
                </c:pt>
                <c:pt idx="7">
                  <c:v>30508</c:v>
                </c:pt>
                <c:pt idx="8">
                  <c:v>30540</c:v>
                </c:pt>
                <c:pt idx="9">
                  <c:v>30609</c:v>
                </c:pt>
                <c:pt idx="10">
                  <c:v>30640</c:v>
                </c:pt>
                <c:pt idx="11">
                  <c:v>30710</c:v>
                </c:pt>
                <c:pt idx="12">
                  <c:v>30742</c:v>
                </c:pt>
                <c:pt idx="13">
                  <c:v>30811</c:v>
                </c:pt>
                <c:pt idx="14">
                  <c:v>30842</c:v>
                </c:pt>
                <c:pt idx="15">
                  <c:v>30912</c:v>
                </c:pt>
                <c:pt idx="16">
                  <c:v>30944</c:v>
                </c:pt>
                <c:pt idx="17">
                  <c:v>31004</c:v>
                </c:pt>
                <c:pt idx="18">
                  <c:v>31073</c:v>
                </c:pt>
                <c:pt idx="19">
                  <c:v>31104</c:v>
                </c:pt>
                <c:pt idx="20">
                  <c:v>31174</c:v>
                </c:pt>
                <c:pt idx="21">
                  <c:v>31206</c:v>
                </c:pt>
                <c:pt idx="22">
                  <c:v>31275</c:v>
                </c:pt>
                <c:pt idx="23">
                  <c:v>31307</c:v>
                </c:pt>
                <c:pt idx="24">
                  <c:v>31376</c:v>
                </c:pt>
                <c:pt idx="25">
                  <c:v>31408</c:v>
                </c:pt>
                <c:pt idx="26">
                  <c:v>31477</c:v>
                </c:pt>
                <c:pt idx="27">
                  <c:v>31508</c:v>
                </c:pt>
                <c:pt idx="28">
                  <c:v>31578</c:v>
                </c:pt>
                <c:pt idx="29">
                  <c:v>31610</c:v>
                </c:pt>
                <c:pt idx="30">
                  <c:v>31679</c:v>
                </c:pt>
                <c:pt idx="31">
                  <c:v>31711</c:v>
                </c:pt>
                <c:pt idx="32">
                  <c:v>31780</c:v>
                </c:pt>
                <c:pt idx="33">
                  <c:v>31812</c:v>
                </c:pt>
                <c:pt idx="34">
                  <c:v>31881</c:v>
                </c:pt>
                <c:pt idx="35">
                  <c:v>31913</c:v>
                </c:pt>
                <c:pt idx="36">
                  <c:v>31973</c:v>
                </c:pt>
                <c:pt idx="37">
                  <c:v>32042</c:v>
                </c:pt>
                <c:pt idx="38">
                  <c:v>32074</c:v>
                </c:pt>
                <c:pt idx="39">
                  <c:v>32143</c:v>
                </c:pt>
                <c:pt idx="40">
                  <c:v>32175</c:v>
                </c:pt>
                <c:pt idx="41">
                  <c:v>32244</c:v>
                </c:pt>
                <c:pt idx="42">
                  <c:v>32276</c:v>
                </c:pt>
                <c:pt idx="43">
                  <c:v>32345</c:v>
                </c:pt>
                <c:pt idx="44">
                  <c:v>32377</c:v>
                </c:pt>
                <c:pt idx="45">
                  <c:v>32438</c:v>
                </c:pt>
                <c:pt idx="46">
                  <c:v>32508</c:v>
                </c:pt>
                <c:pt idx="47">
                  <c:v>32540</c:v>
                </c:pt>
                <c:pt idx="48">
                  <c:v>32609</c:v>
                </c:pt>
                <c:pt idx="49">
                  <c:v>32641</c:v>
                </c:pt>
                <c:pt idx="50">
                  <c:v>32702</c:v>
                </c:pt>
                <c:pt idx="51">
                  <c:v>32751</c:v>
                </c:pt>
                <c:pt idx="52">
                  <c:v>32803</c:v>
                </c:pt>
                <c:pt idx="53">
                  <c:v>32874</c:v>
                </c:pt>
                <c:pt idx="54">
                  <c:v>32906</c:v>
                </c:pt>
                <c:pt idx="55">
                  <c:v>32966</c:v>
                </c:pt>
                <c:pt idx="56">
                  <c:v>33035</c:v>
                </c:pt>
                <c:pt idx="57">
                  <c:v>33067</c:v>
                </c:pt>
                <c:pt idx="58">
                  <c:v>33136</c:v>
                </c:pt>
                <c:pt idx="59">
                  <c:v>33168</c:v>
                </c:pt>
                <c:pt idx="60">
                  <c:v>33237</c:v>
                </c:pt>
                <c:pt idx="61">
                  <c:v>33269</c:v>
                </c:pt>
                <c:pt idx="62">
                  <c:v>33338</c:v>
                </c:pt>
                <c:pt idx="63">
                  <c:v>33370</c:v>
                </c:pt>
                <c:pt idx="64">
                  <c:v>33430</c:v>
                </c:pt>
                <c:pt idx="65">
                  <c:v>33499</c:v>
                </c:pt>
                <c:pt idx="66">
                  <c:v>33531</c:v>
                </c:pt>
                <c:pt idx="67">
                  <c:v>33600</c:v>
                </c:pt>
                <c:pt idx="68">
                  <c:v>33631</c:v>
                </c:pt>
                <c:pt idx="69">
                  <c:v>33701</c:v>
                </c:pt>
                <c:pt idx="70">
                  <c:v>33733</c:v>
                </c:pt>
                <c:pt idx="71">
                  <c:v>33802</c:v>
                </c:pt>
                <c:pt idx="72">
                  <c:v>33834</c:v>
                </c:pt>
                <c:pt idx="73">
                  <c:v>33903</c:v>
                </c:pt>
                <c:pt idx="74">
                  <c:v>33935</c:v>
                </c:pt>
                <c:pt idx="75">
                  <c:v>34004</c:v>
                </c:pt>
                <c:pt idx="76">
                  <c:v>34035</c:v>
                </c:pt>
                <c:pt idx="77">
                  <c:v>34105</c:v>
                </c:pt>
                <c:pt idx="78">
                  <c:v>34137</c:v>
                </c:pt>
                <c:pt idx="79">
                  <c:v>34197</c:v>
                </c:pt>
                <c:pt idx="80">
                  <c:v>34266</c:v>
                </c:pt>
                <c:pt idx="81">
                  <c:v>34297</c:v>
                </c:pt>
                <c:pt idx="82">
                  <c:v>34367</c:v>
                </c:pt>
                <c:pt idx="83">
                  <c:v>34399</c:v>
                </c:pt>
                <c:pt idx="84">
                  <c:v>34468</c:v>
                </c:pt>
                <c:pt idx="85">
                  <c:v>34499</c:v>
                </c:pt>
                <c:pt idx="86">
                  <c:v>34569</c:v>
                </c:pt>
                <c:pt idx="87">
                  <c:v>34601</c:v>
                </c:pt>
                <c:pt idx="88">
                  <c:v>34670</c:v>
                </c:pt>
                <c:pt idx="89">
                  <c:v>34702</c:v>
                </c:pt>
                <c:pt idx="90">
                  <c:v>34771</c:v>
                </c:pt>
                <c:pt idx="91">
                  <c:v>34803</c:v>
                </c:pt>
                <c:pt idx="92">
                  <c:v>34872</c:v>
                </c:pt>
                <c:pt idx="93">
                  <c:v>34904</c:v>
                </c:pt>
                <c:pt idx="94">
                  <c:v>34973</c:v>
                </c:pt>
                <c:pt idx="95">
                  <c:v>35005</c:v>
                </c:pt>
                <c:pt idx="96">
                  <c:v>35074</c:v>
                </c:pt>
                <c:pt idx="97">
                  <c:v>35105</c:v>
                </c:pt>
                <c:pt idx="98">
                  <c:v>35175</c:v>
                </c:pt>
                <c:pt idx="99">
                  <c:v>35207</c:v>
                </c:pt>
                <c:pt idx="100">
                  <c:v>35267</c:v>
                </c:pt>
                <c:pt idx="101">
                  <c:v>35336</c:v>
                </c:pt>
                <c:pt idx="102">
                  <c:v>35368</c:v>
                </c:pt>
                <c:pt idx="103">
                  <c:v>35437</c:v>
                </c:pt>
                <c:pt idx="104">
                  <c:v>35469</c:v>
                </c:pt>
                <c:pt idx="105">
                  <c:v>35538</c:v>
                </c:pt>
                <c:pt idx="106">
                  <c:v>35569</c:v>
                </c:pt>
                <c:pt idx="107">
                  <c:v>35639</c:v>
                </c:pt>
                <c:pt idx="108">
                  <c:v>35671</c:v>
                </c:pt>
                <c:pt idx="109">
                  <c:v>35740</c:v>
                </c:pt>
                <c:pt idx="110">
                  <c:v>35772</c:v>
                </c:pt>
                <c:pt idx="111">
                  <c:v>35841</c:v>
                </c:pt>
                <c:pt idx="112">
                  <c:v>35873</c:v>
                </c:pt>
                <c:pt idx="113">
                  <c:v>35933</c:v>
                </c:pt>
                <c:pt idx="114">
                  <c:v>36002</c:v>
                </c:pt>
                <c:pt idx="115">
                  <c:v>36033</c:v>
                </c:pt>
                <c:pt idx="116">
                  <c:v>36103</c:v>
                </c:pt>
                <c:pt idx="117">
                  <c:v>36135</c:v>
                </c:pt>
                <c:pt idx="118">
                  <c:v>36204</c:v>
                </c:pt>
                <c:pt idx="119">
                  <c:v>36236</c:v>
                </c:pt>
                <c:pt idx="120">
                  <c:v>36305</c:v>
                </c:pt>
                <c:pt idx="121">
                  <c:v>36337</c:v>
                </c:pt>
                <c:pt idx="122">
                  <c:v>36406</c:v>
                </c:pt>
                <c:pt idx="123">
                  <c:v>36438</c:v>
                </c:pt>
                <c:pt idx="124">
                  <c:v>36507</c:v>
                </c:pt>
                <c:pt idx="125">
                  <c:v>36539</c:v>
                </c:pt>
                <c:pt idx="126">
                  <c:v>36608</c:v>
                </c:pt>
                <c:pt idx="127">
                  <c:v>36640</c:v>
                </c:pt>
                <c:pt idx="128">
                  <c:v>36709</c:v>
                </c:pt>
                <c:pt idx="129">
                  <c:v>36741</c:v>
                </c:pt>
                <c:pt idx="130">
                  <c:v>36801</c:v>
                </c:pt>
                <c:pt idx="131">
                  <c:v>36870</c:v>
                </c:pt>
                <c:pt idx="132">
                  <c:v>36901</c:v>
                </c:pt>
                <c:pt idx="133">
                  <c:v>36971</c:v>
                </c:pt>
                <c:pt idx="134">
                  <c:v>37003</c:v>
                </c:pt>
                <c:pt idx="135">
                  <c:v>37072</c:v>
                </c:pt>
                <c:pt idx="136">
                  <c:v>37103</c:v>
                </c:pt>
                <c:pt idx="137">
                  <c:v>37173</c:v>
                </c:pt>
                <c:pt idx="138">
                  <c:v>37205</c:v>
                </c:pt>
                <c:pt idx="139">
                  <c:v>37274</c:v>
                </c:pt>
                <c:pt idx="140">
                  <c:v>37306</c:v>
                </c:pt>
                <c:pt idx="141">
                  <c:v>37375</c:v>
                </c:pt>
                <c:pt idx="142">
                  <c:v>37407</c:v>
                </c:pt>
                <c:pt idx="143">
                  <c:v>37476</c:v>
                </c:pt>
                <c:pt idx="144">
                  <c:v>37508</c:v>
                </c:pt>
                <c:pt idx="145">
                  <c:v>37577</c:v>
                </c:pt>
                <c:pt idx="146">
                  <c:v>37609</c:v>
                </c:pt>
                <c:pt idx="147">
                  <c:v>37678</c:v>
                </c:pt>
                <c:pt idx="148">
                  <c:v>37710</c:v>
                </c:pt>
                <c:pt idx="149">
                  <c:v>37779</c:v>
                </c:pt>
                <c:pt idx="150">
                  <c:v>37811</c:v>
                </c:pt>
                <c:pt idx="151">
                  <c:v>37871</c:v>
                </c:pt>
                <c:pt idx="152">
                  <c:v>37940</c:v>
                </c:pt>
                <c:pt idx="153">
                  <c:v>37971</c:v>
                </c:pt>
                <c:pt idx="154">
                  <c:v>38041</c:v>
                </c:pt>
                <c:pt idx="155">
                  <c:v>38073</c:v>
                </c:pt>
                <c:pt idx="156">
                  <c:v>38142</c:v>
                </c:pt>
                <c:pt idx="157">
                  <c:v>38173</c:v>
                </c:pt>
                <c:pt idx="158">
                  <c:v>38243</c:v>
                </c:pt>
                <c:pt idx="159">
                  <c:v>38275</c:v>
                </c:pt>
                <c:pt idx="160">
                  <c:v>38344</c:v>
                </c:pt>
                <c:pt idx="161">
                  <c:v>38376</c:v>
                </c:pt>
                <c:pt idx="162">
                  <c:v>38445</c:v>
                </c:pt>
                <c:pt idx="163">
                  <c:v>38477</c:v>
                </c:pt>
                <c:pt idx="164">
                  <c:v>38546</c:v>
                </c:pt>
                <c:pt idx="165">
                  <c:v>38578</c:v>
                </c:pt>
                <c:pt idx="166">
                  <c:v>38647</c:v>
                </c:pt>
                <c:pt idx="167">
                  <c:v>38679</c:v>
                </c:pt>
                <c:pt idx="168">
                  <c:v>38739</c:v>
                </c:pt>
                <c:pt idx="169">
                  <c:v>38808</c:v>
                </c:pt>
                <c:pt idx="170">
                  <c:v>38840</c:v>
                </c:pt>
                <c:pt idx="171">
                  <c:v>38909</c:v>
                </c:pt>
                <c:pt idx="172">
                  <c:v>38941</c:v>
                </c:pt>
                <c:pt idx="173">
                  <c:v>39010</c:v>
                </c:pt>
                <c:pt idx="174">
                  <c:v>39042</c:v>
                </c:pt>
                <c:pt idx="175">
                  <c:v>39111</c:v>
                </c:pt>
                <c:pt idx="176">
                  <c:v>39143</c:v>
                </c:pt>
                <c:pt idx="177">
                  <c:v>39212</c:v>
                </c:pt>
                <c:pt idx="178">
                  <c:v>39244</c:v>
                </c:pt>
                <c:pt idx="179">
                  <c:v>39313</c:v>
                </c:pt>
                <c:pt idx="180">
                  <c:v>39345</c:v>
                </c:pt>
                <c:pt idx="181">
                  <c:v>39414</c:v>
                </c:pt>
                <c:pt idx="182">
                  <c:v>39446</c:v>
                </c:pt>
                <c:pt idx="183">
                  <c:v>39515</c:v>
                </c:pt>
                <c:pt idx="184">
                  <c:v>39547</c:v>
                </c:pt>
                <c:pt idx="185">
                  <c:v>39616</c:v>
                </c:pt>
                <c:pt idx="186">
                  <c:v>39647</c:v>
                </c:pt>
                <c:pt idx="187">
                  <c:v>39708</c:v>
                </c:pt>
                <c:pt idx="188">
                  <c:v>39777</c:v>
                </c:pt>
                <c:pt idx="189">
                  <c:v>39809</c:v>
                </c:pt>
                <c:pt idx="190">
                  <c:v>39878</c:v>
                </c:pt>
                <c:pt idx="191">
                  <c:v>39909</c:v>
                </c:pt>
                <c:pt idx="192">
                  <c:v>39979</c:v>
                </c:pt>
                <c:pt idx="193">
                  <c:v>40011</c:v>
                </c:pt>
                <c:pt idx="194">
                  <c:v>40080</c:v>
                </c:pt>
                <c:pt idx="195">
                  <c:v>40111</c:v>
                </c:pt>
                <c:pt idx="196">
                  <c:v>40181</c:v>
                </c:pt>
                <c:pt idx="197">
                  <c:v>40213</c:v>
                </c:pt>
                <c:pt idx="198">
                  <c:v>40282</c:v>
                </c:pt>
                <c:pt idx="199">
                  <c:v>40313</c:v>
                </c:pt>
                <c:pt idx="200">
                  <c:v>40383</c:v>
                </c:pt>
                <c:pt idx="201">
                  <c:v>40415</c:v>
                </c:pt>
                <c:pt idx="202">
                  <c:v>40484</c:v>
                </c:pt>
                <c:pt idx="203">
                  <c:v>40515</c:v>
                </c:pt>
                <c:pt idx="204">
                  <c:v>40585</c:v>
                </c:pt>
                <c:pt idx="205">
                  <c:v>40617</c:v>
                </c:pt>
                <c:pt idx="206">
                  <c:v>40686</c:v>
                </c:pt>
                <c:pt idx="207">
                  <c:v>40718</c:v>
                </c:pt>
                <c:pt idx="208">
                  <c:v>40787</c:v>
                </c:pt>
                <c:pt idx="209">
                  <c:v>40819</c:v>
                </c:pt>
                <c:pt idx="210">
                  <c:v>40879</c:v>
                </c:pt>
                <c:pt idx="211">
                  <c:v>40948</c:v>
                </c:pt>
                <c:pt idx="212">
                  <c:v>40980</c:v>
                </c:pt>
                <c:pt idx="213">
                  <c:v>41049</c:v>
                </c:pt>
                <c:pt idx="214">
                  <c:v>41081</c:v>
                </c:pt>
                <c:pt idx="215">
                  <c:v>41150</c:v>
                </c:pt>
                <c:pt idx="216">
                  <c:v>41182</c:v>
                </c:pt>
                <c:pt idx="217">
                  <c:v>41251</c:v>
                </c:pt>
                <c:pt idx="218">
                  <c:v>41283</c:v>
                </c:pt>
                <c:pt idx="219">
                  <c:v>41352</c:v>
                </c:pt>
                <c:pt idx="220">
                  <c:v>41384</c:v>
                </c:pt>
                <c:pt idx="221">
                  <c:v>41453</c:v>
                </c:pt>
                <c:pt idx="222">
                  <c:v>41485</c:v>
                </c:pt>
                <c:pt idx="223">
                  <c:v>41554</c:v>
                </c:pt>
                <c:pt idx="224">
                  <c:v>41585</c:v>
                </c:pt>
                <c:pt idx="225">
                  <c:v>41655</c:v>
                </c:pt>
                <c:pt idx="226">
                  <c:v>41687</c:v>
                </c:pt>
                <c:pt idx="227">
                  <c:v>41756</c:v>
                </c:pt>
                <c:pt idx="228">
                  <c:v>41788</c:v>
                </c:pt>
                <c:pt idx="229">
                  <c:v>41857</c:v>
                </c:pt>
                <c:pt idx="230">
                  <c:v>41889</c:v>
                </c:pt>
                <c:pt idx="231">
                  <c:v>41958</c:v>
                </c:pt>
                <c:pt idx="232">
                  <c:v>41989</c:v>
                </c:pt>
                <c:pt idx="233">
                  <c:v>42049</c:v>
                </c:pt>
                <c:pt idx="234">
                  <c:v>42119</c:v>
                </c:pt>
                <c:pt idx="235">
                  <c:v>42151</c:v>
                </c:pt>
                <c:pt idx="236">
                  <c:v>42220</c:v>
                </c:pt>
                <c:pt idx="237">
                  <c:v>42251</c:v>
                </c:pt>
                <c:pt idx="238">
                  <c:v>42321</c:v>
                </c:pt>
                <c:pt idx="239">
                  <c:v>42353</c:v>
                </c:pt>
                <c:pt idx="240">
                  <c:v>42422</c:v>
                </c:pt>
                <c:pt idx="241">
                  <c:v>42453</c:v>
                </c:pt>
                <c:pt idx="242">
                  <c:v>42523</c:v>
                </c:pt>
                <c:pt idx="243">
                  <c:v>42555</c:v>
                </c:pt>
                <c:pt idx="244">
                  <c:v>42624</c:v>
                </c:pt>
                <c:pt idx="245">
                  <c:v>42656</c:v>
                </c:pt>
                <c:pt idx="246">
                  <c:v>42725</c:v>
                </c:pt>
                <c:pt idx="247">
                  <c:v>42757</c:v>
                </c:pt>
                <c:pt idx="248">
                  <c:v>42826</c:v>
                </c:pt>
                <c:pt idx="249">
                  <c:v>42858</c:v>
                </c:pt>
                <c:pt idx="250">
                  <c:v>42927</c:v>
                </c:pt>
                <c:pt idx="251">
                  <c:v>42959</c:v>
                </c:pt>
                <c:pt idx="252">
                  <c:v>43028</c:v>
                </c:pt>
                <c:pt idx="253">
                  <c:v>43060</c:v>
                </c:pt>
                <c:pt idx="254">
                  <c:v>43120</c:v>
                </c:pt>
                <c:pt idx="255">
                  <c:v>43189</c:v>
                </c:pt>
                <c:pt idx="256">
                  <c:v>43221</c:v>
                </c:pt>
                <c:pt idx="257">
                  <c:v>43290</c:v>
                </c:pt>
                <c:pt idx="258">
                  <c:v>43321</c:v>
                </c:pt>
                <c:pt idx="259">
                  <c:v>43391</c:v>
                </c:pt>
                <c:pt idx="260">
                  <c:v>43423</c:v>
                </c:pt>
                <c:pt idx="261">
                  <c:v>43472</c:v>
                </c:pt>
                <c:pt idx="262">
                  <c:v>43524</c:v>
                </c:pt>
                <c:pt idx="263">
                  <c:v>43593</c:v>
                </c:pt>
                <c:pt idx="264">
                  <c:v>43625</c:v>
                </c:pt>
                <c:pt idx="265">
                  <c:v>43694</c:v>
                </c:pt>
                <c:pt idx="266">
                  <c:v>43725</c:v>
                </c:pt>
                <c:pt idx="267">
                  <c:v>43795</c:v>
                </c:pt>
                <c:pt idx="268">
                  <c:v>43827</c:v>
                </c:pt>
                <c:pt idx="269">
                  <c:v>43896</c:v>
                </c:pt>
                <c:pt idx="270">
                  <c:v>43927</c:v>
                </c:pt>
                <c:pt idx="271">
                  <c:v>43997</c:v>
                </c:pt>
                <c:pt idx="272">
                  <c:v>44029</c:v>
                </c:pt>
                <c:pt idx="273">
                  <c:v>44098</c:v>
                </c:pt>
                <c:pt idx="274">
                  <c:v>44129</c:v>
                </c:pt>
                <c:pt idx="275">
                  <c:v>44199</c:v>
                </c:pt>
                <c:pt idx="276">
                  <c:v>44231</c:v>
                </c:pt>
                <c:pt idx="277">
                  <c:v>44300</c:v>
                </c:pt>
                <c:pt idx="278">
                  <c:v>44332</c:v>
                </c:pt>
                <c:pt idx="279">
                  <c:v>44392</c:v>
                </c:pt>
                <c:pt idx="280">
                  <c:v>44462</c:v>
                </c:pt>
                <c:pt idx="281">
                  <c:v>44494</c:v>
                </c:pt>
                <c:pt idx="282">
                  <c:v>44543</c:v>
                </c:pt>
                <c:pt idx="283">
                  <c:v>44594</c:v>
                </c:pt>
                <c:pt idx="284">
                  <c:v>44663</c:v>
                </c:pt>
                <c:pt idx="285">
                  <c:v>44695</c:v>
                </c:pt>
                <c:pt idx="286">
                  <c:v>44764</c:v>
                </c:pt>
                <c:pt idx="287">
                  <c:v>44796</c:v>
                </c:pt>
                <c:pt idx="288">
                  <c:v>44865</c:v>
                </c:pt>
                <c:pt idx="289">
                  <c:v>44897</c:v>
                </c:pt>
                <c:pt idx="290">
                  <c:v>44966</c:v>
                </c:pt>
                <c:pt idx="291">
                  <c:v>44998</c:v>
                </c:pt>
                <c:pt idx="292">
                  <c:v>45067</c:v>
                </c:pt>
                <c:pt idx="293">
                  <c:v>45099</c:v>
                </c:pt>
                <c:pt idx="294">
                  <c:v>45168</c:v>
                </c:pt>
                <c:pt idx="295">
                  <c:v>45200</c:v>
                </c:pt>
                <c:pt idx="296">
                  <c:v>45269</c:v>
                </c:pt>
                <c:pt idx="297">
                  <c:v>45301</c:v>
                </c:pt>
                <c:pt idx="298">
                  <c:v>45370</c:v>
                </c:pt>
                <c:pt idx="299">
                  <c:v>45401</c:v>
                </c:pt>
                <c:pt idx="300">
                  <c:v>45471</c:v>
                </c:pt>
                <c:pt idx="301">
                  <c:v>45503</c:v>
                </c:pt>
                <c:pt idx="302">
                  <c:v>45564</c:v>
                </c:pt>
                <c:pt idx="303">
                  <c:v>45633</c:v>
                </c:pt>
                <c:pt idx="304">
                  <c:v>45664</c:v>
                </c:pt>
                <c:pt idx="305">
                  <c:v>45734</c:v>
                </c:pt>
                <c:pt idx="306">
                  <c:v>45766</c:v>
                </c:pt>
                <c:pt idx="307">
                  <c:v>45835</c:v>
                </c:pt>
                <c:pt idx="308">
                  <c:v>45866</c:v>
                </c:pt>
                <c:pt idx="309">
                  <c:v>45936</c:v>
                </c:pt>
                <c:pt idx="310">
                  <c:v>45968</c:v>
                </c:pt>
                <c:pt idx="311">
                  <c:v>46037</c:v>
                </c:pt>
                <c:pt idx="312">
                  <c:v>46069</c:v>
                </c:pt>
                <c:pt idx="313">
                  <c:v>46138</c:v>
                </c:pt>
                <c:pt idx="314">
                  <c:v>46170</c:v>
                </c:pt>
                <c:pt idx="315">
                  <c:v>46239</c:v>
                </c:pt>
                <c:pt idx="316">
                  <c:v>46271</c:v>
                </c:pt>
                <c:pt idx="317">
                  <c:v>46340</c:v>
                </c:pt>
                <c:pt idx="318">
                  <c:v>46372</c:v>
                </c:pt>
                <c:pt idx="319">
                  <c:v>46441</c:v>
                </c:pt>
                <c:pt idx="320">
                  <c:v>46472</c:v>
                </c:pt>
                <c:pt idx="321">
                  <c:v>46542</c:v>
                </c:pt>
                <c:pt idx="322">
                  <c:v>46574</c:v>
                </c:pt>
                <c:pt idx="323">
                  <c:v>46634</c:v>
                </c:pt>
                <c:pt idx="324">
                  <c:v>46703</c:v>
                </c:pt>
                <c:pt idx="325">
                  <c:v>46734</c:v>
                </c:pt>
                <c:pt idx="326">
                  <c:v>46804</c:v>
                </c:pt>
                <c:pt idx="327">
                  <c:v>46836</c:v>
                </c:pt>
                <c:pt idx="328">
                  <c:v>46905</c:v>
                </c:pt>
                <c:pt idx="329">
                  <c:v>46936</c:v>
                </c:pt>
                <c:pt idx="330">
                  <c:v>47006</c:v>
                </c:pt>
                <c:pt idx="331">
                  <c:v>47038</c:v>
                </c:pt>
                <c:pt idx="332">
                  <c:v>47107</c:v>
                </c:pt>
                <c:pt idx="333">
                  <c:v>47138</c:v>
                </c:pt>
                <c:pt idx="334">
                  <c:v>47208</c:v>
                </c:pt>
                <c:pt idx="335">
                  <c:v>47240</c:v>
                </c:pt>
                <c:pt idx="336">
                  <c:v>47309</c:v>
                </c:pt>
                <c:pt idx="337">
                  <c:v>47340</c:v>
                </c:pt>
                <c:pt idx="338">
                  <c:v>47410</c:v>
                </c:pt>
                <c:pt idx="339">
                  <c:v>47442</c:v>
                </c:pt>
                <c:pt idx="340">
                  <c:v>47511</c:v>
                </c:pt>
                <c:pt idx="341">
                  <c:v>47543</c:v>
                </c:pt>
                <c:pt idx="342">
                  <c:v>47612</c:v>
                </c:pt>
                <c:pt idx="343">
                  <c:v>47644</c:v>
                </c:pt>
                <c:pt idx="344">
                  <c:v>47713</c:v>
                </c:pt>
                <c:pt idx="345">
                  <c:v>47744</c:v>
                </c:pt>
                <c:pt idx="346">
                  <c:v>47805</c:v>
                </c:pt>
                <c:pt idx="347">
                  <c:v>47874</c:v>
                </c:pt>
                <c:pt idx="348">
                  <c:v>47906</c:v>
                </c:pt>
                <c:pt idx="349">
                  <c:v>47976</c:v>
                </c:pt>
                <c:pt idx="350">
                  <c:v>48006</c:v>
                </c:pt>
                <c:pt idx="351">
                  <c:v>48056</c:v>
                </c:pt>
                <c:pt idx="352">
                  <c:v>48107</c:v>
                </c:pt>
                <c:pt idx="353">
                  <c:v>48176</c:v>
                </c:pt>
                <c:pt idx="354">
                  <c:v>48208</c:v>
                </c:pt>
                <c:pt idx="355">
                  <c:v>48279</c:v>
                </c:pt>
                <c:pt idx="356">
                  <c:v>48310</c:v>
                </c:pt>
                <c:pt idx="357">
                  <c:v>48379</c:v>
                </c:pt>
                <c:pt idx="358">
                  <c:v>48411</c:v>
                </c:pt>
                <c:pt idx="359">
                  <c:v>48480</c:v>
                </c:pt>
                <c:pt idx="360">
                  <c:v>48512</c:v>
                </c:pt>
                <c:pt idx="361">
                  <c:v>48561</c:v>
                </c:pt>
                <c:pt idx="362">
                  <c:v>48611</c:v>
                </c:pt>
                <c:pt idx="363">
                  <c:v>48681</c:v>
                </c:pt>
                <c:pt idx="364">
                  <c:v>48713</c:v>
                </c:pt>
                <c:pt idx="365">
                  <c:v>48782</c:v>
                </c:pt>
                <c:pt idx="366">
                  <c:v>48813</c:v>
                </c:pt>
                <c:pt idx="367">
                  <c:v>48883</c:v>
                </c:pt>
                <c:pt idx="368">
                  <c:v>48915</c:v>
                </c:pt>
                <c:pt idx="369">
                  <c:v>48984</c:v>
                </c:pt>
                <c:pt idx="370">
                  <c:v>49015</c:v>
                </c:pt>
                <c:pt idx="371">
                  <c:v>49085</c:v>
                </c:pt>
                <c:pt idx="372">
                  <c:v>49117</c:v>
                </c:pt>
                <c:pt idx="373">
                  <c:v>49186</c:v>
                </c:pt>
                <c:pt idx="374">
                  <c:v>49217</c:v>
                </c:pt>
                <c:pt idx="375">
                  <c:v>49277</c:v>
                </c:pt>
                <c:pt idx="376">
                  <c:v>49347</c:v>
                </c:pt>
                <c:pt idx="377">
                  <c:v>49379</c:v>
                </c:pt>
                <c:pt idx="378">
                  <c:v>49448</c:v>
                </c:pt>
                <c:pt idx="379">
                  <c:v>49480</c:v>
                </c:pt>
                <c:pt idx="380">
                  <c:v>49549</c:v>
                </c:pt>
                <c:pt idx="381">
                  <c:v>49581</c:v>
                </c:pt>
                <c:pt idx="382">
                  <c:v>49650</c:v>
                </c:pt>
                <c:pt idx="383">
                  <c:v>49682</c:v>
                </c:pt>
                <c:pt idx="384">
                  <c:v>49751</c:v>
                </c:pt>
                <c:pt idx="385">
                  <c:v>49783</c:v>
                </c:pt>
                <c:pt idx="386">
                  <c:v>49852</c:v>
                </c:pt>
                <c:pt idx="387">
                  <c:v>49883</c:v>
                </c:pt>
                <c:pt idx="388">
                  <c:v>49953</c:v>
                </c:pt>
                <c:pt idx="389">
                  <c:v>49985</c:v>
                </c:pt>
                <c:pt idx="390">
                  <c:v>50054</c:v>
                </c:pt>
                <c:pt idx="391">
                  <c:v>50085</c:v>
                </c:pt>
                <c:pt idx="392">
                  <c:v>50155</c:v>
                </c:pt>
                <c:pt idx="393">
                  <c:v>50187</c:v>
                </c:pt>
                <c:pt idx="394">
                  <c:v>50256</c:v>
                </c:pt>
                <c:pt idx="395">
                  <c:v>50288</c:v>
                </c:pt>
                <c:pt idx="396">
                  <c:v>50347</c:v>
                </c:pt>
                <c:pt idx="397">
                  <c:v>50417</c:v>
                </c:pt>
                <c:pt idx="398">
                  <c:v>50449</c:v>
                </c:pt>
                <c:pt idx="399">
                  <c:v>50518</c:v>
                </c:pt>
                <c:pt idx="400">
                  <c:v>50549</c:v>
                </c:pt>
                <c:pt idx="401">
                  <c:v>50619</c:v>
                </c:pt>
                <c:pt idx="402">
                  <c:v>50651</c:v>
                </c:pt>
                <c:pt idx="403">
                  <c:v>50720</c:v>
                </c:pt>
                <c:pt idx="404">
                  <c:v>50751</c:v>
                </c:pt>
                <c:pt idx="405">
                  <c:v>50821</c:v>
                </c:pt>
                <c:pt idx="406">
                  <c:v>50853</c:v>
                </c:pt>
              </c:numCache>
            </c:numRef>
          </c:xVal>
          <c:yVal>
            <c:numRef>
              <c:f>'Simple Data'!$D$2:$D$408</c:f>
              <c:numCache>
                <c:formatCode>General</c:formatCode>
                <c:ptCount val="407"/>
                <c:pt idx="0">
                  <c:v>159</c:v>
                </c:pt>
                <c:pt idx="1">
                  <c:v>159</c:v>
                </c:pt>
                <c:pt idx="2">
                  <c:v>161</c:v>
                </c:pt>
                <c:pt idx="3">
                  <c:v>161</c:v>
                </c:pt>
                <c:pt idx="4">
                  <c:v>161</c:v>
                </c:pt>
                <c:pt idx="5">
                  <c:v>160</c:v>
                </c:pt>
                <c:pt idx="6">
                  <c:v>162</c:v>
                </c:pt>
                <c:pt idx="7">
                  <c:v>162</c:v>
                </c:pt>
                <c:pt idx="8">
                  <c:v>161</c:v>
                </c:pt>
                <c:pt idx="9">
                  <c:v>161</c:v>
                </c:pt>
                <c:pt idx="10">
                  <c:v>163</c:v>
                </c:pt>
                <c:pt idx="11">
                  <c:v>163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163</c:v>
                </c:pt>
                <c:pt idx="16">
                  <c:v>162</c:v>
                </c:pt>
                <c:pt idx="17">
                  <c:v>162</c:v>
                </c:pt>
                <c:pt idx="18">
                  <c:v>162</c:v>
                </c:pt>
                <c:pt idx="19">
                  <c:v>163</c:v>
                </c:pt>
                <c:pt idx="20">
                  <c:v>164</c:v>
                </c:pt>
                <c:pt idx="21">
                  <c:v>166</c:v>
                </c:pt>
                <c:pt idx="22">
                  <c:v>172</c:v>
                </c:pt>
                <c:pt idx="23">
                  <c:v>178</c:v>
                </c:pt>
                <c:pt idx="24">
                  <c:v>190</c:v>
                </c:pt>
                <c:pt idx="25">
                  <c:v>194</c:v>
                </c:pt>
                <c:pt idx="26">
                  <c:v>207</c:v>
                </c:pt>
                <c:pt idx="27">
                  <c:v>220</c:v>
                </c:pt>
                <c:pt idx="28">
                  <c:v>236</c:v>
                </c:pt>
                <c:pt idx="29">
                  <c:v>245</c:v>
                </c:pt>
                <c:pt idx="30">
                  <c:v>265</c:v>
                </c:pt>
                <c:pt idx="31">
                  <c:v>277</c:v>
                </c:pt>
                <c:pt idx="32">
                  <c:v>297</c:v>
                </c:pt>
                <c:pt idx="33">
                  <c:v>304</c:v>
                </c:pt>
                <c:pt idx="34">
                  <c:v>318</c:v>
                </c:pt>
                <c:pt idx="35">
                  <c:v>333</c:v>
                </c:pt>
                <c:pt idx="36">
                  <c:v>349</c:v>
                </c:pt>
                <c:pt idx="37">
                  <c:v>362</c:v>
                </c:pt>
                <c:pt idx="38">
                  <c:v>362</c:v>
                </c:pt>
                <c:pt idx="39">
                  <c:v>373</c:v>
                </c:pt>
                <c:pt idx="40">
                  <c:v>383</c:v>
                </c:pt>
                <c:pt idx="41">
                  <c:v>388</c:v>
                </c:pt>
                <c:pt idx="42">
                  <c:v>388</c:v>
                </c:pt>
                <c:pt idx="43">
                  <c:v>391</c:v>
                </c:pt>
                <c:pt idx="44">
                  <c:v>390</c:v>
                </c:pt>
                <c:pt idx="45">
                  <c:v>389</c:v>
                </c:pt>
                <c:pt idx="46">
                  <c:v>387</c:v>
                </c:pt>
                <c:pt idx="47">
                  <c:v>387</c:v>
                </c:pt>
                <c:pt idx="48">
                  <c:v>384</c:v>
                </c:pt>
                <c:pt idx="49">
                  <c:v>380</c:v>
                </c:pt>
                <c:pt idx="50">
                  <c:v>378</c:v>
                </c:pt>
                <c:pt idx="51">
                  <c:v>374</c:v>
                </c:pt>
                <c:pt idx="52">
                  <c:v>375</c:v>
                </c:pt>
                <c:pt idx="53">
                  <c:v>372</c:v>
                </c:pt>
                <c:pt idx="54">
                  <c:v>370</c:v>
                </c:pt>
                <c:pt idx="55">
                  <c:v>368</c:v>
                </c:pt>
                <c:pt idx="56">
                  <c:v>365</c:v>
                </c:pt>
                <c:pt idx="57">
                  <c:v>362</c:v>
                </c:pt>
                <c:pt idx="58">
                  <c:v>358</c:v>
                </c:pt>
                <c:pt idx="59">
                  <c:v>359</c:v>
                </c:pt>
                <c:pt idx="60">
                  <c:v>355</c:v>
                </c:pt>
                <c:pt idx="61">
                  <c:v>351</c:v>
                </c:pt>
                <c:pt idx="62">
                  <c:v>347</c:v>
                </c:pt>
                <c:pt idx="63">
                  <c:v>349</c:v>
                </c:pt>
                <c:pt idx="64">
                  <c:v>345</c:v>
                </c:pt>
                <c:pt idx="65">
                  <c:v>341</c:v>
                </c:pt>
                <c:pt idx="66">
                  <c:v>337</c:v>
                </c:pt>
                <c:pt idx="67">
                  <c:v>334</c:v>
                </c:pt>
                <c:pt idx="68">
                  <c:v>334</c:v>
                </c:pt>
                <c:pt idx="69">
                  <c:v>331</c:v>
                </c:pt>
                <c:pt idx="70">
                  <c:v>328</c:v>
                </c:pt>
                <c:pt idx="71">
                  <c:v>325</c:v>
                </c:pt>
                <c:pt idx="72">
                  <c:v>325</c:v>
                </c:pt>
                <c:pt idx="73">
                  <c:v>323</c:v>
                </c:pt>
                <c:pt idx="74">
                  <c:v>319</c:v>
                </c:pt>
                <c:pt idx="75">
                  <c:v>317</c:v>
                </c:pt>
                <c:pt idx="76">
                  <c:v>318</c:v>
                </c:pt>
                <c:pt idx="77">
                  <c:v>316</c:v>
                </c:pt>
                <c:pt idx="78">
                  <c:v>312</c:v>
                </c:pt>
                <c:pt idx="79">
                  <c:v>309</c:v>
                </c:pt>
                <c:pt idx="80">
                  <c:v>307</c:v>
                </c:pt>
                <c:pt idx="81">
                  <c:v>307</c:v>
                </c:pt>
                <c:pt idx="82">
                  <c:v>305</c:v>
                </c:pt>
                <c:pt idx="83">
                  <c:v>301</c:v>
                </c:pt>
                <c:pt idx="84">
                  <c:v>299</c:v>
                </c:pt>
                <c:pt idx="85">
                  <c:v>300</c:v>
                </c:pt>
                <c:pt idx="86">
                  <c:v>298</c:v>
                </c:pt>
                <c:pt idx="87">
                  <c:v>295</c:v>
                </c:pt>
                <c:pt idx="88">
                  <c:v>292</c:v>
                </c:pt>
                <c:pt idx="89">
                  <c:v>293</c:v>
                </c:pt>
                <c:pt idx="90">
                  <c:v>290</c:v>
                </c:pt>
                <c:pt idx="91">
                  <c:v>288</c:v>
                </c:pt>
                <c:pt idx="92">
                  <c:v>286</c:v>
                </c:pt>
                <c:pt idx="93">
                  <c:v>285</c:v>
                </c:pt>
                <c:pt idx="94">
                  <c:v>282</c:v>
                </c:pt>
                <c:pt idx="95">
                  <c:v>281</c:v>
                </c:pt>
                <c:pt idx="96">
                  <c:v>279</c:v>
                </c:pt>
                <c:pt idx="97">
                  <c:v>279</c:v>
                </c:pt>
                <c:pt idx="98">
                  <c:v>278</c:v>
                </c:pt>
                <c:pt idx="99">
                  <c:v>276</c:v>
                </c:pt>
                <c:pt idx="100">
                  <c:v>276</c:v>
                </c:pt>
                <c:pt idx="101">
                  <c:v>279</c:v>
                </c:pt>
                <c:pt idx="102">
                  <c:v>282</c:v>
                </c:pt>
                <c:pt idx="103">
                  <c:v>287</c:v>
                </c:pt>
                <c:pt idx="104">
                  <c:v>286</c:v>
                </c:pt>
                <c:pt idx="105">
                  <c:v>292</c:v>
                </c:pt>
                <c:pt idx="106">
                  <c:v>297</c:v>
                </c:pt>
                <c:pt idx="107">
                  <c:v>303</c:v>
                </c:pt>
                <c:pt idx="108">
                  <c:v>305</c:v>
                </c:pt>
                <c:pt idx="109">
                  <c:v>309</c:v>
                </c:pt>
                <c:pt idx="110">
                  <c:v>312</c:v>
                </c:pt>
                <c:pt idx="111">
                  <c:v>315</c:v>
                </c:pt>
                <c:pt idx="112">
                  <c:v>316</c:v>
                </c:pt>
                <c:pt idx="113">
                  <c:v>317</c:v>
                </c:pt>
                <c:pt idx="114">
                  <c:v>317</c:v>
                </c:pt>
                <c:pt idx="115">
                  <c:v>315</c:v>
                </c:pt>
                <c:pt idx="116">
                  <c:v>313</c:v>
                </c:pt>
                <c:pt idx="117">
                  <c:v>313</c:v>
                </c:pt>
                <c:pt idx="118">
                  <c:v>310</c:v>
                </c:pt>
                <c:pt idx="119">
                  <c:v>307</c:v>
                </c:pt>
                <c:pt idx="120">
                  <c:v>304</c:v>
                </c:pt>
                <c:pt idx="121">
                  <c:v>304</c:v>
                </c:pt>
                <c:pt idx="122">
                  <c:v>300</c:v>
                </c:pt>
                <c:pt idx="123">
                  <c:v>298</c:v>
                </c:pt>
                <c:pt idx="124">
                  <c:v>295</c:v>
                </c:pt>
                <c:pt idx="125">
                  <c:v>293</c:v>
                </c:pt>
                <c:pt idx="126">
                  <c:v>289</c:v>
                </c:pt>
                <c:pt idx="127">
                  <c:v>288</c:v>
                </c:pt>
                <c:pt idx="128">
                  <c:v>284</c:v>
                </c:pt>
                <c:pt idx="129">
                  <c:v>281</c:v>
                </c:pt>
                <c:pt idx="130">
                  <c:v>277</c:v>
                </c:pt>
                <c:pt idx="131">
                  <c:v>273</c:v>
                </c:pt>
                <c:pt idx="132">
                  <c:v>274</c:v>
                </c:pt>
                <c:pt idx="133">
                  <c:v>271</c:v>
                </c:pt>
                <c:pt idx="134">
                  <c:v>268</c:v>
                </c:pt>
                <c:pt idx="135">
                  <c:v>268</c:v>
                </c:pt>
                <c:pt idx="136">
                  <c:v>270</c:v>
                </c:pt>
                <c:pt idx="137">
                  <c:v>271</c:v>
                </c:pt>
                <c:pt idx="138">
                  <c:v>271</c:v>
                </c:pt>
                <c:pt idx="139">
                  <c:v>274</c:v>
                </c:pt>
                <c:pt idx="140">
                  <c:v>277</c:v>
                </c:pt>
                <c:pt idx="141">
                  <c:v>282</c:v>
                </c:pt>
                <c:pt idx="142">
                  <c:v>284</c:v>
                </c:pt>
                <c:pt idx="143">
                  <c:v>289</c:v>
                </c:pt>
                <c:pt idx="144">
                  <c:v>294</c:v>
                </c:pt>
                <c:pt idx="145">
                  <c:v>299</c:v>
                </c:pt>
                <c:pt idx="146">
                  <c:v>299</c:v>
                </c:pt>
                <c:pt idx="147">
                  <c:v>303</c:v>
                </c:pt>
                <c:pt idx="148">
                  <c:v>306</c:v>
                </c:pt>
                <c:pt idx="149">
                  <c:v>309</c:v>
                </c:pt>
                <c:pt idx="150">
                  <c:v>308</c:v>
                </c:pt>
                <c:pt idx="151">
                  <c:v>309</c:v>
                </c:pt>
                <c:pt idx="152">
                  <c:v>307</c:v>
                </c:pt>
                <c:pt idx="153">
                  <c:v>307</c:v>
                </c:pt>
                <c:pt idx="154">
                  <c:v>305</c:v>
                </c:pt>
                <c:pt idx="155">
                  <c:v>304</c:v>
                </c:pt>
                <c:pt idx="156">
                  <c:v>300</c:v>
                </c:pt>
                <c:pt idx="157">
                  <c:v>298</c:v>
                </c:pt>
                <c:pt idx="158">
                  <c:v>294</c:v>
                </c:pt>
                <c:pt idx="159">
                  <c:v>291</c:v>
                </c:pt>
                <c:pt idx="160">
                  <c:v>287</c:v>
                </c:pt>
                <c:pt idx="161">
                  <c:v>286</c:v>
                </c:pt>
                <c:pt idx="162">
                  <c:v>281</c:v>
                </c:pt>
                <c:pt idx="163">
                  <c:v>279</c:v>
                </c:pt>
                <c:pt idx="164">
                  <c:v>275</c:v>
                </c:pt>
                <c:pt idx="165">
                  <c:v>273</c:v>
                </c:pt>
                <c:pt idx="166">
                  <c:v>270</c:v>
                </c:pt>
                <c:pt idx="167">
                  <c:v>268</c:v>
                </c:pt>
                <c:pt idx="168">
                  <c:v>267</c:v>
                </c:pt>
                <c:pt idx="169">
                  <c:v>267</c:v>
                </c:pt>
                <c:pt idx="170">
                  <c:v>268</c:v>
                </c:pt>
                <c:pt idx="171">
                  <c:v>271</c:v>
                </c:pt>
                <c:pt idx="172">
                  <c:v>271</c:v>
                </c:pt>
                <c:pt idx="173">
                  <c:v>275</c:v>
                </c:pt>
                <c:pt idx="174">
                  <c:v>279</c:v>
                </c:pt>
                <c:pt idx="175">
                  <c:v>284</c:v>
                </c:pt>
                <c:pt idx="176">
                  <c:v>283</c:v>
                </c:pt>
                <c:pt idx="177">
                  <c:v>288</c:v>
                </c:pt>
                <c:pt idx="178">
                  <c:v>294</c:v>
                </c:pt>
                <c:pt idx="179">
                  <c:v>298</c:v>
                </c:pt>
                <c:pt idx="180">
                  <c:v>298</c:v>
                </c:pt>
                <c:pt idx="181">
                  <c:v>301</c:v>
                </c:pt>
                <c:pt idx="182">
                  <c:v>305</c:v>
                </c:pt>
                <c:pt idx="183">
                  <c:v>306</c:v>
                </c:pt>
                <c:pt idx="184">
                  <c:v>304</c:v>
                </c:pt>
                <c:pt idx="185">
                  <c:v>303</c:v>
                </c:pt>
                <c:pt idx="186">
                  <c:v>305</c:v>
                </c:pt>
                <c:pt idx="187">
                  <c:v>303</c:v>
                </c:pt>
                <c:pt idx="188">
                  <c:v>298</c:v>
                </c:pt>
                <c:pt idx="189">
                  <c:v>295</c:v>
                </c:pt>
                <c:pt idx="190">
                  <c:v>290</c:v>
                </c:pt>
                <c:pt idx="191">
                  <c:v>287</c:v>
                </c:pt>
                <c:pt idx="192">
                  <c:v>281</c:v>
                </c:pt>
                <c:pt idx="193">
                  <c:v>279</c:v>
                </c:pt>
                <c:pt idx="194">
                  <c:v>273</c:v>
                </c:pt>
                <c:pt idx="195">
                  <c:v>269</c:v>
                </c:pt>
                <c:pt idx="196">
                  <c:v>265</c:v>
                </c:pt>
                <c:pt idx="197">
                  <c:v>262</c:v>
                </c:pt>
                <c:pt idx="198">
                  <c:v>259</c:v>
                </c:pt>
                <c:pt idx="199">
                  <c:v>259</c:v>
                </c:pt>
                <c:pt idx="200">
                  <c:v>259</c:v>
                </c:pt>
                <c:pt idx="201">
                  <c:v>257</c:v>
                </c:pt>
                <c:pt idx="202">
                  <c:v>258</c:v>
                </c:pt>
                <c:pt idx="203">
                  <c:v>262</c:v>
                </c:pt>
                <c:pt idx="204">
                  <c:v>264</c:v>
                </c:pt>
                <c:pt idx="205">
                  <c:v>264</c:v>
                </c:pt>
                <c:pt idx="206">
                  <c:v>268</c:v>
                </c:pt>
                <c:pt idx="207">
                  <c:v>273</c:v>
                </c:pt>
                <c:pt idx="208">
                  <c:v>278</c:v>
                </c:pt>
                <c:pt idx="209">
                  <c:v>278</c:v>
                </c:pt>
                <c:pt idx="210">
                  <c:v>284</c:v>
                </c:pt>
                <c:pt idx="211">
                  <c:v>288</c:v>
                </c:pt>
                <c:pt idx="212">
                  <c:v>294</c:v>
                </c:pt>
                <c:pt idx="213">
                  <c:v>298</c:v>
                </c:pt>
                <c:pt idx="214">
                  <c:v>298</c:v>
                </c:pt>
                <c:pt idx="215">
                  <c:v>302</c:v>
                </c:pt>
                <c:pt idx="216">
                  <c:v>305</c:v>
                </c:pt>
                <c:pt idx="217">
                  <c:v>306</c:v>
                </c:pt>
                <c:pt idx="218">
                  <c:v>304</c:v>
                </c:pt>
                <c:pt idx="219">
                  <c:v>304</c:v>
                </c:pt>
                <c:pt idx="220">
                  <c:v>303</c:v>
                </c:pt>
                <c:pt idx="221">
                  <c:v>299</c:v>
                </c:pt>
                <c:pt idx="222">
                  <c:v>296</c:v>
                </c:pt>
                <c:pt idx="223">
                  <c:v>290</c:v>
                </c:pt>
                <c:pt idx="224">
                  <c:v>287</c:v>
                </c:pt>
                <c:pt idx="225">
                  <c:v>281</c:v>
                </c:pt>
                <c:pt idx="226">
                  <c:v>278</c:v>
                </c:pt>
                <c:pt idx="227">
                  <c:v>270</c:v>
                </c:pt>
                <c:pt idx="228">
                  <c:v>269</c:v>
                </c:pt>
                <c:pt idx="229">
                  <c:v>263</c:v>
                </c:pt>
                <c:pt idx="230">
                  <c:v>259</c:v>
                </c:pt>
                <c:pt idx="231">
                  <c:v>256</c:v>
                </c:pt>
                <c:pt idx="232">
                  <c:v>256</c:v>
                </c:pt>
                <c:pt idx="233">
                  <c:v>255</c:v>
                </c:pt>
                <c:pt idx="234">
                  <c:v>255</c:v>
                </c:pt>
                <c:pt idx="235">
                  <c:v>254</c:v>
                </c:pt>
                <c:pt idx="236">
                  <c:v>257</c:v>
                </c:pt>
                <c:pt idx="237">
                  <c:v>261</c:v>
                </c:pt>
                <c:pt idx="238">
                  <c:v>265</c:v>
                </c:pt>
                <c:pt idx="239">
                  <c:v>264</c:v>
                </c:pt>
                <c:pt idx="240">
                  <c:v>269</c:v>
                </c:pt>
                <c:pt idx="241">
                  <c:v>274</c:v>
                </c:pt>
                <c:pt idx="242">
                  <c:v>279</c:v>
                </c:pt>
                <c:pt idx="243">
                  <c:v>279</c:v>
                </c:pt>
                <c:pt idx="244">
                  <c:v>284</c:v>
                </c:pt>
                <c:pt idx="245">
                  <c:v>289</c:v>
                </c:pt>
                <c:pt idx="246">
                  <c:v>294</c:v>
                </c:pt>
                <c:pt idx="247">
                  <c:v>294</c:v>
                </c:pt>
                <c:pt idx="248">
                  <c:v>298</c:v>
                </c:pt>
                <c:pt idx="249">
                  <c:v>301</c:v>
                </c:pt>
                <c:pt idx="250">
                  <c:v>302</c:v>
                </c:pt>
                <c:pt idx="251">
                  <c:v>301</c:v>
                </c:pt>
                <c:pt idx="252">
                  <c:v>300</c:v>
                </c:pt>
                <c:pt idx="253">
                  <c:v>299</c:v>
                </c:pt>
                <c:pt idx="254">
                  <c:v>297</c:v>
                </c:pt>
                <c:pt idx="255">
                  <c:v>292</c:v>
                </c:pt>
                <c:pt idx="256">
                  <c:v>288</c:v>
                </c:pt>
                <c:pt idx="257">
                  <c:v>281</c:v>
                </c:pt>
                <c:pt idx="258">
                  <c:v>279</c:v>
                </c:pt>
                <c:pt idx="259">
                  <c:v>272</c:v>
                </c:pt>
                <c:pt idx="260">
                  <c:v>267</c:v>
                </c:pt>
                <c:pt idx="261">
                  <c:v>260</c:v>
                </c:pt>
                <c:pt idx="262">
                  <c:v>260</c:v>
                </c:pt>
                <c:pt idx="263">
                  <c:v>254</c:v>
                </c:pt>
                <c:pt idx="264">
                  <c:v>251</c:v>
                </c:pt>
                <c:pt idx="265">
                  <c:v>248</c:v>
                </c:pt>
                <c:pt idx="266">
                  <c:v>251</c:v>
                </c:pt>
                <c:pt idx="267">
                  <c:v>252</c:v>
                </c:pt>
                <c:pt idx="268">
                  <c:v>250</c:v>
                </c:pt>
                <c:pt idx="269">
                  <c:v>253</c:v>
                </c:pt>
                <c:pt idx="270">
                  <c:v>258</c:v>
                </c:pt>
                <c:pt idx="271">
                  <c:v>263</c:v>
                </c:pt>
                <c:pt idx="272">
                  <c:v>263</c:v>
                </c:pt>
                <c:pt idx="273">
                  <c:v>268</c:v>
                </c:pt>
                <c:pt idx="274">
                  <c:v>271</c:v>
                </c:pt>
                <c:pt idx="275">
                  <c:v>276</c:v>
                </c:pt>
                <c:pt idx="276">
                  <c:v>277</c:v>
                </c:pt>
                <c:pt idx="277">
                  <c:v>282</c:v>
                </c:pt>
                <c:pt idx="278">
                  <c:v>284</c:v>
                </c:pt>
                <c:pt idx="279">
                  <c:v>289</c:v>
                </c:pt>
                <c:pt idx="280">
                  <c:v>294</c:v>
                </c:pt>
                <c:pt idx="281">
                  <c:v>294</c:v>
                </c:pt>
                <c:pt idx="282">
                  <c:v>298</c:v>
                </c:pt>
                <c:pt idx="283">
                  <c:v>301</c:v>
                </c:pt>
                <c:pt idx="284">
                  <c:v>303</c:v>
                </c:pt>
                <c:pt idx="285">
                  <c:v>301</c:v>
                </c:pt>
                <c:pt idx="286">
                  <c:v>300</c:v>
                </c:pt>
                <c:pt idx="287">
                  <c:v>302</c:v>
                </c:pt>
                <c:pt idx="288">
                  <c:v>298</c:v>
                </c:pt>
                <c:pt idx="289">
                  <c:v>294</c:v>
                </c:pt>
                <c:pt idx="290">
                  <c:v>289</c:v>
                </c:pt>
                <c:pt idx="291">
                  <c:v>286</c:v>
                </c:pt>
                <c:pt idx="292">
                  <c:v>278</c:v>
                </c:pt>
                <c:pt idx="293">
                  <c:v>273</c:v>
                </c:pt>
                <c:pt idx="294">
                  <c:v>266</c:v>
                </c:pt>
                <c:pt idx="295">
                  <c:v>263</c:v>
                </c:pt>
                <c:pt idx="296">
                  <c:v>256</c:v>
                </c:pt>
                <c:pt idx="297">
                  <c:v>254</c:v>
                </c:pt>
                <c:pt idx="298">
                  <c:v>249</c:v>
                </c:pt>
                <c:pt idx="299">
                  <c:v>249</c:v>
                </c:pt>
                <c:pt idx="300">
                  <c:v>249</c:v>
                </c:pt>
                <c:pt idx="301">
                  <c:v>249</c:v>
                </c:pt>
                <c:pt idx="302">
                  <c:v>251</c:v>
                </c:pt>
                <c:pt idx="303">
                  <c:v>254</c:v>
                </c:pt>
                <c:pt idx="304">
                  <c:v>259</c:v>
                </c:pt>
                <c:pt idx="305">
                  <c:v>262</c:v>
                </c:pt>
                <c:pt idx="306">
                  <c:v>262</c:v>
                </c:pt>
                <c:pt idx="307">
                  <c:v>266</c:v>
                </c:pt>
                <c:pt idx="308">
                  <c:v>272</c:v>
                </c:pt>
                <c:pt idx="309">
                  <c:v>276</c:v>
                </c:pt>
                <c:pt idx="310">
                  <c:v>274</c:v>
                </c:pt>
                <c:pt idx="311">
                  <c:v>279</c:v>
                </c:pt>
                <c:pt idx="312">
                  <c:v>284</c:v>
                </c:pt>
                <c:pt idx="313">
                  <c:v>288</c:v>
                </c:pt>
                <c:pt idx="314">
                  <c:v>287</c:v>
                </c:pt>
                <c:pt idx="315">
                  <c:v>290</c:v>
                </c:pt>
                <c:pt idx="316">
                  <c:v>294</c:v>
                </c:pt>
                <c:pt idx="317">
                  <c:v>296</c:v>
                </c:pt>
                <c:pt idx="318">
                  <c:v>293</c:v>
                </c:pt>
                <c:pt idx="319">
                  <c:v>294</c:v>
                </c:pt>
                <c:pt idx="320">
                  <c:v>294</c:v>
                </c:pt>
                <c:pt idx="321">
                  <c:v>292</c:v>
                </c:pt>
                <c:pt idx="322">
                  <c:v>289</c:v>
                </c:pt>
                <c:pt idx="323">
                  <c:v>283</c:v>
                </c:pt>
                <c:pt idx="324">
                  <c:v>278</c:v>
                </c:pt>
                <c:pt idx="325">
                  <c:v>274</c:v>
                </c:pt>
                <c:pt idx="326">
                  <c:v>266</c:v>
                </c:pt>
                <c:pt idx="327">
                  <c:v>262</c:v>
                </c:pt>
                <c:pt idx="328">
                  <c:v>255</c:v>
                </c:pt>
                <c:pt idx="329">
                  <c:v>254</c:v>
                </c:pt>
                <c:pt idx="330">
                  <c:v>249</c:v>
                </c:pt>
                <c:pt idx="331">
                  <c:v>248</c:v>
                </c:pt>
                <c:pt idx="332">
                  <c:v>246</c:v>
                </c:pt>
                <c:pt idx="333">
                  <c:v>247</c:v>
                </c:pt>
                <c:pt idx="334">
                  <c:v>249</c:v>
                </c:pt>
                <c:pt idx="335">
                  <c:v>249</c:v>
                </c:pt>
                <c:pt idx="336">
                  <c:v>252</c:v>
                </c:pt>
                <c:pt idx="337">
                  <c:v>256</c:v>
                </c:pt>
                <c:pt idx="338">
                  <c:v>260</c:v>
                </c:pt>
                <c:pt idx="339">
                  <c:v>260</c:v>
                </c:pt>
                <c:pt idx="340">
                  <c:v>264</c:v>
                </c:pt>
                <c:pt idx="341">
                  <c:v>269</c:v>
                </c:pt>
                <c:pt idx="342">
                  <c:v>273</c:v>
                </c:pt>
                <c:pt idx="343">
                  <c:v>272</c:v>
                </c:pt>
                <c:pt idx="344">
                  <c:v>276</c:v>
                </c:pt>
                <c:pt idx="345">
                  <c:v>279</c:v>
                </c:pt>
                <c:pt idx="346">
                  <c:v>283</c:v>
                </c:pt>
                <c:pt idx="347">
                  <c:v>285</c:v>
                </c:pt>
                <c:pt idx="348">
                  <c:v>286</c:v>
                </c:pt>
                <c:pt idx="349">
                  <c:v>290</c:v>
                </c:pt>
                <c:pt idx="350">
                  <c:v>291</c:v>
                </c:pt>
                <c:pt idx="351">
                  <c:v>292</c:v>
                </c:pt>
                <c:pt idx="352">
                  <c:v>293</c:v>
                </c:pt>
                <c:pt idx="353">
                  <c:v>293</c:v>
                </c:pt>
                <c:pt idx="354">
                  <c:v>292</c:v>
                </c:pt>
                <c:pt idx="355">
                  <c:v>290</c:v>
                </c:pt>
                <c:pt idx="356">
                  <c:v>289</c:v>
                </c:pt>
                <c:pt idx="357">
                  <c:v>283</c:v>
                </c:pt>
                <c:pt idx="358">
                  <c:v>278</c:v>
                </c:pt>
                <c:pt idx="359">
                  <c:v>271</c:v>
                </c:pt>
                <c:pt idx="360">
                  <c:v>266</c:v>
                </c:pt>
                <c:pt idx="361">
                  <c:v>257</c:v>
                </c:pt>
                <c:pt idx="362">
                  <c:v>255</c:v>
                </c:pt>
                <c:pt idx="363">
                  <c:v>249</c:v>
                </c:pt>
                <c:pt idx="364">
                  <c:v>245</c:v>
                </c:pt>
                <c:pt idx="365">
                  <c:v>242</c:v>
                </c:pt>
                <c:pt idx="366">
                  <c:v>243</c:v>
                </c:pt>
                <c:pt idx="367">
                  <c:v>242</c:v>
                </c:pt>
                <c:pt idx="368">
                  <c:v>243</c:v>
                </c:pt>
                <c:pt idx="369">
                  <c:v>246</c:v>
                </c:pt>
                <c:pt idx="370">
                  <c:v>247</c:v>
                </c:pt>
                <c:pt idx="371">
                  <c:v>251</c:v>
                </c:pt>
                <c:pt idx="372">
                  <c:v>252</c:v>
                </c:pt>
                <c:pt idx="373">
                  <c:v>256</c:v>
                </c:pt>
                <c:pt idx="374">
                  <c:v>260</c:v>
                </c:pt>
                <c:pt idx="375">
                  <c:v>265</c:v>
                </c:pt>
                <c:pt idx="376">
                  <c:v>269</c:v>
                </c:pt>
                <c:pt idx="377">
                  <c:v>269</c:v>
                </c:pt>
                <c:pt idx="378">
                  <c:v>274</c:v>
                </c:pt>
                <c:pt idx="379">
                  <c:v>276</c:v>
                </c:pt>
                <c:pt idx="380">
                  <c:v>279</c:v>
                </c:pt>
                <c:pt idx="381">
                  <c:v>279</c:v>
                </c:pt>
                <c:pt idx="382">
                  <c:v>281</c:v>
                </c:pt>
                <c:pt idx="383">
                  <c:v>283</c:v>
                </c:pt>
                <c:pt idx="384">
                  <c:v>286</c:v>
                </c:pt>
                <c:pt idx="385">
                  <c:v>286</c:v>
                </c:pt>
                <c:pt idx="386">
                  <c:v>287</c:v>
                </c:pt>
                <c:pt idx="387">
                  <c:v>289</c:v>
                </c:pt>
                <c:pt idx="388">
                  <c:v>290</c:v>
                </c:pt>
                <c:pt idx="389">
                  <c:v>289</c:v>
                </c:pt>
                <c:pt idx="390">
                  <c:v>288</c:v>
                </c:pt>
                <c:pt idx="391">
                  <c:v>288</c:v>
                </c:pt>
                <c:pt idx="392">
                  <c:v>285</c:v>
                </c:pt>
                <c:pt idx="393">
                  <c:v>282</c:v>
                </c:pt>
                <c:pt idx="394">
                  <c:v>278</c:v>
                </c:pt>
                <c:pt idx="395">
                  <c:v>277</c:v>
                </c:pt>
                <c:pt idx="396">
                  <c:v>271</c:v>
                </c:pt>
                <c:pt idx="397">
                  <c:v>265</c:v>
                </c:pt>
                <c:pt idx="398">
                  <c:v>262</c:v>
                </c:pt>
                <c:pt idx="399">
                  <c:v>258</c:v>
                </c:pt>
                <c:pt idx="400">
                  <c:v>258</c:v>
                </c:pt>
                <c:pt idx="401">
                  <c:v>257</c:v>
                </c:pt>
                <c:pt idx="402">
                  <c:v>255</c:v>
                </c:pt>
                <c:pt idx="403">
                  <c:v>256</c:v>
                </c:pt>
                <c:pt idx="404">
                  <c:v>259</c:v>
                </c:pt>
                <c:pt idx="405">
                  <c:v>262</c:v>
                </c:pt>
                <c:pt idx="406">
                  <c:v>262</c:v>
                </c:pt>
              </c:numCache>
            </c:numRef>
          </c:yVal>
          <c:smooth val="0"/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Data'!$C$2:$C$408</c:f>
              <c:numCache>
                <c:formatCode>General</c:formatCode>
                <c:ptCount val="407"/>
                <c:pt idx="0">
                  <c:v>30145</c:v>
                </c:pt>
                <c:pt idx="1">
                  <c:v>30175</c:v>
                </c:pt>
                <c:pt idx="2">
                  <c:v>30236</c:v>
                </c:pt>
                <c:pt idx="3">
                  <c:v>30306</c:v>
                </c:pt>
                <c:pt idx="4">
                  <c:v>30338</c:v>
                </c:pt>
                <c:pt idx="5">
                  <c:v>30407</c:v>
                </c:pt>
                <c:pt idx="6">
                  <c:v>30438</c:v>
                </c:pt>
                <c:pt idx="7">
                  <c:v>30508</c:v>
                </c:pt>
                <c:pt idx="8">
                  <c:v>30540</c:v>
                </c:pt>
                <c:pt idx="9">
                  <c:v>30609</c:v>
                </c:pt>
                <c:pt idx="10">
                  <c:v>30640</c:v>
                </c:pt>
                <c:pt idx="11">
                  <c:v>30710</c:v>
                </c:pt>
                <c:pt idx="12">
                  <c:v>30742</c:v>
                </c:pt>
                <c:pt idx="13">
                  <c:v>30811</c:v>
                </c:pt>
                <c:pt idx="14">
                  <c:v>30842</c:v>
                </c:pt>
                <c:pt idx="15">
                  <c:v>30912</c:v>
                </c:pt>
                <c:pt idx="16">
                  <c:v>30944</c:v>
                </c:pt>
                <c:pt idx="17">
                  <c:v>31004</c:v>
                </c:pt>
                <c:pt idx="18">
                  <c:v>31073</c:v>
                </c:pt>
                <c:pt idx="19">
                  <c:v>31104</c:v>
                </c:pt>
                <c:pt idx="20">
                  <c:v>31174</c:v>
                </c:pt>
                <c:pt idx="21">
                  <c:v>31206</c:v>
                </c:pt>
                <c:pt idx="22">
                  <c:v>31275</c:v>
                </c:pt>
                <c:pt idx="23">
                  <c:v>31307</c:v>
                </c:pt>
                <c:pt idx="24">
                  <c:v>31376</c:v>
                </c:pt>
                <c:pt idx="25">
                  <c:v>31408</c:v>
                </c:pt>
                <c:pt idx="26">
                  <c:v>31477</c:v>
                </c:pt>
                <c:pt idx="27">
                  <c:v>31508</c:v>
                </c:pt>
                <c:pt idx="28">
                  <c:v>31578</c:v>
                </c:pt>
                <c:pt idx="29">
                  <c:v>31610</c:v>
                </c:pt>
                <c:pt idx="30">
                  <c:v>31679</c:v>
                </c:pt>
                <c:pt idx="31">
                  <c:v>31711</c:v>
                </c:pt>
                <c:pt idx="32">
                  <c:v>31780</c:v>
                </c:pt>
                <c:pt idx="33">
                  <c:v>31812</c:v>
                </c:pt>
                <c:pt idx="34">
                  <c:v>31881</c:v>
                </c:pt>
                <c:pt idx="35">
                  <c:v>31913</c:v>
                </c:pt>
                <c:pt idx="36">
                  <c:v>31973</c:v>
                </c:pt>
                <c:pt idx="37">
                  <c:v>32042</c:v>
                </c:pt>
                <c:pt idx="38">
                  <c:v>32074</c:v>
                </c:pt>
                <c:pt idx="39">
                  <c:v>32143</c:v>
                </c:pt>
                <c:pt idx="40">
                  <c:v>32175</c:v>
                </c:pt>
                <c:pt idx="41">
                  <c:v>32244</c:v>
                </c:pt>
                <c:pt idx="42">
                  <c:v>32276</c:v>
                </c:pt>
                <c:pt idx="43">
                  <c:v>32345</c:v>
                </c:pt>
                <c:pt idx="44">
                  <c:v>32377</c:v>
                </c:pt>
                <c:pt idx="45">
                  <c:v>32438</c:v>
                </c:pt>
                <c:pt idx="46">
                  <c:v>32508</c:v>
                </c:pt>
                <c:pt idx="47">
                  <c:v>32540</c:v>
                </c:pt>
                <c:pt idx="48">
                  <c:v>32609</c:v>
                </c:pt>
                <c:pt idx="49">
                  <c:v>32641</c:v>
                </c:pt>
                <c:pt idx="50">
                  <c:v>32702</c:v>
                </c:pt>
                <c:pt idx="51">
                  <c:v>32751</c:v>
                </c:pt>
                <c:pt idx="52">
                  <c:v>32803</c:v>
                </c:pt>
                <c:pt idx="53">
                  <c:v>32874</c:v>
                </c:pt>
                <c:pt idx="54">
                  <c:v>32906</c:v>
                </c:pt>
                <c:pt idx="55">
                  <c:v>32966</c:v>
                </c:pt>
                <c:pt idx="56">
                  <c:v>33035</c:v>
                </c:pt>
                <c:pt idx="57">
                  <c:v>33067</c:v>
                </c:pt>
                <c:pt idx="58">
                  <c:v>33136</c:v>
                </c:pt>
                <c:pt idx="59">
                  <c:v>33168</c:v>
                </c:pt>
                <c:pt idx="60">
                  <c:v>33237</c:v>
                </c:pt>
                <c:pt idx="61">
                  <c:v>33269</c:v>
                </c:pt>
                <c:pt idx="62">
                  <c:v>33338</c:v>
                </c:pt>
                <c:pt idx="63">
                  <c:v>33370</c:v>
                </c:pt>
                <c:pt idx="64">
                  <c:v>33430</c:v>
                </c:pt>
                <c:pt idx="65">
                  <c:v>33499</c:v>
                </c:pt>
                <c:pt idx="66">
                  <c:v>33531</c:v>
                </c:pt>
                <c:pt idx="67">
                  <c:v>33600</c:v>
                </c:pt>
                <c:pt idx="68">
                  <c:v>33631</c:v>
                </c:pt>
                <c:pt idx="69">
                  <c:v>33701</c:v>
                </c:pt>
                <c:pt idx="70">
                  <c:v>33733</c:v>
                </c:pt>
                <c:pt idx="71">
                  <c:v>33802</c:v>
                </c:pt>
                <c:pt idx="72">
                  <c:v>33834</c:v>
                </c:pt>
                <c:pt idx="73">
                  <c:v>33903</c:v>
                </c:pt>
                <c:pt idx="74">
                  <c:v>33935</c:v>
                </c:pt>
                <c:pt idx="75">
                  <c:v>34004</c:v>
                </c:pt>
                <c:pt idx="76">
                  <c:v>34035</c:v>
                </c:pt>
                <c:pt idx="77">
                  <c:v>34105</c:v>
                </c:pt>
                <c:pt idx="78">
                  <c:v>34137</c:v>
                </c:pt>
                <c:pt idx="79">
                  <c:v>34197</c:v>
                </c:pt>
                <c:pt idx="80">
                  <c:v>34266</c:v>
                </c:pt>
                <c:pt idx="81">
                  <c:v>34297</c:v>
                </c:pt>
                <c:pt idx="82">
                  <c:v>34367</c:v>
                </c:pt>
                <c:pt idx="83">
                  <c:v>34399</c:v>
                </c:pt>
                <c:pt idx="84">
                  <c:v>34468</c:v>
                </c:pt>
                <c:pt idx="85">
                  <c:v>34499</c:v>
                </c:pt>
                <c:pt idx="86">
                  <c:v>34569</c:v>
                </c:pt>
                <c:pt idx="87">
                  <c:v>34601</c:v>
                </c:pt>
                <c:pt idx="88">
                  <c:v>34670</c:v>
                </c:pt>
                <c:pt idx="89">
                  <c:v>34702</c:v>
                </c:pt>
                <c:pt idx="90">
                  <c:v>34771</c:v>
                </c:pt>
                <c:pt idx="91">
                  <c:v>34803</c:v>
                </c:pt>
                <c:pt idx="92">
                  <c:v>34872</c:v>
                </c:pt>
                <c:pt idx="93">
                  <c:v>34904</c:v>
                </c:pt>
                <c:pt idx="94">
                  <c:v>34973</c:v>
                </c:pt>
                <c:pt idx="95">
                  <c:v>35005</c:v>
                </c:pt>
                <c:pt idx="96">
                  <c:v>35074</c:v>
                </c:pt>
                <c:pt idx="97">
                  <c:v>35105</c:v>
                </c:pt>
                <c:pt idx="98">
                  <c:v>35175</c:v>
                </c:pt>
                <c:pt idx="99">
                  <c:v>35207</c:v>
                </c:pt>
                <c:pt idx="100">
                  <c:v>35267</c:v>
                </c:pt>
                <c:pt idx="101">
                  <c:v>35336</c:v>
                </c:pt>
                <c:pt idx="102">
                  <c:v>35368</c:v>
                </c:pt>
                <c:pt idx="103">
                  <c:v>35437</c:v>
                </c:pt>
                <c:pt idx="104">
                  <c:v>35469</c:v>
                </c:pt>
                <c:pt idx="105">
                  <c:v>35538</c:v>
                </c:pt>
                <c:pt idx="106">
                  <c:v>35569</c:v>
                </c:pt>
                <c:pt idx="107">
                  <c:v>35639</c:v>
                </c:pt>
                <c:pt idx="108">
                  <c:v>35671</c:v>
                </c:pt>
                <c:pt idx="109">
                  <c:v>35740</c:v>
                </c:pt>
                <c:pt idx="110">
                  <c:v>35772</c:v>
                </c:pt>
                <c:pt idx="111">
                  <c:v>35841</c:v>
                </c:pt>
                <c:pt idx="112">
                  <c:v>35873</c:v>
                </c:pt>
                <c:pt idx="113">
                  <c:v>35933</c:v>
                </c:pt>
                <c:pt idx="114">
                  <c:v>36002</c:v>
                </c:pt>
                <c:pt idx="115">
                  <c:v>36033</c:v>
                </c:pt>
                <c:pt idx="116">
                  <c:v>36103</c:v>
                </c:pt>
                <c:pt idx="117">
                  <c:v>36135</c:v>
                </c:pt>
                <c:pt idx="118">
                  <c:v>36204</c:v>
                </c:pt>
                <c:pt idx="119">
                  <c:v>36236</c:v>
                </c:pt>
                <c:pt idx="120">
                  <c:v>36305</c:v>
                </c:pt>
                <c:pt idx="121">
                  <c:v>36337</c:v>
                </c:pt>
                <c:pt idx="122">
                  <c:v>36406</c:v>
                </c:pt>
                <c:pt idx="123">
                  <c:v>36438</c:v>
                </c:pt>
                <c:pt idx="124">
                  <c:v>36507</c:v>
                </c:pt>
                <c:pt idx="125">
                  <c:v>36539</c:v>
                </c:pt>
                <c:pt idx="126">
                  <c:v>36608</c:v>
                </c:pt>
                <c:pt idx="127">
                  <c:v>36640</c:v>
                </c:pt>
                <c:pt idx="128">
                  <c:v>36709</c:v>
                </c:pt>
                <c:pt idx="129">
                  <c:v>36741</c:v>
                </c:pt>
                <c:pt idx="130">
                  <c:v>36801</c:v>
                </c:pt>
                <c:pt idx="131">
                  <c:v>36870</c:v>
                </c:pt>
                <c:pt idx="132">
                  <c:v>36901</c:v>
                </c:pt>
                <c:pt idx="133">
                  <c:v>36971</c:v>
                </c:pt>
                <c:pt idx="134">
                  <c:v>37003</c:v>
                </c:pt>
                <c:pt idx="135">
                  <c:v>37072</c:v>
                </c:pt>
                <c:pt idx="136">
                  <c:v>37103</c:v>
                </c:pt>
                <c:pt idx="137">
                  <c:v>37173</c:v>
                </c:pt>
                <c:pt idx="138">
                  <c:v>37205</c:v>
                </c:pt>
                <c:pt idx="139">
                  <c:v>37274</c:v>
                </c:pt>
                <c:pt idx="140">
                  <c:v>37306</c:v>
                </c:pt>
                <c:pt idx="141">
                  <c:v>37375</c:v>
                </c:pt>
                <c:pt idx="142">
                  <c:v>37407</c:v>
                </c:pt>
                <c:pt idx="143">
                  <c:v>37476</c:v>
                </c:pt>
                <c:pt idx="144">
                  <c:v>37508</c:v>
                </c:pt>
                <c:pt idx="145">
                  <c:v>37577</c:v>
                </c:pt>
                <c:pt idx="146">
                  <c:v>37609</c:v>
                </c:pt>
                <c:pt idx="147">
                  <c:v>37678</c:v>
                </c:pt>
                <c:pt idx="148">
                  <c:v>37710</c:v>
                </c:pt>
                <c:pt idx="149">
                  <c:v>37779</c:v>
                </c:pt>
                <c:pt idx="150">
                  <c:v>37811</c:v>
                </c:pt>
                <c:pt idx="151">
                  <c:v>37871</c:v>
                </c:pt>
                <c:pt idx="152">
                  <c:v>37940</c:v>
                </c:pt>
                <c:pt idx="153">
                  <c:v>37971</c:v>
                </c:pt>
                <c:pt idx="154">
                  <c:v>38041</c:v>
                </c:pt>
                <c:pt idx="155">
                  <c:v>38073</c:v>
                </c:pt>
                <c:pt idx="156">
                  <c:v>38142</c:v>
                </c:pt>
                <c:pt idx="157">
                  <c:v>38173</c:v>
                </c:pt>
                <c:pt idx="158">
                  <c:v>38243</c:v>
                </c:pt>
                <c:pt idx="159">
                  <c:v>38275</c:v>
                </c:pt>
                <c:pt idx="160">
                  <c:v>38344</c:v>
                </c:pt>
                <c:pt idx="161">
                  <c:v>38376</c:v>
                </c:pt>
                <c:pt idx="162">
                  <c:v>38445</c:v>
                </c:pt>
                <c:pt idx="163">
                  <c:v>38477</c:v>
                </c:pt>
                <c:pt idx="164">
                  <c:v>38546</c:v>
                </c:pt>
                <c:pt idx="165">
                  <c:v>38578</c:v>
                </c:pt>
                <c:pt idx="166">
                  <c:v>38647</c:v>
                </c:pt>
                <c:pt idx="167">
                  <c:v>38679</c:v>
                </c:pt>
                <c:pt idx="168">
                  <c:v>38739</c:v>
                </c:pt>
                <c:pt idx="169">
                  <c:v>38808</c:v>
                </c:pt>
                <c:pt idx="170">
                  <c:v>38840</c:v>
                </c:pt>
                <c:pt idx="171">
                  <c:v>38909</c:v>
                </c:pt>
                <c:pt idx="172">
                  <c:v>38941</c:v>
                </c:pt>
                <c:pt idx="173">
                  <c:v>39010</c:v>
                </c:pt>
                <c:pt idx="174">
                  <c:v>39042</c:v>
                </c:pt>
                <c:pt idx="175">
                  <c:v>39111</c:v>
                </c:pt>
                <c:pt idx="176">
                  <c:v>39143</c:v>
                </c:pt>
                <c:pt idx="177">
                  <c:v>39212</c:v>
                </c:pt>
                <c:pt idx="178">
                  <c:v>39244</c:v>
                </c:pt>
                <c:pt idx="179">
                  <c:v>39313</c:v>
                </c:pt>
                <c:pt idx="180">
                  <c:v>39345</c:v>
                </c:pt>
                <c:pt idx="181">
                  <c:v>39414</c:v>
                </c:pt>
                <c:pt idx="182">
                  <c:v>39446</c:v>
                </c:pt>
                <c:pt idx="183">
                  <c:v>39515</c:v>
                </c:pt>
                <c:pt idx="184">
                  <c:v>39547</c:v>
                </c:pt>
                <c:pt idx="185">
                  <c:v>39616</c:v>
                </c:pt>
                <c:pt idx="186">
                  <c:v>39647</c:v>
                </c:pt>
                <c:pt idx="187">
                  <c:v>39708</c:v>
                </c:pt>
                <c:pt idx="188">
                  <c:v>39777</c:v>
                </c:pt>
                <c:pt idx="189">
                  <c:v>39809</c:v>
                </c:pt>
                <c:pt idx="190">
                  <c:v>39878</c:v>
                </c:pt>
                <c:pt idx="191">
                  <c:v>39909</c:v>
                </c:pt>
                <c:pt idx="192">
                  <c:v>39979</c:v>
                </c:pt>
                <c:pt idx="193">
                  <c:v>40011</c:v>
                </c:pt>
                <c:pt idx="194">
                  <c:v>40080</c:v>
                </c:pt>
                <c:pt idx="195">
                  <c:v>40111</c:v>
                </c:pt>
                <c:pt idx="196">
                  <c:v>40181</c:v>
                </c:pt>
                <c:pt idx="197">
                  <c:v>40213</c:v>
                </c:pt>
                <c:pt idx="198">
                  <c:v>40282</c:v>
                </c:pt>
                <c:pt idx="199">
                  <c:v>40313</c:v>
                </c:pt>
                <c:pt idx="200">
                  <c:v>40383</c:v>
                </c:pt>
                <c:pt idx="201">
                  <c:v>40415</c:v>
                </c:pt>
                <c:pt idx="202">
                  <c:v>40484</c:v>
                </c:pt>
                <c:pt idx="203">
                  <c:v>40515</c:v>
                </c:pt>
                <c:pt idx="204">
                  <c:v>40585</c:v>
                </c:pt>
                <c:pt idx="205">
                  <c:v>40617</c:v>
                </c:pt>
                <c:pt idx="206">
                  <c:v>40686</c:v>
                </c:pt>
                <c:pt idx="207">
                  <c:v>40718</c:v>
                </c:pt>
                <c:pt idx="208">
                  <c:v>40787</c:v>
                </c:pt>
                <c:pt idx="209">
                  <c:v>40819</c:v>
                </c:pt>
                <c:pt idx="210">
                  <c:v>40879</c:v>
                </c:pt>
                <c:pt idx="211">
                  <c:v>40948</c:v>
                </c:pt>
                <c:pt idx="212">
                  <c:v>40980</c:v>
                </c:pt>
                <c:pt idx="213">
                  <c:v>41049</c:v>
                </c:pt>
                <c:pt idx="214">
                  <c:v>41081</c:v>
                </c:pt>
                <c:pt idx="215">
                  <c:v>41150</c:v>
                </c:pt>
                <c:pt idx="216">
                  <c:v>41182</c:v>
                </c:pt>
                <c:pt idx="217">
                  <c:v>41251</c:v>
                </c:pt>
                <c:pt idx="218">
                  <c:v>41283</c:v>
                </c:pt>
                <c:pt idx="219">
                  <c:v>41352</c:v>
                </c:pt>
                <c:pt idx="220">
                  <c:v>41384</c:v>
                </c:pt>
                <c:pt idx="221">
                  <c:v>41453</c:v>
                </c:pt>
                <c:pt idx="222">
                  <c:v>41485</c:v>
                </c:pt>
                <c:pt idx="223">
                  <c:v>41554</c:v>
                </c:pt>
                <c:pt idx="224">
                  <c:v>41585</c:v>
                </c:pt>
                <c:pt idx="225">
                  <c:v>41655</c:v>
                </c:pt>
                <c:pt idx="226">
                  <c:v>41687</c:v>
                </c:pt>
                <c:pt idx="227">
                  <c:v>41756</c:v>
                </c:pt>
                <c:pt idx="228">
                  <c:v>41788</c:v>
                </c:pt>
                <c:pt idx="229">
                  <c:v>41857</c:v>
                </c:pt>
                <c:pt idx="230">
                  <c:v>41889</c:v>
                </c:pt>
                <c:pt idx="231">
                  <c:v>41958</c:v>
                </c:pt>
                <c:pt idx="232">
                  <c:v>41989</c:v>
                </c:pt>
                <c:pt idx="233">
                  <c:v>42049</c:v>
                </c:pt>
                <c:pt idx="234">
                  <c:v>42119</c:v>
                </c:pt>
                <c:pt idx="235">
                  <c:v>42151</c:v>
                </c:pt>
                <c:pt idx="236">
                  <c:v>42220</c:v>
                </c:pt>
                <c:pt idx="237">
                  <c:v>42251</c:v>
                </c:pt>
                <c:pt idx="238">
                  <c:v>42321</c:v>
                </c:pt>
                <c:pt idx="239">
                  <c:v>42353</c:v>
                </c:pt>
                <c:pt idx="240">
                  <c:v>42422</c:v>
                </c:pt>
                <c:pt idx="241">
                  <c:v>42453</c:v>
                </c:pt>
                <c:pt idx="242">
                  <c:v>42523</c:v>
                </c:pt>
                <c:pt idx="243">
                  <c:v>42555</c:v>
                </c:pt>
                <c:pt idx="244">
                  <c:v>42624</c:v>
                </c:pt>
                <c:pt idx="245">
                  <c:v>42656</c:v>
                </c:pt>
                <c:pt idx="246">
                  <c:v>42725</c:v>
                </c:pt>
                <c:pt idx="247">
                  <c:v>42757</c:v>
                </c:pt>
                <c:pt idx="248">
                  <c:v>42826</c:v>
                </c:pt>
                <c:pt idx="249">
                  <c:v>42858</c:v>
                </c:pt>
                <c:pt idx="250">
                  <c:v>42927</c:v>
                </c:pt>
                <c:pt idx="251">
                  <c:v>42959</c:v>
                </c:pt>
                <c:pt idx="252">
                  <c:v>43028</c:v>
                </c:pt>
                <c:pt idx="253">
                  <c:v>43060</c:v>
                </c:pt>
                <c:pt idx="254">
                  <c:v>43120</c:v>
                </c:pt>
                <c:pt idx="255">
                  <c:v>43189</c:v>
                </c:pt>
                <c:pt idx="256">
                  <c:v>43221</c:v>
                </c:pt>
                <c:pt idx="257">
                  <c:v>43290</c:v>
                </c:pt>
                <c:pt idx="258">
                  <c:v>43321</c:v>
                </c:pt>
                <c:pt idx="259">
                  <c:v>43391</c:v>
                </c:pt>
                <c:pt idx="260">
                  <c:v>43423</c:v>
                </c:pt>
                <c:pt idx="261">
                  <c:v>43472</c:v>
                </c:pt>
                <c:pt idx="262">
                  <c:v>43524</c:v>
                </c:pt>
                <c:pt idx="263">
                  <c:v>43593</c:v>
                </c:pt>
                <c:pt idx="264">
                  <c:v>43625</c:v>
                </c:pt>
                <c:pt idx="265">
                  <c:v>43694</c:v>
                </c:pt>
                <c:pt idx="266">
                  <c:v>43725</c:v>
                </c:pt>
                <c:pt idx="267">
                  <c:v>43795</c:v>
                </c:pt>
                <c:pt idx="268">
                  <c:v>43827</c:v>
                </c:pt>
                <c:pt idx="269">
                  <c:v>43896</c:v>
                </c:pt>
                <c:pt idx="270">
                  <c:v>43927</c:v>
                </c:pt>
                <c:pt idx="271">
                  <c:v>43997</c:v>
                </c:pt>
                <c:pt idx="272">
                  <c:v>44029</c:v>
                </c:pt>
                <c:pt idx="273">
                  <c:v>44098</c:v>
                </c:pt>
                <c:pt idx="274">
                  <c:v>44129</c:v>
                </c:pt>
                <c:pt idx="275">
                  <c:v>44199</c:v>
                </c:pt>
                <c:pt idx="276">
                  <c:v>44231</c:v>
                </c:pt>
                <c:pt idx="277">
                  <c:v>44300</c:v>
                </c:pt>
                <c:pt idx="278">
                  <c:v>44332</c:v>
                </c:pt>
                <c:pt idx="279">
                  <c:v>44392</c:v>
                </c:pt>
                <c:pt idx="280">
                  <c:v>44462</c:v>
                </c:pt>
                <c:pt idx="281">
                  <c:v>44494</c:v>
                </c:pt>
                <c:pt idx="282">
                  <c:v>44543</c:v>
                </c:pt>
                <c:pt idx="283">
                  <c:v>44594</c:v>
                </c:pt>
                <c:pt idx="284">
                  <c:v>44663</c:v>
                </c:pt>
                <c:pt idx="285">
                  <c:v>44695</c:v>
                </c:pt>
                <c:pt idx="286">
                  <c:v>44764</c:v>
                </c:pt>
                <c:pt idx="287">
                  <c:v>44796</c:v>
                </c:pt>
                <c:pt idx="288">
                  <c:v>44865</c:v>
                </c:pt>
                <c:pt idx="289">
                  <c:v>44897</c:v>
                </c:pt>
                <c:pt idx="290">
                  <c:v>44966</c:v>
                </c:pt>
                <c:pt idx="291">
                  <c:v>44998</c:v>
                </c:pt>
                <c:pt idx="292">
                  <c:v>45067</c:v>
                </c:pt>
                <c:pt idx="293">
                  <c:v>45099</c:v>
                </c:pt>
                <c:pt idx="294">
                  <c:v>45168</c:v>
                </c:pt>
                <c:pt idx="295">
                  <c:v>45200</c:v>
                </c:pt>
                <c:pt idx="296">
                  <c:v>45269</c:v>
                </c:pt>
                <c:pt idx="297">
                  <c:v>45301</c:v>
                </c:pt>
                <c:pt idx="298">
                  <c:v>45370</c:v>
                </c:pt>
                <c:pt idx="299">
                  <c:v>45401</c:v>
                </c:pt>
                <c:pt idx="300">
                  <c:v>45471</c:v>
                </c:pt>
                <c:pt idx="301">
                  <c:v>45503</c:v>
                </c:pt>
                <c:pt idx="302">
                  <c:v>45564</c:v>
                </c:pt>
                <c:pt idx="303">
                  <c:v>45633</c:v>
                </c:pt>
                <c:pt idx="304">
                  <c:v>45664</c:v>
                </c:pt>
                <c:pt idx="305">
                  <c:v>45734</c:v>
                </c:pt>
                <c:pt idx="306">
                  <c:v>45766</c:v>
                </c:pt>
                <c:pt idx="307">
                  <c:v>45835</c:v>
                </c:pt>
                <c:pt idx="308">
                  <c:v>45866</c:v>
                </c:pt>
                <c:pt idx="309">
                  <c:v>45936</c:v>
                </c:pt>
                <c:pt idx="310">
                  <c:v>45968</c:v>
                </c:pt>
                <c:pt idx="311">
                  <c:v>46037</c:v>
                </c:pt>
                <c:pt idx="312">
                  <c:v>46069</c:v>
                </c:pt>
                <c:pt idx="313">
                  <c:v>46138</c:v>
                </c:pt>
                <c:pt idx="314">
                  <c:v>46170</c:v>
                </c:pt>
                <c:pt idx="315">
                  <c:v>46239</c:v>
                </c:pt>
                <c:pt idx="316">
                  <c:v>46271</c:v>
                </c:pt>
                <c:pt idx="317">
                  <c:v>46340</c:v>
                </c:pt>
                <c:pt idx="318">
                  <c:v>46372</c:v>
                </c:pt>
                <c:pt idx="319">
                  <c:v>46441</c:v>
                </c:pt>
                <c:pt idx="320">
                  <c:v>46472</c:v>
                </c:pt>
                <c:pt idx="321">
                  <c:v>46542</c:v>
                </c:pt>
                <c:pt idx="322">
                  <c:v>46574</c:v>
                </c:pt>
                <c:pt idx="323">
                  <c:v>46634</c:v>
                </c:pt>
                <c:pt idx="324">
                  <c:v>46703</c:v>
                </c:pt>
                <c:pt idx="325">
                  <c:v>46734</c:v>
                </c:pt>
                <c:pt idx="326">
                  <c:v>46804</c:v>
                </c:pt>
                <c:pt idx="327">
                  <c:v>46836</c:v>
                </c:pt>
                <c:pt idx="328">
                  <c:v>46905</c:v>
                </c:pt>
                <c:pt idx="329">
                  <c:v>46936</c:v>
                </c:pt>
                <c:pt idx="330">
                  <c:v>47006</c:v>
                </c:pt>
                <c:pt idx="331">
                  <c:v>47038</c:v>
                </c:pt>
                <c:pt idx="332">
                  <c:v>47107</c:v>
                </c:pt>
                <c:pt idx="333">
                  <c:v>47138</c:v>
                </c:pt>
                <c:pt idx="334">
                  <c:v>47208</c:v>
                </c:pt>
                <c:pt idx="335">
                  <c:v>47240</c:v>
                </c:pt>
                <c:pt idx="336">
                  <c:v>47309</c:v>
                </c:pt>
                <c:pt idx="337">
                  <c:v>47340</c:v>
                </c:pt>
                <c:pt idx="338">
                  <c:v>47410</c:v>
                </c:pt>
                <c:pt idx="339">
                  <c:v>47442</c:v>
                </c:pt>
                <c:pt idx="340">
                  <c:v>47511</c:v>
                </c:pt>
                <c:pt idx="341">
                  <c:v>47543</c:v>
                </c:pt>
                <c:pt idx="342">
                  <c:v>47612</c:v>
                </c:pt>
                <c:pt idx="343">
                  <c:v>47644</c:v>
                </c:pt>
                <c:pt idx="344">
                  <c:v>47713</c:v>
                </c:pt>
                <c:pt idx="345">
                  <c:v>47744</c:v>
                </c:pt>
                <c:pt idx="346">
                  <c:v>47805</c:v>
                </c:pt>
                <c:pt idx="347">
                  <c:v>47874</c:v>
                </c:pt>
                <c:pt idx="348">
                  <c:v>47906</c:v>
                </c:pt>
                <c:pt idx="349">
                  <c:v>47976</c:v>
                </c:pt>
                <c:pt idx="350">
                  <c:v>48006</c:v>
                </c:pt>
                <c:pt idx="351">
                  <c:v>48056</c:v>
                </c:pt>
                <c:pt idx="352">
                  <c:v>48107</c:v>
                </c:pt>
                <c:pt idx="353">
                  <c:v>48176</c:v>
                </c:pt>
                <c:pt idx="354">
                  <c:v>48208</c:v>
                </c:pt>
                <c:pt idx="355">
                  <c:v>48279</c:v>
                </c:pt>
                <c:pt idx="356">
                  <c:v>48310</c:v>
                </c:pt>
                <c:pt idx="357">
                  <c:v>48379</c:v>
                </c:pt>
                <c:pt idx="358">
                  <c:v>48411</c:v>
                </c:pt>
                <c:pt idx="359">
                  <c:v>48480</c:v>
                </c:pt>
                <c:pt idx="360">
                  <c:v>48512</c:v>
                </c:pt>
                <c:pt idx="361">
                  <c:v>48561</c:v>
                </c:pt>
                <c:pt idx="362">
                  <c:v>48611</c:v>
                </c:pt>
                <c:pt idx="363">
                  <c:v>48681</c:v>
                </c:pt>
                <c:pt idx="364">
                  <c:v>48713</c:v>
                </c:pt>
                <c:pt idx="365">
                  <c:v>48782</c:v>
                </c:pt>
                <c:pt idx="366">
                  <c:v>48813</c:v>
                </c:pt>
                <c:pt idx="367">
                  <c:v>48883</c:v>
                </c:pt>
                <c:pt idx="368">
                  <c:v>48915</c:v>
                </c:pt>
                <c:pt idx="369">
                  <c:v>48984</c:v>
                </c:pt>
                <c:pt idx="370">
                  <c:v>49015</c:v>
                </c:pt>
                <c:pt idx="371">
                  <c:v>49085</c:v>
                </c:pt>
                <c:pt idx="372">
                  <c:v>49117</c:v>
                </c:pt>
                <c:pt idx="373">
                  <c:v>49186</c:v>
                </c:pt>
                <c:pt idx="374">
                  <c:v>49217</c:v>
                </c:pt>
                <c:pt idx="375">
                  <c:v>49277</c:v>
                </c:pt>
                <c:pt idx="376">
                  <c:v>49347</c:v>
                </c:pt>
                <c:pt idx="377">
                  <c:v>49379</c:v>
                </c:pt>
                <c:pt idx="378">
                  <c:v>49448</c:v>
                </c:pt>
                <c:pt idx="379">
                  <c:v>49480</c:v>
                </c:pt>
                <c:pt idx="380">
                  <c:v>49549</c:v>
                </c:pt>
                <c:pt idx="381">
                  <c:v>49581</c:v>
                </c:pt>
                <c:pt idx="382">
                  <c:v>49650</c:v>
                </c:pt>
                <c:pt idx="383">
                  <c:v>49682</c:v>
                </c:pt>
                <c:pt idx="384">
                  <c:v>49751</c:v>
                </c:pt>
                <c:pt idx="385">
                  <c:v>49783</c:v>
                </c:pt>
                <c:pt idx="386">
                  <c:v>49852</c:v>
                </c:pt>
                <c:pt idx="387">
                  <c:v>49883</c:v>
                </c:pt>
                <c:pt idx="388">
                  <c:v>49953</c:v>
                </c:pt>
                <c:pt idx="389">
                  <c:v>49985</c:v>
                </c:pt>
                <c:pt idx="390">
                  <c:v>50054</c:v>
                </c:pt>
                <c:pt idx="391">
                  <c:v>50085</c:v>
                </c:pt>
                <c:pt idx="392">
                  <c:v>50155</c:v>
                </c:pt>
                <c:pt idx="393">
                  <c:v>50187</c:v>
                </c:pt>
                <c:pt idx="394">
                  <c:v>50256</c:v>
                </c:pt>
                <c:pt idx="395">
                  <c:v>50288</c:v>
                </c:pt>
                <c:pt idx="396">
                  <c:v>50347</c:v>
                </c:pt>
                <c:pt idx="397">
                  <c:v>50417</c:v>
                </c:pt>
                <c:pt idx="398">
                  <c:v>50449</c:v>
                </c:pt>
                <c:pt idx="399">
                  <c:v>50518</c:v>
                </c:pt>
                <c:pt idx="400">
                  <c:v>50549</c:v>
                </c:pt>
                <c:pt idx="401">
                  <c:v>50619</c:v>
                </c:pt>
                <c:pt idx="402">
                  <c:v>50651</c:v>
                </c:pt>
                <c:pt idx="403">
                  <c:v>50720</c:v>
                </c:pt>
                <c:pt idx="404">
                  <c:v>50751</c:v>
                </c:pt>
                <c:pt idx="405">
                  <c:v>50821</c:v>
                </c:pt>
                <c:pt idx="406">
                  <c:v>50853</c:v>
                </c:pt>
              </c:numCache>
            </c:numRef>
          </c:xVal>
          <c:yVal>
            <c:numRef>
              <c:f>'Simple Data'!$E$2:$E$408</c:f>
              <c:numCache>
                <c:formatCode>General</c:formatCode>
                <c:ptCount val="407"/>
                <c:pt idx="0">
                  <c:v>80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90</c:v>
                </c:pt>
                <c:pt idx="95">
                  <c:v>95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90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95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90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95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80</c:v>
                </c:pt>
                <c:pt idx="176">
                  <c:v>85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95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95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95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90</c:v>
                </c:pt>
                <c:pt idx="278">
                  <c:v>80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80</c:v>
                </c:pt>
                <c:pt idx="283">
                  <c:v>80</c:v>
                </c:pt>
                <c:pt idx="284">
                  <c:v>80</c:v>
                </c:pt>
                <c:pt idx="285">
                  <c:v>80</c:v>
                </c:pt>
                <c:pt idx="286">
                  <c:v>80</c:v>
                </c:pt>
                <c:pt idx="287">
                  <c:v>80</c:v>
                </c:pt>
                <c:pt idx="288">
                  <c:v>80</c:v>
                </c:pt>
                <c:pt idx="289">
                  <c:v>80</c:v>
                </c:pt>
                <c:pt idx="290">
                  <c:v>80</c:v>
                </c:pt>
                <c:pt idx="291">
                  <c:v>80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80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80</c:v>
                </c:pt>
                <c:pt idx="319">
                  <c:v>80</c:v>
                </c:pt>
                <c:pt idx="320">
                  <c:v>80</c:v>
                </c:pt>
                <c:pt idx="321">
                  <c:v>80</c:v>
                </c:pt>
                <c:pt idx="322">
                  <c:v>80</c:v>
                </c:pt>
                <c:pt idx="323">
                  <c:v>85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85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85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95</c:v>
                </c:pt>
                <c:pt idx="383">
                  <c:v>85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90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</c:numCache>
            </c:numRef>
          </c:yVal>
          <c:smooth val="0"/>
        </c:ser>
        <c:ser>
          <c:idx val="2"/>
          <c:order val="2"/>
          <c:tx>
            <c:v>Reference Signal [mm]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'Simple Data'!$O$3:$O$4</c:f>
              <c:numCache>
                <c:formatCode>General</c:formatCode>
                <c:ptCount val="2"/>
                <c:pt idx="0">
                  <c:v>30145</c:v>
                </c:pt>
                <c:pt idx="1">
                  <c:v>50853</c:v>
                </c:pt>
              </c:numCache>
            </c:numRef>
          </c:xVal>
          <c:yVal>
            <c:numRef>
              <c:f>'Simple Data'!$N$3:$N$4</c:f>
              <c:numCache>
                <c:formatCode>General</c:formatCode>
                <c:ptCount val="2"/>
                <c:pt idx="0">
                  <c:v>300</c:v>
                </c:pt>
                <c:pt idx="1">
                  <c:v>300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853856"/>
        <c:axId val="836864192"/>
      </c:scatterChart>
      <c:valAx>
        <c:axId val="836853856"/>
        <c:scaling>
          <c:orientation val="minMax"/>
          <c:max val="52000"/>
          <c:min val="3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[ms]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864192"/>
        <c:crosses val="autoZero"/>
        <c:crossBetween val="midCat"/>
      </c:valAx>
      <c:valAx>
        <c:axId val="83686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85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93512214081121"/>
          <c:y val="0.12863329858299388"/>
          <c:w val="0.13496082185339264"/>
          <c:h val="8.82919877308256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4770425177657181E-2"/>
          <c:y val="2.3906545088394321E-2"/>
          <c:w val="0.94367962688393381"/>
          <c:h val="0.8795907582807001"/>
        </c:manualLayout>
      </c:layout>
      <c:scatterChart>
        <c:scatterStyle val="lineMarker"/>
        <c:varyColors val="0"/>
        <c:ser>
          <c:idx val="0"/>
          <c:order val="0"/>
          <c:tx>
            <c:v>Distance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Analysis!$C$2:$C$408</c:f>
              <c:numCache>
                <c:formatCode>0.000</c:formatCode>
                <c:ptCount val="407"/>
                <c:pt idx="0">
                  <c:v>0</c:v>
                </c:pt>
                <c:pt idx="1">
                  <c:v>0.03</c:v>
                </c:pt>
                <c:pt idx="2">
                  <c:v>9.0999999999999998E-2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0.29299999999999998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0.495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0.66600000000000004</c:v>
                </c:pt>
                <c:pt idx="14">
                  <c:v>0.69699999999999995</c:v>
                </c:pt>
                <c:pt idx="15">
                  <c:v>0.76700000000000002</c:v>
                </c:pt>
                <c:pt idx="16">
                  <c:v>0.79900000000000004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0.95899999999999996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1.3320000000000001</c:v>
                </c:pt>
                <c:pt idx="27">
                  <c:v>1.363</c:v>
                </c:pt>
                <c:pt idx="28">
                  <c:v>1.4330000000000001</c:v>
                </c:pt>
                <c:pt idx="29">
                  <c:v>1.4650000000000001</c:v>
                </c:pt>
                <c:pt idx="30">
                  <c:v>1.534</c:v>
                </c:pt>
                <c:pt idx="31">
                  <c:v>1.5660000000000001</c:v>
                </c:pt>
                <c:pt idx="32">
                  <c:v>1.635</c:v>
                </c:pt>
                <c:pt idx="33">
                  <c:v>1.667</c:v>
                </c:pt>
                <c:pt idx="34">
                  <c:v>1.736</c:v>
                </c:pt>
                <c:pt idx="35">
                  <c:v>1.768</c:v>
                </c:pt>
                <c:pt idx="36">
                  <c:v>1.8280000000000001</c:v>
                </c:pt>
                <c:pt idx="37">
                  <c:v>1.897</c:v>
                </c:pt>
                <c:pt idx="38">
                  <c:v>1.929</c:v>
                </c:pt>
                <c:pt idx="39">
                  <c:v>1.998</c:v>
                </c:pt>
                <c:pt idx="40">
                  <c:v>2.0299999999999998</c:v>
                </c:pt>
                <c:pt idx="41">
                  <c:v>2.0990000000000002</c:v>
                </c:pt>
                <c:pt idx="42">
                  <c:v>2.1309999999999998</c:v>
                </c:pt>
                <c:pt idx="43">
                  <c:v>2.2000000000000002</c:v>
                </c:pt>
                <c:pt idx="44">
                  <c:v>2.2320000000000002</c:v>
                </c:pt>
                <c:pt idx="45">
                  <c:v>2.2930000000000001</c:v>
                </c:pt>
                <c:pt idx="46">
                  <c:v>2.363</c:v>
                </c:pt>
                <c:pt idx="47">
                  <c:v>2.395</c:v>
                </c:pt>
                <c:pt idx="48">
                  <c:v>2.464</c:v>
                </c:pt>
                <c:pt idx="49">
                  <c:v>2.496</c:v>
                </c:pt>
                <c:pt idx="50">
                  <c:v>2.5569999999999999</c:v>
                </c:pt>
                <c:pt idx="51">
                  <c:v>2.6059999999999999</c:v>
                </c:pt>
                <c:pt idx="52">
                  <c:v>2.6579999999999999</c:v>
                </c:pt>
                <c:pt idx="53">
                  <c:v>2.7290000000000001</c:v>
                </c:pt>
                <c:pt idx="54">
                  <c:v>2.7610000000000001</c:v>
                </c:pt>
                <c:pt idx="55">
                  <c:v>2.8210000000000002</c:v>
                </c:pt>
                <c:pt idx="56">
                  <c:v>2.89</c:v>
                </c:pt>
                <c:pt idx="57">
                  <c:v>2.9220000000000002</c:v>
                </c:pt>
                <c:pt idx="58">
                  <c:v>2.9910000000000001</c:v>
                </c:pt>
                <c:pt idx="59">
                  <c:v>3.0230000000000001</c:v>
                </c:pt>
                <c:pt idx="60">
                  <c:v>3.0920000000000001</c:v>
                </c:pt>
                <c:pt idx="61">
                  <c:v>3.1240000000000001</c:v>
                </c:pt>
                <c:pt idx="62">
                  <c:v>3.1930000000000001</c:v>
                </c:pt>
                <c:pt idx="63">
                  <c:v>3.2250000000000001</c:v>
                </c:pt>
                <c:pt idx="64">
                  <c:v>3.2850000000000001</c:v>
                </c:pt>
                <c:pt idx="65">
                  <c:v>3.3540000000000001</c:v>
                </c:pt>
                <c:pt idx="66">
                  <c:v>3.3860000000000001</c:v>
                </c:pt>
                <c:pt idx="67">
                  <c:v>3.4550000000000001</c:v>
                </c:pt>
                <c:pt idx="68">
                  <c:v>3.4860000000000002</c:v>
                </c:pt>
                <c:pt idx="69">
                  <c:v>3.556</c:v>
                </c:pt>
                <c:pt idx="70">
                  <c:v>3.5880000000000001</c:v>
                </c:pt>
                <c:pt idx="71">
                  <c:v>3.657</c:v>
                </c:pt>
                <c:pt idx="72">
                  <c:v>3.6890000000000001</c:v>
                </c:pt>
                <c:pt idx="73">
                  <c:v>3.758</c:v>
                </c:pt>
                <c:pt idx="74">
                  <c:v>3.79</c:v>
                </c:pt>
                <c:pt idx="75">
                  <c:v>3.859</c:v>
                </c:pt>
                <c:pt idx="76">
                  <c:v>3.89</c:v>
                </c:pt>
                <c:pt idx="77">
                  <c:v>3.96</c:v>
                </c:pt>
                <c:pt idx="78">
                  <c:v>3.992</c:v>
                </c:pt>
                <c:pt idx="79">
                  <c:v>4.0519999999999996</c:v>
                </c:pt>
                <c:pt idx="80">
                  <c:v>4.1210000000000004</c:v>
                </c:pt>
                <c:pt idx="81">
                  <c:v>4.1520000000000001</c:v>
                </c:pt>
                <c:pt idx="82">
                  <c:v>4.2220000000000004</c:v>
                </c:pt>
                <c:pt idx="83">
                  <c:v>4.2539999999999996</c:v>
                </c:pt>
                <c:pt idx="84">
                  <c:v>4.3230000000000004</c:v>
                </c:pt>
                <c:pt idx="85">
                  <c:v>4.3540000000000001</c:v>
                </c:pt>
                <c:pt idx="86">
                  <c:v>4.4240000000000004</c:v>
                </c:pt>
                <c:pt idx="87">
                  <c:v>4.4560000000000004</c:v>
                </c:pt>
                <c:pt idx="88">
                  <c:v>4.5250000000000004</c:v>
                </c:pt>
                <c:pt idx="89">
                  <c:v>4.5570000000000004</c:v>
                </c:pt>
                <c:pt idx="90">
                  <c:v>4.6260000000000003</c:v>
                </c:pt>
                <c:pt idx="91">
                  <c:v>4.6580000000000004</c:v>
                </c:pt>
                <c:pt idx="92">
                  <c:v>4.7270000000000003</c:v>
                </c:pt>
                <c:pt idx="93">
                  <c:v>4.7590000000000003</c:v>
                </c:pt>
                <c:pt idx="94">
                  <c:v>4.8280000000000003</c:v>
                </c:pt>
                <c:pt idx="95">
                  <c:v>4.8600000000000003</c:v>
                </c:pt>
                <c:pt idx="96">
                  <c:v>4.9290000000000003</c:v>
                </c:pt>
                <c:pt idx="97">
                  <c:v>4.96</c:v>
                </c:pt>
                <c:pt idx="98">
                  <c:v>5.03</c:v>
                </c:pt>
                <c:pt idx="99">
                  <c:v>5.0620000000000003</c:v>
                </c:pt>
                <c:pt idx="100">
                  <c:v>5.1219999999999999</c:v>
                </c:pt>
                <c:pt idx="101">
                  <c:v>5.1909999999999998</c:v>
                </c:pt>
                <c:pt idx="102">
                  <c:v>5.2229999999999999</c:v>
                </c:pt>
                <c:pt idx="103">
                  <c:v>5.2919999999999998</c:v>
                </c:pt>
                <c:pt idx="104">
                  <c:v>5.3239999999999998</c:v>
                </c:pt>
                <c:pt idx="105">
                  <c:v>5.3929999999999998</c:v>
                </c:pt>
                <c:pt idx="106">
                  <c:v>5.4240000000000004</c:v>
                </c:pt>
                <c:pt idx="107">
                  <c:v>5.4939999999999998</c:v>
                </c:pt>
                <c:pt idx="108">
                  <c:v>5.5259999999999998</c:v>
                </c:pt>
                <c:pt idx="109">
                  <c:v>5.5949999999999998</c:v>
                </c:pt>
                <c:pt idx="110">
                  <c:v>5.6269999999999998</c:v>
                </c:pt>
                <c:pt idx="111">
                  <c:v>5.6959999999999997</c:v>
                </c:pt>
                <c:pt idx="112">
                  <c:v>5.7279999999999998</c:v>
                </c:pt>
                <c:pt idx="113">
                  <c:v>5.7880000000000003</c:v>
                </c:pt>
                <c:pt idx="114">
                  <c:v>5.8570000000000002</c:v>
                </c:pt>
                <c:pt idx="115">
                  <c:v>5.8879999999999999</c:v>
                </c:pt>
                <c:pt idx="116">
                  <c:v>5.9580000000000002</c:v>
                </c:pt>
                <c:pt idx="117">
                  <c:v>5.99</c:v>
                </c:pt>
                <c:pt idx="118">
                  <c:v>6.0590000000000002</c:v>
                </c:pt>
                <c:pt idx="119">
                  <c:v>6.0910000000000002</c:v>
                </c:pt>
                <c:pt idx="120">
                  <c:v>6.16</c:v>
                </c:pt>
                <c:pt idx="121">
                  <c:v>6.1920000000000002</c:v>
                </c:pt>
                <c:pt idx="122">
                  <c:v>6.2610000000000001</c:v>
                </c:pt>
                <c:pt idx="123">
                  <c:v>6.2930000000000001</c:v>
                </c:pt>
                <c:pt idx="124">
                  <c:v>6.3620000000000001</c:v>
                </c:pt>
                <c:pt idx="125">
                  <c:v>6.3940000000000001</c:v>
                </c:pt>
                <c:pt idx="126">
                  <c:v>6.4630000000000001</c:v>
                </c:pt>
                <c:pt idx="127">
                  <c:v>6.4950000000000001</c:v>
                </c:pt>
                <c:pt idx="128">
                  <c:v>6.5640000000000001</c:v>
                </c:pt>
                <c:pt idx="129">
                  <c:v>6.5960000000000001</c:v>
                </c:pt>
                <c:pt idx="130">
                  <c:v>6.6559999999999997</c:v>
                </c:pt>
                <c:pt idx="131">
                  <c:v>6.7249999999999996</c:v>
                </c:pt>
                <c:pt idx="132">
                  <c:v>6.7560000000000002</c:v>
                </c:pt>
                <c:pt idx="133">
                  <c:v>6.8259999999999996</c:v>
                </c:pt>
                <c:pt idx="134">
                  <c:v>6.8579999999999997</c:v>
                </c:pt>
                <c:pt idx="135">
                  <c:v>6.9269999999999996</c:v>
                </c:pt>
                <c:pt idx="136">
                  <c:v>6.9580000000000002</c:v>
                </c:pt>
                <c:pt idx="137">
                  <c:v>7.0279999999999996</c:v>
                </c:pt>
                <c:pt idx="138">
                  <c:v>7.06</c:v>
                </c:pt>
                <c:pt idx="139">
                  <c:v>7.1289999999999996</c:v>
                </c:pt>
                <c:pt idx="140">
                  <c:v>7.1609999999999996</c:v>
                </c:pt>
                <c:pt idx="141">
                  <c:v>7.23</c:v>
                </c:pt>
                <c:pt idx="142">
                  <c:v>7.2619999999999996</c:v>
                </c:pt>
                <c:pt idx="143">
                  <c:v>7.3310000000000004</c:v>
                </c:pt>
                <c:pt idx="144">
                  <c:v>7.3630000000000004</c:v>
                </c:pt>
                <c:pt idx="145">
                  <c:v>7.4320000000000004</c:v>
                </c:pt>
                <c:pt idx="146">
                  <c:v>7.4640000000000004</c:v>
                </c:pt>
                <c:pt idx="147">
                  <c:v>7.5330000000000004</c:v>
                </c:pt>
                <c:pt idx="148">
                  <c:v>7.5650000000000004</c:v>
                </c:pt>
                <c:pt idx="149">
                  <c:v>7.6340000000000003</c:v>
                </c:pt>
                <c:pt idx="150">
                  <c:v>7.6660000000000004</c:v>
                </c:pt>
                <c:pt idx="151">
                  <c:v>7.726</c:v>
                </c:pt>
                <c:pt idx="152">
                  <c:v>7.7949999999999999</c:v>
                </c:pt>
                <c:pt idx="153">
                  <c:v>7.8259999999999996</c:v>
                </c:pt>
                <c:pt idx="154">
                  <c:v>7.8959999999999999</c:v>
                </c:pt>
                <c:pt idx="155">
                  <c:v>7.9279999999999999</c:v>
                </c:pt>
                <c:pt idx="156">
                  <c:v>7.9969999999999999</c:v>
                </c:pt>
                <c:pt idx="157">
                  <c:v>8.0280000000000005</c:v>
                </c:pt>
                <c:pt idx="158">
                  <c:v>8.0980000000000008</c:v>
                </c:pt>
                <c:pt idx="159">
                  <c:v>8.1300000000000008</c:v>
                </c:pt>
                <c:pt idx="160">
                  <c:v>8.1989999999999998</c:v>
                </c:pt>
                <c:pt idx="161">
                  <c:v>8.2309999999999999</c:v>
                </c:pt>
                <c:pt idx="162">
                  <c:v>8.3000000000000007</c:v>
                </c:pt>
                <c:pt idx="163">
                  <c:v>8.3320000000000007</c:v>
                </c:pt>
                <c:pt idx="164">
                  <c:v>8.4009999999999998</c:v>
                </c:pt>
                <c:pt idx="165">
                  <c:v>8.4329999999999998</c:v>
                </c:pt>
                <c:pt idx="166">
                  <c:v>8.5020000000000007</c:v>
                </c:pt>
                <c:pt idx="167">
                  <c:v>8.5340000000000007</c:v>
                </c:pt>
                <c:pt idx="168">
                  <c:v>8.5939999999999994</c:v>
                </c:pt>
                <c:pt idx="169">
                  <c:v>8.6630000000000003</c:v>
                </c:pt>
                <c:pt idx="170">
                  <c:v>8.6950000000000003</c:v>
                </c:pt>
                <c:pt idx="171">
                  <c:v>8.7639999999999993</c:v>
                </c:pt>
                <c:pt idx="172">
                  <c:v>8.7959999999999994</c:v>
                </c:pt>
                <c:pt idx="173">
                  <c:v>8.8650000000000002</c:v>
                </c:pt>
                <c:pt idx="174">
                  <c:v>8.8970000000000002</c:v>
                </c:pt>
                <c:pt idx="175">
                  <c:v>8.9659999999999993</c:v>
                </c:pt>
                <c:pt idx="176">
                  <c:v>8.9979999999999993</c:v>
                </c:pt>
                <c:pt idx="177">
                  <c:v>9.0670000000000002</c:v>
                </c:pt>
                <c:pt idx="178">
                  <c:v>9.0990000000000002</c:v>
                </c:pt>
                <c:pt idx="179">
                  <c:v>9.1679999999999993</c:v>
                </c:pt>
                <c:pt idx="180">
                  <c:v>9.1999999999999993</c:v>
                </c:pt>
                <c:pt idx="181">
                  <c:v>9.2690000000000001</c:v>
                </c:pt>
                <c:pt idx="182">
                  <c:v>9.3010000000000002</c:v>
                </c:pt>
                <c:pt idx="183">
                  <c:v>9.3699999999999992</c:v>
                </c:pt>
                <c:pt idx="184">
                  <c:v>9.4019999999999992</c:v>
                </c:pt>
                <c:pt idx="185">
                  <c:v>9.4710000000000001</c:v>
                </c:pt>
                <c:pt idx="186">
                  <c:v>9.5020000000000007</c:v>
                </c:pt>
                <c:pt idx="187">
                  <c:v>9.5630000000000006</c:v>
                </c:pt>
                <c:pt idx="188">
                  <c:v>9.6319999999999997</c:v>
                </c:pt>
                <c:pt idx="189">
                  <c:v>9.6639999999999997</c:v>
                </c:pt>
                <c:pt idx="190">
                  <c:v>9.7330000000000005</c:v>
                </c:pt>
                <c:pt idx="191">
                  <c:v>9.7639999999999993</c:v>
                </c:pt>
                <c:pt idx="192">
                  <c:v>9.8339999999999996</c:v>
                </c:pt>
                <c:pt idx="193">
                  <c:v>9.8659999999999997</c:v>
                </c:pt>
                <c:pt idx="194">
                  <c:v>9.9350000000000005</c:v>
                </c:pt>
                <c:pt idx="195">
                  <c:v>9.9659999999999993</c:v>
                </c:pt>
                <c:pt idx="196">
                  <c:v>10.036</c:v>
                </c:pt>
                <c:pt idx="197">
                  <c:v>10.068</c:v>
                </c:pt>
                <c:pt idx="198">
                  <c:v>10.137</c:v>
                </c:pt>
                <c:pt idx="199">
                  <c:v>10.167999999999999</c:v>
                </c:pt>
                <c:pt idx="200">
                  <c:v>10.238</c:v>
                </c:pt>
                <c:pt idx="201">
                  <c:v>10.27</c:v>
                </c:pt>
                <c:pt idx="202">
                  <c:v>10.339</c:v>
                </c:pt>
                <c:pt idx="203">
                  <c:v>10.37</c:v>
                </c:pt>
                <c:pt idx="204">
                  <c:v>10.44</c:v>
                </c:pt>
                <c:pt idx="205">
                  <c:v>10.472</c:v>
                </c:pt>
                <c:pt idx="206">
                  <c:v>10.541</c:v>
                </c:pt>
                <c:pt idx="207">
                  <c:v>10.573</c:v>
                </c:pt>
                <c:pt idx="208">
                  <c:v>10.641999999999999</c:v>
                </c:pt>
                <c:pt idx="209">
                  <c:v>10.673999999999999</c:v>
                </c:pt>
                <c:pt idx="210">
                  <c:v>10.734</c:v>
                </c:pt>
                <c:pt idx="211">
                  <c:v>10.803000000000001</c:v>
                </c:pt>
                <c:pt idx="212">
                  <c:v>10.835000000000001</c:v>
                </c:pt>
                <c:pt idx="213">
                  <c:v>10.904</c:v>
                </c:pt>
                <c:pt idx="214">
                  <c:v>10.936</c:v>
                </c:pt>
                <c:pt idx="215">
                  <c:v>11.005000000000001</c:v>
                </c:pt>
                <c:pt idx="216">
                  <c:v>11.037000000000001</c:v>
                </c:pt>
                <c:pt idx="217">
                  <c:v>11.106</c:v>
                </c:pt>
                <c:pt idx="218">
                  <c:v>11.138</c:v>
                </c:pt>
                <c:pt idx="219">
                  <c:v>11.207000000000001</c:v>
                </c:pt>
                <c:pt idx="220">
                  <c:v>11.239000000000001</c:v>
                </c:pt>
                <c:pt idx="221">
                  <c:v>11.308</c:v>
                </c:pt>
                <c:pt idx="222">
                  <c:v>11.34</c:v>
                </c:pt>
                <c:pt idx="223">
                  <c:v>11.409000000000001</c:v>
                </c:pt>
                <c:pt idx="224">
                  <c:v>11.44</c:v>
                </c:pt>
                <c:pt idx="225">
                  <c:v>11.51</c:v>
                </c:pt>
                <c:pt idx="226">
                  <c:v>11.542</c:v>
                </c:pt>
                <c:pt idx="227">
                  <c:v>11.611000000000001</c:v>
                </c:pt>
                <c:pt idx="228">
                  <c:v>11.643000000000001</c:v>
                </c:pt>
                <c:pt idx="229">
                  <c:v>11.712</c:v>
                </c:pt>
                <c:pt idx="230">
                  <c:v>11.744</c:v>
                </c:pt>
                <c:pt idx="231">
                  <c:v>11.813000000000001</c:v>
                </c:pt>
                <c:pt idx="232">
                  <c:v>11.843999999999999</c:v>
                </c:pt>
                <c:pt idx="233">
                  <c:v>11.904</c:v>
                </c:pt>
                <c:pt idx="234">
                  <c:v>11.974</c:v>
                </c:pt>
                <c:pt idx="235">
                  <c:v>12.006</c:v>
                </c:pt>
                <c:pt idx="236">
                  <c:v>12.074999999999999</c:v>
                </c:pt>
                <c:pt idx="237">
                  <c:v>12.106</c:v>
                </c:pt>
                <c:pt idx="238">
                  <c:v>12.176</c:v>
                </c:pt>
                <c:pt idx="239">
                  <c:v>12.208</c:v>
                </c:pt>
                <c:pt idx="240">
                  <c:v>12.276999999999999</c:v>
                </c:pt>
                <c:pt idx="241">
                  <c:v>12.308</c:v>
                </c:pt>
                <c:pt idx="242">
                  <c:v>12.378</c:v>
                </c:pt>
                <c:pt idx="243">
                  <c:v>12.41</c:v>
                </c:pt>
                <c:pt idx="244">
                  <c:v>12.478999999999999</c:v>
                </c:pt>
                <c:pt idx="245">
                  <c:v>12.510999999999999</c:v>
                </c:pt>
                <c:pt idx="246">
                  <c:v>12.58</c:v>
                </c:pt>
                <c:pt idx="247">
                  <c:v>12.612</c:v>
                </c:pt>
                <c:pt idx="248">
                  <c:v>12.680999999999999</c:v>
                </c:pt>
                <c:pt idx="249">
                  <c:v>12.712999999999999</c:v>
                </c:pt>
                <c:pt idx="250">
                  <c:v>12.782</c:v>
                </c:pt>
                <c:pt idx="251">
                  <c:v>12.814</c:v>
                </c:pt>
                <c:pt idx="252">
                  <c:v>12.882999999999999</c:v>
                </c:pt>
                <c:pt idx="253">
                  <c:v>12.914999999999999</c:v>
                </c:pt>
                <c:pt idx="254">
                  <c:v>12.975</c:v>
                </c:pt>
                <c:pt idx="255">
                  <c:v>13.044</c:v>
                </c:pt>
                <c:pt idx="256">
                  <c:v>13.076000000000001</c:v>
                </c:pt>
                <c:pt idx="257">
                  <c:v>13.145</c:v>
                </c:pt>
                <c:pt idx="258">
                  <c:v>13.176</c:v>
                </c:pt>
                <c:pt idx="259">
                  <c:v>13.246</c:v>
                </c:pt>
                <c:pt idx="260">
                  <c:v>13.278</c:v>
                </c:pt>
                <c:pt idx="261">
                  <c:v>13.327</c:v>
                </c:pt>
                <c:pt idx="262">
                  <c:v>13.379</c:v>
                </c:pt>
                <c:pt idx="263">
                  <c:v>13.448</c:v>
                </c:pt>
                <c:pt idx="264">
                  <c:v>13.48</c:v>
                </c:pt>
                <c:pt idx="265">
                  <c:v>13.548999999999999</c:v>
                </c:pt>
                <c:pt idx="266">
                  <c:v>13.58</c:v>
                </c:pt>
                <c:pt idx="267">
                  <c:v>13.65</c:v>
                </c:pt>
                <c:pt idx="268">
                  <c:v>13.682</c:v>
                </c:pt>
                <c:pt idx="269">
                  <c:v>13.750999999999999</c:v>
                </c:pt>
                <c:pt idx="270">
                  <c:v>13.782</c:v>
                </c:pt>
                <c:pt idx="271">
                  <c:v>13.852</c:v>
                </c:pt>
                <c:pt idx="272">
                  <c:v>13.884</c:v>
                </c:pt>
                <c:pt idx="273">
                  <c:v>13.952999999999999</c:v>
                </c:pt>
                <c:pt idx="274">
                  <c:v>13.984</c:v>
                </c:pt>
                <c:pt idx="275">
                  <c:v>14.054</c:v>
                </c:pt>
                <c:pt idx="276">
                  <c:v>14.086</c:v>
                </c:pt>
                <c:pt idx="277">
                  <c:v>14.154999999999999</c:v>
                </c:pt>
                <c:pt idx="278">
                  <c:v>14.186999999999999</c:v>
                </c:pt>
                <c:pt idx="279">
                  <c:v>14.247</c:v>
                </c:pt>
                <c:pt idx="280">
                  <c:v>14.317</c:v>
                </c:pt>
                <c:pt idx="281">
                  <c:v>14.349</c:v>
                </c:pt>
                <c:pt idx="282">
                  <c:v>14.398</c:v>
                </c:pt>
                <c:pt idx="283">
                  <c:v>14.449</c:v>
                </c:pt>
                <c:pt idx="284">
                  <c:v>14.518000000000001</c:v>
                </c:pt>
                <c:pt idx="285">
                  <c:v>14.55</c:v>
                </c:pt>
                <c:pt idx="286">
                  <c:v>14.619</c:v>
                </c:pt>
                <c:pt idx="287">
                  <c:v>14.651</c:v>
                </c:pt>
                <c:pt idx="288">
                  <c:v>14.72</c:v>
                </c:pt>
                <c:pt idx="289">
                  <c:v>14.752000000000001</c:v>
                </c:pt>
                <c:pt idx="290">
                  <c:v>14.821</c:v>
                </c:pt>
                <c:pt idx="291">
                  <c:v>14.853</c:v>
                </c:pt>
                <c:pt idx="292">
                  <c:v>14.922000000000001</c:v>
                </c:pt>
                <c:pt idx="293">
                  <c:v>14.954000000000001</c:v>
                </c:pt>
                <c:pt idx="294">
                  <c:v>15.023</c:v>
                </c:pt>
                <c:pt idx="295">
                  <c:v>15.055</c:v>
                </c:pt>
                <c:pt idx="296">
                  <c:v>15.124000000000001</c:v>
                </c:pt>
                <c:pt idx="297">
                  <c:v>15.156000000000001</c:v>
                </c:pt>
                <c:pt idx="298">
                  <c:v>15.225</c:v>
                </c:pt>
                <c:pt idx="299">
                  <c:v>15.256</c:v>
                </c:pt>
                <c:pt idx="300">
                  <c:v>15.326000000000001</c:v>
                </c:pt>
                <c:pt idx="301">
                  <c:v>15.358000000000001</c:v>
                </c:pt>
                <c:pt idx="302">
                  <c:v>15.419</c:v>
                </c:pt>
                <c:pt idx="303">
                  <c:v>15.488</c:v>
                </c:pt>
                <c:pt idx="304">
                  <c:v>15.519</c:v>
                </c:pt>
                <c:pt idx="305">
                  <c:v>15.589</c:v>
                </c:pt>
                <c:pt idx="306">
                  <c:v>15.621</c:v>
                </c:pt>
                <c:pt idx="307">
                  <c:v>15.69</c:v>
                </c:pt>
                <c:pt idx="308">
                  <c:v>15.721</c:v>
                </c:pt>
                <c:pt idx="309">
                  <c:v>15.791</c:v>
                </c:pt>
                <c:pt idx="310">
                  <c:v>15.823</c:v>
                </c:pt>
                <c:pt idx="311">
                  <c:v>15.891999999999999</c:v>
                </c:pt>
                <c:pt idx="312">
                  <c:v>15.923999999999999</c:v>
                </c:pt>
                <c:pt idx="313">
                  <c:v>15.993</c:v>
                </c:pt>
                <c:pt idx="314">
                  <c:v>16.024999999999999</c:v>
                </c:pt>
                <c:pt idx="315">
                  <c:v>16.094000000000001</c:v>
                </c:pt>
                <c:pt idx="316">
                  <c:v>16.126000000000001</c:v>
                </c:pt>
                <c:pt idx="317">
                  <c:v>16.195</c:v>
                </c:pt>
                <c:pt idx="318">
                  <c:v>16.227</c:v>
                </c:pt>
                <c:pt idx="319">
                  <c:v>16.295999999999999</c:v>
                </c:pt>
                <c:pt idx="320">
                  <c:v>16.327000000000002</c:v>
                </c:pt>
                <c:pt idx="321">
                  <c:v>16.396999999999998</c:v>
                </c:pt>
                <c:pt idx="322">
                  <c:v>16.428999999999998</c:v>
                </c:pt>
                <c:pt idx="323">
                  <c:v>16.489000000000001</c:v>
                </c:pt>
                <c:pt idx="324">
                  <c:v>16.558</c:v>
                </c:pt>
                <c:pt idx="325">
                  <c:v>16.588999999999999</c:v>
                </c:pt>
                <c:pt idx="326">
                  <c:v>16.658999999999999</c:v>
                </c:pt>
                <c:pt idx="327">
                  <c:v>16.690999999999999</c:v>
                </c:pt>
                <c:pt idx="328">
                  <c:v>16.760000000000002</c:v>
                </c:pt>
                <c:pt idx="329">
                  <c:v>16.791</c:v>
                </c:pt>
                <c:pt idx="330">
                  <c:v>16.861000000000001</c:v>
                </c:pt>
                <c:pt idx="331">
                  <c:v>16.893000000000001</c:v>
                </c:pt>
                <c:pt idx="332">
                  <c:v>16.962</c:v>
                </c:pt>
                <c:pt idx="333">
                  <c:v>16.992999999999999</c:v>
                </c:pt>
                <c:pt idx="334">
                  <c:v>17.062999999999999</c:v>
                </c:pt>
                <c:pt idx="335">
                  <c:v>17.094999999999999</c:v>
                </c:pt>
                <c:pt idx="336">
                  <c:v>17.164000000000001</c:v>
                </c:pt>
                <c:pt idx="337">
                  <c:v>17.195</c:v>
                </c:pt>
                <c:pt idx="338">
                  <c:v>17.265000000000001</c:v>
                </c:pt>
                <c:pt idx="339">
                  <c:v>17.297000000000001</c:v>
                </c:pt>
                <c:pt idx="340">
                  <c:v>17.366</c:v>
                </c:pt>
                <c:pt idx="341">
                  <c:v>17.398</c:v>
                </c:pt>
                <c:pt idx="342">
                  <c:v>17.466999999999999</c:v>
                </c:pt>
                <c:pt idx="343">
                  <c:v>17.498999999999999</c:v>
                </c:pt>
                <c:pt idx="344">
                  <c:v>17.568000000000001</c:v>
                </c:pt>
                <c:pt idx="345">
                  <c:v>17.599</c:v>
                </c:pt>
                <c:pt idx="346">
                  <c:v>17.66</c:v>
                </c:pt>
                <c:pt idx="347">
                  <c:v>17.728999999999999</c:v>
                </c:pt>
                <c:pt idx="348">
                  <c:v>17.760999999999999</c:v>
                </c:pt>
                <c:pt idx="349">
                  <c:v>17.831</c:v>
                </c:pt>
                <c:pt idx="350">
                  <c:v>17.861000000000001</c:v>
                </c:pt>
                <c:pt idx="351">
                  <c:v>17.911000000000001</c:v>
                </c:pt>
                <c:pt idx="352">
                  <c:v>17.962</c:v>
                </c:pt>
                <c:pt idx="353">
                  <c:v>18.030999999999999</c:v>
                </c:pt>
                <c:pt idx="354">
                  <c:v>18.062999999999999</c:v>
                </c:pt>
                <c:pt idx="355">
                  <c:v>18.134</c:v>
                </c:pt>
                <c:pt idx="356">
                  <c:v>18.164999999999999</c:v>
                </c:pt>
                <c:pt idx="357">
                  <c:v>18.234000000000002</c:v>
                </c:pt>
                <c:pt idx="358">
                  <c:v>18.265999999999998</c:v>
                </c:pt>
                <c:pt idx="359">
                  <c:v>18.335000000000001</c:v>
                </c:pt>
                <c:pt idx="360">
                  <c:v>18.367000000000001</c:v>
                </c:pt>
                <c:pt idx="361">
                  <c:v>18.416</c:v>
                </c:pt>
                <c:pt idx="362">
                  <c:v>18.466000000000001</c:v>
                </c:pt>
                <c:pt idx="363">
                  <c:v>18.536000000000001</c:v>
                </c:pt>
                <c:pt idx="364">
                  <c:v>18.568000000000001</c:v>
                </c:pt>
                <c:pt idx="365">
                  <c:v>18.637</c:v>
                </c:pt>
                <c:pt idx="366">
                  <c:v>18.667999999999999</c:v>
                </c:pt>
                <c:pt idx="367">
                  <c:v>18.738</c:v>
                </c:pt>
                <c:pt idx="368">
                  <c:v>18.77</c:v>
                </c:pt>
                <c:pt idx="369">
                  <c:v>18.838999999999999</c:v>
                </c:pt>
                <c:pt idx="370">
                  <c:v>18.87</c:v>
                </c:pt>
                <c:pt idx="371">
                  <c:v>18.940000000000001</c:v>
                </c:pt>
                <c:pt idx="372">
                  <c:v>18.972000000000001</c:v>
                </c:pt>
                <c:pt idx="373">
                  <c:v>19.041</c:v>
                </c:pt>
                <c:pt idx="374">
                  <c:v>19.071999999999999</c:v>
                </c:pt>
                <c:pt idx="375">
                  <c:v>19.132000000000001</c:v>
                </c:pt>
                <c:pt idx="376">
                  <c:v>19.202000000000002</c:v>
                </c:pt>
                <c:pt idx="377">
                  <c:v>19.234000000000002</c:v>
                </c:pt>
                <c:pt idx="378">
                  <c:v>19.303000000000001</c:v>
                </c:pt>
                <c:pt idx="379">
                  <c:v>19.335000000000001</c:v>
                </c:pt>
                <c:pt idx="380">
                  <c:v>19.404</c:v>
                </c:pt>
                <c:pt idx="381">
                  <c:v>19.436</c:v>
                </c:pt>
                <c:pt idx="382">
                  <c:v>19.504999999999999</c:v>
                </c:pt>
                <c:pt idx="383">
                  <c:v>19.536999999999999</c:v>
                </c:pt>
                <c:pt idx="384">
                  <c:v>19.606000000000002</c:v>
                </c:pt>
                <c:pt idx="385">
                  <c:v>19.638000000000002</c:v>
                </c:pt>
                <c:pt idx="386">
                  <c:v>19.707000000000001</c:v>
                </c:pt>
                <c:pt idx="387">
                  <c:v>19.738</c:v>
                </c:pt>
                <c:pt idx="388">
                  <c:v>19.808</c:v>
                </c:pt>
                <c:pt idx="389">
                  <c:v>19.84</c:v>
                </c:pt>
                <c:pt idx="390">
                  <c:v>19.908999999999999</c:v>
                </c:pt>
                <c:pt idx="391">
                  <c:v>19.940000000000001</c:v>
                </c:pt>
                <c:pt idx="392">
                  <c:v>20.010000000000002</c:v>
                </c:pt>
                <c:pt idx="393">
                  <c:v>20.042000000000002</c:v>
                </c:pt>
                <c:pt idx="394">
                  <c:v>20.111000000000001</c:v>
                </c:pt>
                <c:pt idx="395">
                  <c:v>20.143000000000001</c:v>
                </c:pt>
                <c:pt idx="396">
                  <c:v>20.202000000000002</c:v>
                </c:pt>
                <c:pt idx="397">
                  <c:v>20.271999999999998</c:v>
                </c:pt>
                <c:pt idx="398">
                  <c:v>20.303999999999998</c:v>
                </c:pt>
                <c:pt idx="399">
                  <c:v>20.373000000000001</c:v>
                </c:pt>
                <c:pt idx="400">
                  <c:v>20.404</c:v>
                </c:pt>
                <c:pt idx="401">
                  <c:v>20.474</c:v>
                </c:pt>
                <c:pt idx="402">
                  <c:v>20.506</c:v>
                </c:pt>
                <c:pt idx="403">
                  <c:v>20.574999999999999</c:v>
                </c:pt>
                <c:pt idx="404">
                  <c:v>20.606000000000002</c:v>
                </c:pt>
                <c:pt idx="405">
                  <c:v>20.675999999999998</c:v>
                </c:pt>
                <c:pt idx="406">
                  <c:v>20.707999999999998</c:v>
                </c:pt>
              </c:numCache>
            </c:numRef>
          </c:xVal>
          <c:yVal>
            <c:numRef>
              <c:f>'Simple Data'!$D$2:$D$408</c:f>
              <c:numCache>
                <c:formatCode>General</c:formatCode>
                <c:ptCount val="407"/>
                <c:pt idx="0">
                  <c:v>159</c:v>
                </c:pt>
                <c:pt idx="1">
                  <c:v>159</c:v>
                </c:pt>
                <c:pt idx="2">
                  <c:v>161</c:v>
                </c:pt>
                <c:pt idx="3">
                  <c:v>161</c:v>
                </c:pt>
                <c:pt idx="4">
                  <c:v>161</c:v>
                </c:pt>
                <c:pt idx="5">
                  <c:v>160</c:v>
                </c:pt>
                <c:pt idx="6">
                  <c:v>162</c:v>
                </c:pt>
                <c:pt idx="7">
                  <c:v>162</c:v>
                </c:pt>
                <c:pt idx="8">
                  <c:v>161</c:v>
                </c:pt>
                <c:pt idx="9">
                  <c:v>161</c:v>
                </c:pt>
                <c:pt idx="10">
                  <c:v>163</c:v>
                </c:pt>
                <c:pt idx="11">
                  <c:v>163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163</c:v>
                </c:pt>
                <c:pt idx="16">
                  <c:v>162</c:v>
                </c:pt>
                <c:pt idx="17">
                  <c:v>162</c:v>
                </c:pt>
                <c:pt idx="18">
                  <c:v>162</c:v>
                </c:pt>
                <c:pt idx="19">
                  <c:v>163</c:v>
                </c:pt>
                <c:pt idx="20">
                  <c:v>164</c:v>
                </c:pt>
                <c:pt idx="21">
                  <c:v>166</c:v>
                </c:pt>
                <c:pt idx="22">
                  <c:v>172</c:v>
                </c:pt>
                <c:pt idx="23">
                  <c:v>178</c:v>
                </c:pt>
                <c:pt idx="24">
                  <c:v>190</c:v>
                </c:pt>
                <c:pt idx="25">
                  <c:v>194</c:v>
                </c:pt>
                <c:pt idx="26">
                  <c:v>207</c:v>
                </c:pt>
                <c:pt idx="27">
                  <c:v>220</c:v>
                </c:pt>
                <c:pt idx="28">
                  <c:v>236</c:v>
                </c:pt>
                <c:pt idx="29">
                  <c:v>245</c:v>
                </c:pt>
                <c:pt idx="30">
                  <c:v>265</c:v>
                </c:pt>
                <c:pt idx="31">
                  <c:v>277</c:v>
                </c:pt>
                <c:pt idx="32">
                  <c:v>297</c:v>
                </c:pt>
                <c:pt idx="33">
                  <c:v>304</c:v>
                </c:pt>
                <c:pt idx="34">
                  <c:v>318</c:v>
                </c:pt>
                <c:pt idx="35">
                  <c:v>333</c:v>
                </c:pt>
                <c:pt idx="36">
                  <c:v>349</c:v>
                </c:pt>
                <c:pt idx="37">
                  <c:v>362</c:v>
                </c:pt>
                <c:pt idx="38">
                  <c:v>362</c:v>
                </c:pt>
                <c:pt idx="39">
                  <c:v>373</c:v>
                </c:pt>
                <c:pt idx="40">
                  <c:v>383</c:v>
                </c:pt>
                <c:pt idx="41">
                  <c:v>388</c:v>
                </c:pt>
                <c:pt idx="42">
                  <c:v>388</c:v>
                </c:pt>
                <c:pt idx="43">
                  <c:v>391</c:v>
                </c:pt>
                <c:pt idx="44">
                  <c:v>390</c:v>
                </c:pt>
                <c:pt idx="45">
                  <c:v>389</c:v>
                </c:pt>
                <c:pt idx="46">
                  <c:v>387</c:v>
                </c:pt>
                <c:pt idx="47">
                  <c:v>387</c:v>
                </c:pt>
                <c:pt idx="48">
                  <c:v>384</c:v>
                </c:pt>
                <c:pt idx="49">
                  <c:v>380</c:v>
                </c:pt>
                <c:pt idx="50">
                  <c:v>378</c:v>
                </c:pt>
                <c:pt idx="51">
                  <c:v>374</c:v>
                </c:pt>
                <c:pt idx="52">
                  <c:v>375</c:v>
                </c:pt>
                <c:pt idx="53">
                  <c:v>372</c:v>
                </c:pt>
                <c:pt idx="54">
                  <c:v>370</c:v>
                </c:pt>
                <c:pt idx="55">
                  <c:v>368</c:v>
                </c:pt>
                <c:pt idx="56">
                  <c:v>365</c:v>
                </c:pt>
                <c:pt idx="57">
                  <c:v>362</c:v>
                </c:pt>
                <c:pt idx="58">
                  <c:v>358</c:v>
                </c:pt>
                <c:pt idx="59">
                  <c:v>359</c:v>
                </c:pt>
                <c:pt idx="60">
                  <c:v>355</c:v>
                </c:pt>
                <c:pt idx="61">
                  <c:v>351</c:v>
                </c:pt>
                <c:pt idx="62">
                  <c:v>347</c:v>
                </c:pt>
                <c:pt idx="63">
                  <c:v>349</c:v>
                </c:pt>
                <c:pt idx="64">
                  <c:v>345</c:v>
                </c:pt>
                <c:pt idx="65">
                  <c:v>341</c:v>
                </c:pt>
                <c:pt idx="66">
                  <c:v>337</c:v>
                </c:pt>
                <c:pt idx="67">
                  <c:v>334</c:v>
                </c:pt>
                <c:pt idx="68">
                  <c:v>334</c:v>
                </c:pt>
                <c:pt idx="69">
                  <c:v>331</c:v>
                </c:pt>
                <c:pt idx="70">
                  <c:v>328</c:v>
                </c:pt>
                <c:pt idx="71">
                  <c:v>325</c:v>
                </c:pt>
                <c:pt idx="72">
                  <c:v>325</c:v>
                </c:pt>
                <c:pt idx="73">
                  <c:v>323</c:v>
                </c:pt>
                <c:pt idx="74">
                  <c:v>319</c:v>
                </c:pt>
                <c:pt idx="75">
                  <c:v>317</c:v>
                </c:pt>
                <c:pt idx="76">
                  <c:v>318</c:v>
                </c:pt>
                <c:pt idx="77">
                  <c:v>316</c:v>
                </c:pt>
                <c:pt idx="78">
                  <c:v>312</c:v>
                </c:pt>
                <c:pt idx="79">
                  <c:v>309</c:v>
                </c:pt>
                <c:pt idx="80">
                  <c:v>307</c:v>
                </c:pt>
                <c:pt idx="81">
                  <c:v>307</c:v>
                </c:pt>
                <c:pt idx="82">
                  <c:v>305</c:v>
                </c:pt>
                <c:pt idx="83">
                  <c:v>301</c:v>
                </c:pt>
                <c:pt idx="84">
                  <c:v>299</c:v>
                </c:pt>
                <c:pt idx="85">
                  <c:v>300</c:v>
                </c:pt>
                <c:pt idx="86">
                  <c:v>298</c:v>
                </c:pt>
                <c:pt idx="87">
                  <c:v>295</c:v>
                </c:pt>
                <c:pt idx="88">
                  <c:v>292</c:v>
                </c:pt>
                <c:pt idx="89">
                  <c:v>293</c:v>
                </c:pt>
                <c:pt idx="90">
                  <c:v>290</c:v>
                </c:pt>
                <c:pt idx="91">
                  <c:v>288</c:v>
                </c:pt>
                <c:pt idx="92">
                  <c:v>286</c:v>
                </c:pt>
                <c:pt idx="93">
                  <c:v>285</c:v>
                </c:pt>
                <c:pt idx="94">
                  <c:v>282</c:v>
                </c:pt>
                <c:pt idx="95">
                  <c:v>281</c:v>
                </c:pt>
                <c:pt idx="96">
                  <c:v>279</c:v>
                </c:pt>
                <c:pt idx="97">
                  <c:v>279</c:v>
                </c:pt>
                <c:pt idx="98">
                  <c:v>278</c:v>
                </c:pt>
                <c:pt idx="99">
                  <c:v>276</c:v>
                </c:pt>
                <c:pt idx="100">
                  <c:v>276</c:v>
                </c:pt>
                <c:pt idx="101">
                  <c:v>279</c:v>
                </c:pt>
                <c:pt idx="102">
                  <c:v>282</c:v>
                </c:pt>
                <c:pt idx="103">
                  <c:v>287</c:v>
                </c:pt>
                <c:pt idx="104">
                  <c:v>286</c:v>
                </c:pt>
                <c:pt idx="105">
                  <c:v>292</c:v>
                </c:pt>
                <c:pt idx="106">
                  <c:v>297</c:v>
                </c:pt>
                <c:pt idx="107">
                  <c:v>303</c:v>
                </c:pt>
                <c:pt idx="108">
                  <c:v>305</c:v>
                </c:pt>
                <c:pt idx="109">
                  <c:v>309</c:v>
                </c:pt>
                <c:pt idx="110">
                  <c:v>312</c:v>
                </c:pt>
                <c:pt idx="111">
                  <c:v>315</c:v>
                </c:pt>
                <c:pt idx="112">
                  <c:v>316</c:v>
                </c:pt>
                <c:pt idx="113">
                  <c:v>317</c:v>
                </c:pt>
                <c:pt idx="114">
                  <c:v>317</c:v>
                </c:pt>
                <c:pt idx="115">
                  <c:v>315</c:v>
                </c:pt>
                <c:pt idx="116">
                  <c:v>313</c:v>
                </c:pt>
                <c:pt idx="117">
                  <c:v>313</c:v>
                </c:pt>
                <c:pt idx="118">
                  <c:v>310</c:v>
                </c:pt>
                <c:pt idx="119">
                  <c:v>307</c:v>
                </c:pt>
                <c:pt idx="120">
                  <c:v>304</c:v>
                </c:pt>
                <c:pt idx="121">
                  <c:v>304</c:v>
                </c:pt>
                <c:pt idx="122">
                  <c:v>300</c:v>
                </c:pt>
                <c:pt idx="123">
                  <c:v>298</c:v>
                </c:pt>
                <c:pt idx="124">
                  <c:v>295</c:v>
                </c:pt>
                <c:pt idx="125">
                  <c:v>293</c:v>
                </c:pt>
                <c:pt idx="126">
                  <c:v>289</c:v>
                </c:pt>
                <c:pt idx="127">
                  <c:v>288</c:v>
                </c:pt>
                <c:pt idx="128">
                  <c:v>284</c:v>
                </c:pt>
                <c:pt idx="129">
                  <c:v>281</c:v>
                </c:pt>
                <c:pt idx="130">
                  <c:v>277</c:v>
                </c:pt>
                <c:pt idx="131">
                  <c:v>273</c:v>
                </c:pt>
                <c:pt idx="132">
                  <c:v>274</c:v>
                </c:pt>
                <c:pt idx="133">
                  <c:v>271</c:v>
                </c:pt>
                <c:pt idx="134">
                  <c:v>268</c:v>
                </c:pt>
                <c:pt idx="135">
                  <c:v>268</c:v>
                </c:pt>
                <c:pt idx="136">
                  <c:v>270</c:v>
                </c:pt>
                <c:pt idx="137">
                  <c:v>271</c:v>
                </c:pt>
                <c:pt idx="138">
                  <c:v>271</c:v>
                </c:pt>
                <c:pt idx="139">
                  <c:v>274</c:v>
                </c:pt>
                <c:pt idx="140">
                  <c:v>277</c:v>
                </c:pt>
                <c:pt idx="141">
                  <c:v>282</c:v>
                </c:pt>
                <c:pt idx="142">
                  <c:v>284</c:v>
                </c:pt>
                <c:pt idx="143">
                  <c:v>289</c:v>
                </c:pt>
                <c:pt idx="144">
                  <c:v>294</c:v>
                </c:pt>
                <c:pt idx="145">
                  <c:v>299</c:v>
                </c:pt>
                <c:pt idx="146">
                  <c:v>299</c:v>
                </c:pt>
                <c:pt idx="147">
                  <c:v>303</c:v>
                </c:pt>
                <c:pt idx="148">
                  <c:v>306</c:v>
                </c:pt>
                <c:pt idx="149">
                  <c:v>309</c:v>
                </c:pt>
                <c:pt idx="150">
                  <c:v>308</c:v>
                </c:pt>
                <c:pt idx="151">
                  <c:v>309</c:v>
                </c:pt>
                <c:pt idx="152">
                  <c:v>307</c:v>
                </c:pt>
                <c:pt idx="153">
                  <c:v>307</c:v>
                </c:pt>
                <c:pt idx="154">
                  <c:v>305</c:v>
                </c:pt>
                <c:pt idx="155">
                  <c:v>304</c:v>
                </c:pt>
                <c:pt idx="156">
                  <c:v>300</c:v>
                </c:pt>
                <c:pt idx="157">
                  <c:v>298</c:v>
                </c:pt>
                <c:pt idx="158">
                  <c:v>294</c:v>
                </c:pt>
                <c:pt idx="159">
                  <c:v>291</c:v>
                </c:pt>
                <c:pt idx="160">
                  <c:v>287</c:v>
                </c:pt>
                <c:pt idx="161">
                  <c:v>286</c:v>
                </c:pt>
                <c:pt idx="162">
                  <c:v>281</c:v>
                </c:pt>
                <c:pt idx="163">
                  <c:v>279</c:v>
                </c:pt>
                <c:pt idx="164">
                  <c:v>275</c:v>
                </c:pt>
                <c:pt idx="165">
                  <c:v>273</c:v>
                </c:pt>
                <c:pt idx="166">
                  <c:v>270</c:v>
                </c:pt>
                <c:pt idx="167">
                  <c:v>268</c:v>
                </c:pt>
                <c:pt idx="168">
                  <c:v>267</c:v>
                </c:pt>
                <c:pt idx="169">
                  <c:v>267</c:v>
                </c:pt>
                <c:pt idx="170">
                  <c:v>268</c:v>
                </c:pt>
                <c:pt idx="171">
                  <c:v>271</c:v>
                </c:pt>
                <c:pt idx="172">
                  <c:v>271</c:v>
                </c:pt>
                <c:pt idx="173">
                  <c:v>275</c:v>
                </c:pt>
                <c:pt idx="174">
                  <c:v>279</c:v>
                </c:pt>
                <c:pt idx="175">
                  <c:v>284</c:v>
                </c:pt>
                <c:pt idx="176">
                  <c:v>283</c:v>
                </c:pt>
                <c:pt idx="177">
                  <c:v>288</c:v>
                </c:pt>
                <c:pt idx="178">
                  <c:v>294</c:v>
                </c:pt>
                <c:pt idx="179">
                  <c:v>298</c:v>
                </c:pt>
                <c:pt idx="180">
                  <c:v>298</c:v>
                </c:pt>
                <c:pt idx="181">
                  <c:v>301</c:v>
                </c:pt>
                <c:pt idx="182">
                  <c:v>305</c:v>
                </c:pt>
                <c:pt idx="183">
                  <c:v>306</c:v>
                </c:pt>
                <c:pt idx="184">
                  <c:v>304</c:v>
                </c:pt>
                <c:pt idx="185">
                  <c:v>303</c:v>
                </c:pt>
                <c:pt idx="186">
                  <c:v>305</c:v>
                </c:pt>
                <c:pt idx="187">
                  <c:v>303</c:v>
                </c:pt>
                <c:pt idx="188">
                  <c:v>298</c:v>
                </c:pt>
                <c:pt idx="189">
                  <c:v>295</c:v>
                </c:pt>
                <c:pt idx="190">
                  <c:v>290</c:v>
                </c:pt>
                <c:pt idx="191">
                  <c:v>287</c:v>
                </c:pt>
                <c:pt idx="192">
                  <c:v>281</c:v>
                </c:pt>
                <c:pt idx="193">
                  <c:v>279</c:v>
                </c:pt>
                <c:pt idx="194">
                  <c:v>273</c:v>
                </c:pt>
                <c:pt idx="195">
                  <c:v>269</c:v>
                </c:pt>
                <c:pt idx="196">
                  <c:v>265</c:v>
                </c:pt>
                <c:pt idx="197">
                  <c:v>262</c:v>
                </c:pt>
                <c:pt idx="198">
                  <c:v>259</c:v>
                </c:pt>
                <c:pt idx="199">
                  <c:v>259</c:v>
                </c:pt>
                <c:pt idx="200">
                  <c:v>259</c:v>
                </c:pt>
                <c:pt idx="201">
                  <c:v>257</c:v>
                </c:pt>
                <c:pt idx="202">
                  <c:v>258</c:v>
                </c:pt>
                <c:pt idx="203">
                  <c:v>262</c:v>
                </c:pt>
                <c:pt idx="204">
                  <c:v>264</c:v>
                </c:pt>
                <c:pt idx="205">
                  <c:v>264</c:v>
                </c:pt>
                <c:pt idx="206">
                  <c:v>268</c:v>
                </c:pt>
                <c:pt idx="207">
                  <c:v>273</c:v>
                </c:pt>
                <c:pt idx="208">
                  <c:v>278</c:v>
                </c:pt>
                <c:pt idx="209">
                  <c:v>278</c:v>
                </c:pt>
                <c:pt idx="210">
                  <c:v>284</c:v>
                </c:pt>
                <c:pt idx="211">
                  <c:v>288</c:v>
                </c:pt>
                <c:pt idx="212">
                  <c:v>294</c:v>
                </c:pt>
                <c:pt idx="213">
                  <c:v>298</c:v>
                </c:pt>
                <c:pt idx="214">
                  <c:v>298</c:v>
                </c:pt>
                <c:pt idx="215">
                  <c:v>302</c:v>
                </c:pt>
                <c:pt idx="216">
                  <c:v>305</c:v>
                </c:pt>
                <c:pt idx="217">
                  <c:v>306</c:v>
                </c:pt>
                <c:pt idx="218">
                  <c:v>304</c:v>
                </c:pt>
                <c:pt idx="219">
                  <c:v>304</c:v>
                </c:pt>
                <c:pt idx="220">
                  <c:v>303</c:v>
                </c:pt>
                <c:pt idx="221">
                  <c:v>299</c:v>
                </c:pt>
                <c:pt idx="222">
                  <c:v>296</c:v>
                </c:pt>
                <c:pt idx="223">
                  <c:v>290</c:v>
                </c:pt>
                <c:pt idx="224">
                  <c:v>287</c:v>
                </c:pt>
                <c:pt idx="225">
                  <c:v>281</c:v>
                </c:pt>
                <c:pt idx="226">
                  <c:v>278</c:v>
                </c:pt>
                <c:pt idx="227">
                  <c:v>270</c:v>
                </c:pt>
                <c:pt idx="228">
                  <c:v>269</c:v>
                </c:pt>
                <c:pt idx="229">
                  <c:v>263</c:v>
                </c:pt>
                <c:pt idx="230">
                  <c:v>259</c:v>
                </c:pt>
                <c:pt idx="231">
                  <c:v>256</c:v>
                </c:pt>
                <c:pt idx="232">
                  <c:v>256</c:v>
                </c:pt>
                <c:pt idx="233">
                  <c:v>255</c:v>
                </c:pt>
                <c:pt idx="234">
                  <c:v>255</c:v>
                </c:pt>
                <c:pt idx="235">
                  <c:v>254</c:v>
                </c:pt>
                <c:pt idx="236">
                  <c:v>257</c:v>
                </c:pt>
                <c:pt idx="237">
                  <c:v>261</c:v>
                </c:pt>
                <c:pt idx="238">
                  <c:v>265</c:v>
                </c:pt>
                <c:pt idx="239">
                  <c:v>264</c:v>
                </c:pt>
                <c:pt idx="240">
                  <c:v>269</c:v>
                </c:pt>
                <c:pt idx="241">
                  <c:v>274</c:v>
                </c:pt>
                <c:pt idx="242">
                  <c:v>279</c:v>
                </c:pt>
                <c:pt idx="243">
                  <c:v>279</c:v>
                </c:pt>
                <c:pt idx="244">
                  <c:v>284</c:v>
                </c:pt>
                <c:pt idx="245">
                  <c:v>289</c:v>
                </c:pt>
                <c:pt idx="246">
                  <c:v>294</c:v>
                </c:pt>
                <c:pt idx="247">
                  <c:v>294</c:v>
                </c:pt>
                <c:pt idx="248">
                  <c:v>298</c:v>
                </c:pt>
                <c:pt idx="249">
                  <c:v>301</c:v>
                </c:pt>
                <c:pt idx="250">
                  <c:v>302</c:v>
                </c:pt>
                <c:pt idx="251">
                  <c:v>301</c:v>
                </c:pt>
                <c:pt idx="252">
                  <c:v>300</c:v>
                </c:pt>
                <c:pt idx="253">
                  <c:v>299</c:v>
                </c:pt>
                <c:pt idx="254">
                  <c:v>297</c:v>
                </c:pt>
                <c:pt idx="255">
                  <c:v>292</c:v>
                </c:pt>
                <c:pt idx="256">
                  <c:v>288</c:v>
                </c:pt>
                <c:pt idx="257">
                  <c:v>281</c:v>
                </c:pt>
                <c:pt idx="258">
                  <c:v>279</c:v>
                </c:pt>
                <c:pt idx="259">
                  <c:v>272</c:v>
                </c:pt>
                <c:pt idx="260">
                  <c:v>267</c:v>
                </c:pt>
                <c:pt idx="261">
                  <c:v>260</c:v>
                </c:pt>
                <c:pt idx="262">
                  <c:v>260</c:v>
                </c:pt>
                <c:pt idx="263">
                  <c:v>254</c:v>
                </c:pt>
                <c:pt idx="264">
                  <c:v>251</c:v>
                </c:pt>
                <c:pt idx="265">
                  <c:v>248</c:v>
                </c:pt>
                <c:pt idx="266">
                  <c:v>251</c:v>
                </c:pt>
                <c:pt idx="267">
                  <c:v>252</c:v>
                </c:pt>
                <c:pt idx="268">
                  <c:v>250</c:v>
                </c:pt>
                <c:pt idx="269">
                  <c:v>253</c:v>
                </c:pt>
                <c:pt idx="270">
                  <c:v>258</c:v>
                </c:pt>
                <c:pt idx="271">
                  <c:v>263</c:v>
                </c:pt>
                <c:pt idx="272">
                  <c:v>263</c:v>
                </c:pt>
                <c:pt idx="273">
                  <c:v>268</c:v>
                </c:pt>
                <c:pt idx="274">
                  <c:v>271</c:v>
                </c:pt>
                <c:pt idx="275">
                  <c:v>276</c:v>
                </c:pt>
                <c:pt idx="276">
                  <c:v>277</c:v>
                </c:pt>
                <c:pt idx="277">
                  <c:v>282</c:v>
                </c:pt>
                <c:pt idx="278">
                  <c:v>284</c:v>
                </c:pt>
                <c:pt idx="279">
                  <c:v>289</c:v>
                </c:pt>
                <c:pt idx="280">
                  <c:v>294</c:v>
                </c:pt>
                <c:pt idx="281">
                  <c:v>294</c:v>
                </c:pt>
                <c:pt idx="282">
                  <c:v>298</c:v>
                </c:pt>
                <c:pt idx="283">
                  <c:v>301</c:v>
                </c:pt>
                <c:pt idx="284">
                  <c:v>303</c:v>
                </c:pt>
                <c:pt idx="285">
                  <c:v>301</c:v>
                </c:pt>
                <c:pt idx="286">
                  <c:v>300</c:v>
                </c:pt>
                <c:pt idx="287">
                  <c:v>302</c:v>
                </c:pt>
                <c:pt idx="288">
                  <c:v>298</c:v>
                </c:pt>
                <c:pt idx="289">
                  <c:v>294</c:v>
                </c:pt>
                <c:pt idx="290">
                  <c:v>289</c:v>
                </c:pt>
                <c:pt idx="291">
                  <c:v>286</c:v>
                </c:pt>
                <c:pt idx="292">
                  <c:v>278</c:v>
                </c:pt>
                <c:pt idx="293">
                  <c:v>273</c:v>
                </c:pt>
                <c:pt idx="294">
                  <c:v>266</c:v>
                </c:pt>
                <c:pt idx="295">
                  <c:v>263</c:v>
                </c:pt>
                <c:pt idx="296">
                  <c:v>256</c:v>
                </c:pt>
                <c:pt idx="297">
                  <c:v>254</c:v>
                </c:pt>
                <c:pt idx="298">
                  <c:v>249</c:v>
                </c:pt>
                <c:pt idx="299">
                  <c:v>249</c:v>
                </c:pt>
                <c:pt idx="300">
                  <c:v>249</c:v>
                </c:pt>
                <c:pt idx="301">
                  <c:v>249</c:v>
                </c:pt>
                <c:pt idx="302">
                  <c:v>251</c:v>
                </c:pt>
                <c:pt idx="303">
                  <c:v>254</c:v>
                </c:pt>
                <c:pt idx="304">
                  <c:v>259</c:v>
                </c:pt>
                <c:pt idx="305">
                  <c:v>262</c:v>
                </c:pt>
                <c:pt idx="306">
                  <c:v>262</c:v>
                </c:pt>
                <c:pt idx="307">
                  <c:v>266</c:v>
                </c:pt>
                <c:pt idx="308">
                  <c:v>272</c:v>
                </c:pt>
                <c:pt idx="309">
                  <c:v>276</c:v>
                </c:pt>
                <c:pt idx="310">
                  <c:v>274</c:v>
                </c:pt>
                <c:pt idx="311">
                  <c:v>279</c:v>
                </c:pt>
                <c:pt idx="312">
                  <c:v>284</c:v>
                </c:pt>
                <c:pt idx="313">
                  <c:v>288</c:v>
                </c:pt>
                <c:pt idx="314">
                  <c:v>287</c:v>
                </c:pt>
                <c:pt idx="315">
                  <c:v>290</c:v>
                </c:pt>
                <c:pt idx="316">
                  <c:v>294</c:v>
                </c:pt>
                <c:pt idx="317">
                  <c:v>296</c:v>
                </c:pt>
                <c:pt idx="318">
                  <c:v>293</c:v>
                </c:pt>
                <c:pt idx="319">
                  <c:v>294</c:v>
                </c:pt>
                <c:pt idx="320">
                  <c:v>294</c:v>
                </c:pt>
                <c:pt idx="321">
                  <c:v>292</c:v>
                </c:pt>
                <c:pt idx="322">
                  <c:v>289</c:v>
                </c:pt>
                <c:pt idx="323">
                  <c:v>283</c:v>
                </c:pt>
                <c:pt idx="324">
                  <c:v>278</c:v>
                </c:pt>
                <c:pt idx="325">
                  <c:v>274</c:v>
                </c:pt>
                <c:pt idx="326">
                  <c:v>266</c:v>
                </c:pt>
                <c:pt idx="327">
                  <c:v>262</c:v>
                </c:pt>
                <c:pt idx="328">
                  <c:v>255</c:v>
                </c:pt>
                <c:pt idx="329">
                  <c:v>254</c:v>
                </c:pt>
                <c:pt idx="330">
                  <c:v>249</c:v>
                </c:pt>
                <c:pt idx="331">
                  <c:v>248</c:v>
                </c:pt>
                <c:pt idx="332">
                  <c:v>246</c:v>
                </c:pt>
                <c:pt idx="333">
                  <c:v>247</c:v>
                </c:pt>
                <c:pt idx="334">
                  <c:v>249</c:v>
                </c:pt>
                <c:pt idx="335">
                  <c:v>249</c:v>
                </c:pt>
                <c:pt idx="336">
                  <c:v>252</c:v>
                </c:pt>
                <c:pt idx="337">
                  <c:v>256</c:v>
                </c:pt>
                <c:pt idx="338">
                  <c:v>260</c:v>
                </c:pt>
                <c:pt idx="339">
                  <c:v>260</c:v>
                </c:pt>
                <c:pt idx="340">
                  <c:v>264</c:v>
                </c:pt>
                <c:pt idx="341">
                  <c:v>269</c:v>
                </c:pt>
                <c:pt idx="342">
                  <c:v>273</c:v>
                </c:pt>
                <c:pt idx="343">
                  <c:v>272</c:v>
                </c:pt>
                <c:pt idx="344">
                  <c:v>276</c:v>
                </c:pt>
                <c:pt idx="345">
                  <c:v>279</c:v>
                </c:pt>
                <c:pt idx="346">
                  <c:v>283</c:v>
                </c:pt>
                <c:pt idx="347">
                  <c:v>285</c:v>
                </c:pt>
                <c:pt idx="348">
                  <c:v>286</c:v>
                </c:pt>
                <c:pt idx="349">
                  <c:v>290</c:v>
                </c:pt>
                <c:pt idx="350">
                  <c:v>291</c:v>
                </c:pt>
                <c:pt idx="351">
                  <c:v>292</c:v>
                </c:pt>
                <c:pt idx="352">
                  <c:v>293</c:v>
                </c:pt>
                <c:pt idx="353">
                  <c:v>293</c:v>
                </c:pt>
                <c:pt idx="354">
                  <c:v>292</c:v>
                </c:pt>
                <c:pt idx="355">
                  <c:v>290</c:v>
                </c:pt>
                <c:pt idx="356">
                  <c:v>289</c:v>
                </c:pt>
                <c:pt idx="357">
                  <c:v>283</c:v>
                </c:pt>
                <c:pt idx="358">
                  <c:v>278</c:v>
                </c:pt>
                <c:pt idx="359">
                  <c:v>271</c:v>
                </c:pt>
                <c:pt idx="360">
                  <c:v>266</c:v>
                </c:pt>
                <c:pt idx="361">
                  <c:v>257</c:v>
                </c:pt>
                <c:pt idx="362">
                  <c:v>255</c:v>
                </c:pt>
                <c:pt idx="363">
                  <c:v>249</c:v>
                </c:pt>
                <c:pt idx="364">
                  <c:v>245</c:v>
                </c:pt>
                <c:pt idx="365">
                  <c:v>242</c:v>
                </c:pt>
                <c:pt idx="366">
                  <c:v>243</c:v>
                </c:pt>
                <c:pt idx="367">
                  <c:v>242</c:v>
                </c:pt>
                <c:pt idx="368">
                  <c:v>243</c:v>
                </c:pt>
                <c:pt idx="369">
                  <c:v>246</c:v>
                </c:pt>
                <c:pt idx="370">
                  <c:v>247</c:v>
                </c:pt>
                <c:pt idx="371">
                  <c:v>251</c:v>
                </c:pt>
                <c:pt idx="372">
                  <c:v>252</c:v>
                </c:pt>
                <c:pt idx="373">
                  <c:v>256</c:v>
                </c:pt>
                <c:pt idx="374">
                  <c:v>260</c:v>
                </c:pt>
                <c:pt idx="375">
                  <c:v>265</c:v>
                </c:pt>
                <c:pt idx="376">
                  <c:v>269</c:v>
                </c:pt>
                <c:pt idx="377">
                  <c:v>269</c:v>
                </c:pt>
                <c:pt idx="378">
                  <c:v>274</c:v>
                </c:pt>
                <c:pt idx="379">
                  <c:v>276</c:v>
                </c:pt>
                <c:pt idx="380">
                  <c:v>279</c:v>
                </c:pt>
                <c:pt idx="381">
                  <c:v>279</c:v>
                </c:pt>
                <c:pt idx="382">
                  <c:v>281</c:v>
                </c:pt>
                <c:pt idx="383">
                  <c:v>283</c:v>
                </c:pt>
                <c:pt idx="384">
                  <c:v>286</c:v>
                </c:pt>
                <c:pt idx="385">
                  <c:v>286</c:v>
                </c:pt>
                <c:pt idx="386">
                  <c:v>287</c:v>
                </c:pt>
                <c:pt idx="387">
                  <c:v>289</c:v>
                </c:pt>
                <c:pt idx="388">
                  <c:v>290</c:v>
                </c:pt>
                <c:pt idx="389">
                  <c:v>289</c:v>
                </c:pt>
                <c:pt idx="390">
                  <c:v>288</c:v>
                </c:pt>
                <c:pt idx="391">
                  <c:v>288</c:v>
                </c:pt>
                <c:pt idx="392">
                  <c:v>285</c:v>
                </c:pt>
                <c:pt idx="393">
                  <c:v>282</c:v>
                </c:pt>
                <c:pt idx="394">
                  <c:v>278</c:v>
                </c:pt>
                <c:pt idx="395">
                  <c:v>277</c:v>
                </c:pt>
                <c:pt idx="396">
                  <c:v>271</c:v>
                </c:pt>
                <c:pt idx="397">
                  <c:v>265</c:v>
                </c:pt>
                <c:pt idx="398">
                  <c:v>262</c:v>
                </c:pt>
                <c:pt idx="399">
                  <c:v>258</c:v>
                </c:pt>
                <c:pt idx="400">
                  <c:v>258</c:v>
                </c:pt>
                <c:pt idx="401">
                  <c:v>257</c:v>
                </c:pt>
                <c:pt idx="402">
                  <c:v>255</c:v>
                </c:pt>
                <c:pt idx="403">
                  <c:v>256</c:v>
                </c:pt>
                <c:pt idx="404">
                  <c:v>259</c:v>
                </c:pt>
                <c:pt idx="405">
                  <c:v>262</c:v>
                </c:pt>
                <c:pt idx="406">
                  <c:v>262</c:v>
                </c:pt>
              </c:numCache>
            </c:numRef>
          </c:yVal>
          <c:smooth val="0"/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Analysis!$C$2:$C$408</c:f>
              <c:numCache>
                <c:formatCode>0.000</c:formatCode>
                <c:ptCount val="407"/>
                <c:pt idx="0">
                  <c:v>0</c:v>
                </c:pt>
                <c:pt idx="1">
                  <c:v>0.03</c:v>
                </c:pt>
                <c:pt idx="2">
                  <c:v>9.0999999999999998E-2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0.29299999999999998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0.495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0.66600000000000004</c:v>
                </c:pt>
                <c:pt idx="14">
                  <c:v>0.69699999999999995</c:v>
                </c:pt>
                <c:pt idx="15">
                  <c:v>0.76700000000000002</c:v>
                </c:pt>
                <c:pt idx="16">
                  <c:v>0.79900000000000004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0.95899999999999996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1.3320000000000001</c:v>
                </c:pt>
                <c:pt idx="27">
                  <c:v>1.363</c:v>
                </c:pt>
                <c:pt idx="28">
                  <c:v>1.4330000000000001</c:v>
                </c:pt>
                <c:pt idx="29">
                  <c:v>1.4650000000000001</c:v>
                </c:pt>
                <c:pt idx="30">
                  <c:v>1.534</c:v>
                </c:pt>
                <c:pt idx="31">
                  <c:v>1.5660000000000001</c:v>
                </c:pt>
                <c:pt idx="32">
                  <c:v>1.635</c:v>
                </c:pt>
                <c:pt idx="33">
                  <c:v>1.667</c:v>
                </c:pt>
                <c:pt idx="34">
                  <c:v>1.736</c:v>
                </c:pt>
                <c:pt idx="35">
                  <c:v>1.768</c:v>
                </c:pt>
                <c:pt idx="36">
                  <c:v>1.8280000000000001</c:v>
                </c:pt>
                <c:pt idx="37">
                  <c:v>1.897</c:v>
                </c:pt>
                <c:pt idx="38">
                  <c:v>1.929</c:v>
                </c:pt>
                <c:pt idx="39">
                  <c:v>1.998</c:v>
                </c:pt>
                <c:pt idx="40">
                  <c:v>2.0299999999999998</c:v>
                </c:pt>
                <c:pt idx="41">
                  <c:v>2.0990000000000002</c:v>
                </c:pt>
                <c:pt idx="42">
                  <c:v>2.1309999999999998</c:v>
                </c:pt>
                <c:pt idx="43">
                  <c:v>2.2000000000000002</c:v>
                </c:pt>
                <c:pt idx="44">
                  <c:v>2.2320000000000002</c:v>
                </c:pt>
                <c:pt idx="45">
                  <c:v>2.2930000000000001</c:v>
                </c:pt>
                <c:pt idx="46">
                  <c:v>2.363</c:v>
                </c:pt>
                <c:pt idx="47">
                  <c:v>2.395</c:v>
                </c:pt>
                <c:pt idx="48">
                  <c:v>2.464</c:v>
                </c:pt>
                <c:pt idx="49">
                  <c:v>2.496</c:v>
                </c:pt>
                <c:pt idx="50">
                  <c:v>2.5569999999999999</c:v>
                </c:pt>
                <c:pt idx="51">
                  <c:v>2.6059999999999999</c:v>
                </c:pt>
                <c:pt idx="52">
                  <c:v>2.6579999999999999</c:v>
                </c:pt>
                <c:pt idx="53">
                  <c:v>2.7290000000000001</c:v>
                </c:pt>
                <c:pt idx="54">
                  <c:v>2.7610000000000001</c:v>
                </c:pt>
                <c:pt idx="55">
                  <c:v>2.8210000000000002</c:v>
                </c:pt>
                <c:pt idx="56">
                  <c:v>2.89</c:v>
                </c:pt>
                <c:pt idx="57">
                  <c:v>2.9220000000000002</c:v>
                </c:pt>
                <c:pt idx="58">
                  <c:v>2.9910000000000001</c:v>
                </c:pt>
                <c:pt idx="59">
                  <c:v>3.0230000000000001</c:v>
                </c:pt>
                <c:pt idx="60">
                  <c:v>3.0920000000000001</c:v>
                </c:pt>
                <c:pt idx="61">
                  <c:v>3.1240000000000001</c:v>
                </c:pt>
                <c:pt idx="62">
                  <c:v>3.1930000000000001</c:v>
                </c:pt>
                <c:pt idx="63">
                  <c:v>3.2250000000000001</c:v>
                </c:pt>
                <c:pt idx="64">
                  <c:v>3.2850000000000001</c:v>
                </c:pt>
                <c:pt idx="65">
                  <c:v>3.3540000000000001</c:v>
                </c:pt>
                <c:pt idx="66">
                  <c:v>3.3860000000000001</c:v>
                </c:pt>
                <c:pt idx="67">
                  <c:v>3.4550000000000001</c:v>
                </c:pt>
                <c:pt idx="68">
                  <c:v>3.4860000000000002</c:v>
                </c:pt>
                <c:pt idx="69">
                  <c:v>3.556</c:v>
                </c:pt>
                <c:pt idx="70">
                  <c:v>3.5880000000000001</c:v>
                </c:pt>
                <c:pt idx="71">
                  <c:v>3.657</c:v>
                </c:pt>
                <c:pt idx="72">
                  <c:v>3.6890000000000001</c:v>
                </c:pt>
                <c:pt idx="73">
                  <c:v>3.758</c:v>
                </c:pt>
                <c:pt idx="74">
                  <c:v>3.79</c:v>
                </c:pt>
                <c:pt idx="75">
                  <c:v>3.859</c:v>
                </c:pt>
                <c:pt idx="76">
                  <c:v>3.89</c:v>
                </c:pt>
                <c:pt idx="77">
                  <c:v>3.96</c:v>
                </c:pt>
                <c:pt idx="78">
                  <c:v>3.992</c:v>
                </c:pt>
                <c:pt idx="79">
                  <c:v>4.0519999999999996</c:v>
                </c:pt>
                <c:pt idx="80">
                  <c:v>4.1210000000000004</c:v>
                </c:pt>
                <c:pt idx="81">
                  <c:v>4.1520000000000001</c:v>
                </c:pt>
                <c:pt idx="82">
                  <c:v>4.2220000000000004</c:v>
                </c:pt>
                <c:pt idx="83">
                  <c:v>4.2539999999999996</c:v>
                </c:pt>
                <c:pt idx="84">
                  <c:v>4.3230000000000004</c:v>
                </c:pt>
                <c:pt idx="85">
                  <c:v>4.3540000000000001</c:v>
                </c:pt>
                <c:pt idx="86">
                  <c:v>4.4240000000000004</c:v>
                </c:pt>
                <c:pt idx="87">
                  <c:v>4.4560000000000004</c:v>
                </c:pt>
                <c:pt idx="88">
                  <c:v>4.5250000000000004</c:v>
                </c:pt>
                <c:pt idx="89">
                  <c:v>4.5570000000000004</c:v>
                </c:pt>
                <c:pt idx="90">
                  <c:v>4.6260000000000003</c:v>
                </c:pt>
                <c:pt idx="91">
                  <c:v>4.6580000000000004</c:v>
                </c:pt>
                <c:pt idx="92">
                  <c:v>4.7270000000000003</c:v>
                </c:pt>
                <c:pt idx="93">
                  <c:v>4.7590000000000003</c:v>
                </c:pt>
                <c:pt idx="94">
                  <c:v>4.8280000000000003</c:v>
                </c:pt>
                <c:pt idx="95">
                  <c:v>4.8600000000000003</c:v>
                </c:pt>
                <c:pt idx="96">
                  <c:v>4.9290000000000003</c:v>
                </c:pt>
                <c:pt idx="97">
                  <c:v>4.96</c:v>
                </c:pt>
                <c:pt idx="98">
                  <c:v>5.03</c:v>
                </c:pt>
                <c:pt idx="99">
                  <c:v>5.0620000000000003</c:v>
                </c:pt>
                <c:pt idx="100">
                  <c:v>5.1219999999999999</c:v>
                </c:pt>
                <c:pt idx="101">
                  <c:v>5.1909999999999998</c:v>
                </c:pt>
                <c:pt idx="102">
                  <c:v>5.2229999999999999</c:v>
                </c:pt>
                <c:pt idx="103">
                  <c:v>5.2919999999999998</c:v>
                </c:pt>
                <c:pt idx="104">
                  <c:v>5.3239999999999998</c:v>
                </c:pt>
                <c:pt idx="105">
                  <c:v>5.3929999999999998</c:v>
                </c:pt>
                <c:pt idx="106">
                  <c:v>5.4240000000000004</c:v>
                </c:pt>
                <c:pt idx="107">
                  <c:v>5.4939999999999998</c:v>
                </c:pt>
                <c:pt idx="108">
                  <c:v>5.5259999999999998</c:v>
                </c:pt>
                <c:pt idx="109">
                  <c:v>5.5949999999999998</c:v>
                </c:pt>
                <c:pt idx="110">
                  <c:v>5.6269999999999998</c:v>
                </c:pt>
                <c:pt idx="111">
                  <c:v>5.6959999999999997</c:v>
                </c:pt>
                <c:pt idx="112">
                  <c:v>5.7279999999999998</c:v>
                </c:pt>
                <c:pt idx="113">
                  <c:v>5.7880000000000003</c:v>
                </c:pt>
                <c:pt idx="114">
                  <c:v>5.8570000000000002</c:v>
                </c:pt>
                <c:pt idx="115">
                  <c:v>5.8879999999999999</c:v>
                </c:pt>
                <c:pt idx="116">
                  <c:v>5.9580000000000002</c:v>
                </c:pt>
                <c:pt idx="117">
                  <c:v>5.99</c:v>
                </c:pt>
                <c:pt idx="118">
                  <c:v>6.0590000000000002</c:v>
                </c:pt>
                <c:pt idx="119">
                  <c:v>6.0910000000000002</c:v>
                </c:pt>
                <c:pt idx="120">
                  <c:v>6.16</c:v>
                </c:pt>
                <c:pt idx="121">
                  <c:v>6.1920000000000002</c:v>
                </c:pt>
                <c:pt idx="122">
                  <c:v>6.2610000000000001</c:v>
                </c:pt>
                <c:pt idx="123">
                  <c:v>6.2930000000000001</c:v>
                </c:pt>
                <c:pt idx="124">
                  <c:v>6.3620000000000001</c:v>
                </c:pt>
                <c:pt idx="125">
                  <c:v>6.3940000000000001</c:v>
                </c:pt>
                <c:pt idx="126">
                  <c:v>6.4630000000000001</c:v>
                </c:pt>
                <c:pt idx="127">
                  <c:v>6.4950000000000001</c:v>
                </c:pt>
                <c:pt idx="128">
                  <c:v>6.5640000000000001</c:v>
                </c:pt>
                <c:pt idx="129">
                  <c:v>6.5960000000000001</c:v>
                </c:pt>
                <c:pt idx="130">
                  <c:v>6.6559999999999997</c:v>
                </c:pt>
                <c:pt idx="131">
                  <c:v>6.7249999999999996</c:v>
                </c:pt>
                <c:pt idx="132">
                  <c:v>6.7560000000000002</c:v>
                </c:pt>
                <c:pt idx="133">
                  <c:v>6.8259999999999996</c:v>
                </c:pt>
                <c:pt idx="134">
                  <c:v>6.8579999999999997</c:v>
                </c:pt>
                <c:pt idx="135">
                  <c:v>6.9269999999999996</c:v>
                </c:pt>
                <c:pt idx="136">
                  <c:v>6.9580000000000002</c:v>
                </c:pt>
                <c:pt idx="137">
                  <c:v>7.0279999999999996</c:v>
                </c:pt>
                <c:pt idx="138">
                  <c:v>7.06</c:v>
                </c:pt>
                <c:pt idx="139">
                  <c:v>7.1289999999999996</c:v>
                </c:pt>
                <c:pt idx="140">
                  <c:v>7.1609999999999996</c:v>
                </c:pt>
                <c:pt idx="141">
                  <c:v>7.23</c:v>
                </c:pt>
                <c:pt idx="142">
                  <c:v>7.2619999999999996</c:v>
                </c:pt>
                <c:pt idx="143">
                  <c:v>7.3310000000000004</c:v>
                </c:pt>
                <c:pt idx="144">
                  <c:v>7.3630000000000004</c:v>
                </c:pt>
                <c:pt idx="145">
                  <c:v>7.4320000000000004</c:v>
                </c:pt>
                <c:pt idx="146">
                  <c:v>7.4640000000000004</c:v>
                </c:pt>
                <c:pt idx="147">
                  <c:v>7.5330000000000004</c:v>
                </c:pt>
                <c:pt idx="148">
                  <c:v>7.5650000000000004</c:v>
                </c:pt>
                <c:pt idx="149">
                  <c:v>7.6340000000000003</c:v>
                </c:pt>
                <c:pt idx="150">
                  <c:v>7.6660000000000004</c:v>
                </c:pt>
                <c:pt idx="151">
                  <c:v>7.726</c:v>
                </c:pt>
                <c:pt idx="152">
                  <c:v>7.7949999999999999</c:v>
                </c:pt>
                <c:pt idx="153">
                  <c:v>7.8259999999999996</c:v>
                </c:pt>
                <c:pt idx="154">
                  <c:v>7.8959999999999999</c:v>
                </c:pt>
                <c:pt idx="155">
                  <c:v>7.9279999999999999</c:v>
                </c:pt>
                <c:pt idx="156">
                  <c:v>7.9969999999999999</c:v>
                </c:pt>
                <c:pt idx="157">
                  <c:v>8.0280000000000005</c:v>
                </c:pt>
                <c:pt idx="158">
                  <c:v>8.0980000000000008</c:v>
                </c:pt>
                <c:pt idx="159">
                  <c:v>8.1300000000000008</c:v>
                </c:pt>
                <c:pt idx="160">
                  <c:v>8.1989999999999998</c:v>
                </c:pt>
                <c:pt idx="161">
                  <c:v>8.2309999999999999</c:v>
                </c:pt>
                <c:pt idx="162">
                  <c:v>8.3000000000000007</c:v>
                </c:pt>
                <c:pt idx="163">
                  <c:v>8.3320000000000007</c:v>
                </c:pt>
                <c:pt idx="164">
                  <c:v>8.4009999999999998</c:v>
                </c:pt>
                <c:pt idx="165">
                  <c:v>8.4329999999999998</c:v>
                </c:pt>
                <c:pt idx="166">
                  <c:v>8.5020000000000007</c:v>
                </c:pt>
                <c:pt idx="167">
                  <c:v>8.5340000000000007</c:v>
                </c:pt>
                <c:pt idx="168">
                  <c:v>8.5939999999999994</c:v>
                </c:pt>
                <c:pt idx="169">
                  <c:v>8.6630000000000003</c:v>
                </c:pt>
                <c:pt idx="170">
                  <c:v>8.6950000000000003</c:v>
                </c:pt>
                <c:pt idx="171">
                  <c:v>8.7639999999999993</c:v>
                </c:pt>
                <c:pt idx="172">
                  <c:v>8.7959999999999994</c:v>
                </c:pt>
                <c:pt idx="173">
                  <c:v>8.8650000000000002</c:v>
                </c:pt>
                <c:pt idx="174">
                  <c:v>8.8970000000000002</c:v>
                </c:pt>
                <c:pt idx="175">
                  <c:v>8.9659999999999993</c:v>
                </c:pt>
                <c:pt idx="176">
                  <c:v>8.9979999999999993</c:v>
                </c:pt>
                <c:pt idx="177">
                  <c:v>9.0670000000000002</c:v>
                </c:pt>
                <c:pt idx="178">
                  <c:v>9.0990000000000002</c:v>
                </c:pt>
                <c:pt idx="179">
                  <c:v>9.1679999999999993</c:v>
                </c:pt>
                <c:pt idx="180">
                  <c:v>9.1999999999999993</c:v>
                </c:pt>
                <c:pt idx="181">
                  <c:v>9.2690000000000001</c:v>
                </c:pt>
                <c:pt idx="182">
                  <c:v>9.3010000000000002</c:v>
                </c:pt>
                <c:pt idx="183">
                  <c:v>9.3699999999999992</c:v>
                </c:pt>
                <c:pt idx="184">
                  <c:v>9.4019999999999992</c:v>
                </c:pt>
                <c:pt idx="185">
                  <c:v>9.4710000000000001</c:v>
                </c:pt>
                <c:pt idx="186">
                  <c:v>9.5020000000000007</c:v>
                </c:pt>
                <c:pt idx="187">
                  <c:v>9.5630000000000006</c:v>
                </c:pt>
                <c:pt idx="188">
                  <c:v>9.6319999999999997</c:v>
                </c:pt>
                <c:pt idx="189">
                  <c:v>9.6639999999999997</c:v>
                </c:pt>
                <c:pt idx="190">
                  <c:v>9.7330000000000005</c:v>
                </c:pt>
                <c:pt idx="191">
                  <c:v>9.7639999999999993</c:v>
                </c:pt>
                <c:pt idx="192">
                  <c:v>9.8339999999999996</c:v>
                </c:pt>
                <c:pt idx="193">
                  <c:v>9.8659999999999997</c:v>
                </c:pt>
                <c:pt idx="194">
                  <c:v>9.9350000000000005</c:v>
                </c:pt>
                <c:pt idx="195">
                  <c:v>9.9659999999999993</c:v>
                </c:pt>
                <c:pt idx="196">
                  <c:v>10.036</c:v>
                </c:pt>
                <c:pt idx="197">
                  <c:v>10.068</c:v>
                </c:pt>
                <c:pt idx="198">
                  <c:v>10.137</c:v>
                </c:pt>
                <c:pt idx="199">
                  <c:v>10.167999999999999</c:v>
                </c:pt>
                <c:pt idx="200">
                  <c:v>10.238</c:v>
                </c:pt>
                <c:pt idx="201">
                  <c:v>10.27</c:v>
                </c:pt>
                <c:pt idx="202">
                  <c:v>10.339</c:v>
                </c:pt>
                <c:pt idx="203">
                  <c:v>10.37</c:v>
                </c:pt>
                <c:pt idx="204">
                  <c:v>10.44</c:v>
                </c:pt>
                <c:pt idx="205">
                  <c:v>10.472</c:v>
                </c:pt>
                <c:pt idx="206">
                  <c:v>10.541</c:v>
                </c:pt>
                <c:pt idx="207">
                  <c:v>10.573</c:v>
                </c:pt>
                <c:pt idx="208">
                  <c:v>10.641999999999999</c:v>
                </c:pt>
                <c:pt idx="209">
                  <c:v>10.673999999999999</c:v>
                </c:pt>
                <c:pt idx="210">
                  <c:v>10.734</c:v>
                </c:pt>
                <c:pt idx="211">
                  <c:v>10.803000000000001</c:v>
                </c:pt>
                <c:pt idx="212">
                  <c:v>10.835000000000001</c:v>
                </c:pt>
                <c:pt idx="213">
                  <c:v>10.904</c:v>
                </c:pt>
                <c:pt idx="214">
                  <c:v>10.936</c:v>
                </c:pt>
                <c:pt idx="215">
                  <c:v>11.005000000000001</c:v>
                </c:pt>
                <c:pt idx="216">
                  <c:v>11.037000000000001</c:v>
                </c:pt>
                <c:pt idx="217">
                  <c:v>11.106</c:v>
                </c:pt>
                <c:pt idx="218">
                  <c:v>11.138</c:v>
                </c:pt>
                <c:pt idx="219">
                  <c:v>11.207000000000001</c:v>
                </c:pt>
                <c:pt idx="220">
                  <c:v>11.239000000000001</c:v>
                </c:pt>
                <c:pt idx="221">
                  <c:v>11.308</c:v>
                </c:pt>
                <c:pt idx="222">
                  <c:v>11.34</c:v>
                </c:pt>
                <c:pt idx="223">
                  <c:v>11.409000000000001</c:v>
                </c:pt>
                <c:pt idx="224">
                  <c:v>11.44</c:v>
                </c:pt>
                <c:pt idx="225">
                  <c:v>11.51</c:v>
                </c:pt>
                <c:pt idx="226">
                  <c:v>11.542</c:v>
                </c:pt>
                <c:pt idx="227">
                  <c:v>11.611000000000001</c:v>
                </c:pt>
                <c:pt idx="228">
                  <c:v>11.643000000000001</c:v>
                </c:pt>
                <c:pt idx="229">
                  <c:v>11.712</c:v>
                </c:pt>
                <c:pt idx="230">
                  <c:v>11.744</c:v>
                </c:pt>
                <c:pt idx="231">
                  <c:v>11.813000000000001</c:v>
                </c:pt>
                <c:pt idx="232">
                  <c:v>11.843999999999999</c:v>
                </c:pt>
                <c:pt idx="233">
                  <c:v>11.904</c:v>
                </c:pt>
                <c:pt idx="234">
                  <c:v>11.974</c:v>
                </c:pt>
                <c:pt idx="235">
                  <c:v>12.006</c:v>
                </c:pt>
                <c:pt idx="236">
                  <c:v>12.074999999999999</c:v>
                </c:pt>
                <c:pt idx="237">
                  <c:v>12.106</c:v>
                </c:pt>
                <c:pt idx="238">
                  <c:v>12.176</c:v>
                </c:pt>
                <c:pt idx="239">
                  <c:v>12.208</c:v>
                </c:pt>
                <c:pt idx="240">
                  <c:v>12.276999999999999</c:v>
                </c:pt>
                <c:pt idx="241">
                  <c:v>12.308</c:v>
                </c:pt>
                <c:pt idx="242">
                  <c:v>12.378</c:v>
                </c:pt>
                <c:pt idx="243">
                  <c:v>12.41</c:v>
                </c:pt>
                <c:pt idx="244">
                  <c:v>12.478999999999999</c:v>
                </c:pt>
                <c:pt idx="245">
                  <c:v>12.510999999999999</c:v>
                </c:pt>
                <c:pt idx="246">
                  <c:v>12.58</c:v>
                </c:pt>
                <c:pt idx="247">
                  <c:v>12.612</c:v>
                </c:pt>
                <c:pt idx="248">
                  <c:v>12.680999999999999</c:v>
                </c:pt>
                <c:pt idx="249">
                  <c:v>12.712999999999999</c:v>
                </c:pt>
                <c:pt idx="250">
                  <c:v>12.782</c:v>
                </c:pt>
                <c:pt idx="251">
                  <c:v>12.814</c:v>
                </c:pt>
                <c:pt idx="252">
                  <c:v>12.882999999999999</c:v>
                </c:pt>
                <c:pt idx="253">
                  <c:v>12.914999999999999</c:v>
                </c:pt>
                <c:pt idx="254">
                  <c:v>12.975</c:v>
                </c:pt>
                <c:pt idx="255">
                  <c:v>13.044</c:v>
                </c:pt>
                <c:pt idx="256">
                  <c:v>13.076000000000001</c:v>
                </c:pt>
                <c:pt idx="257">
                  <c:v>13.145</c:v>
                </c:pt>
                <c:pt idx="258">
                  <c:v>13.176</c:v>
                </c:pt>
                <c:pt idx="259">
                  <c:v>13.246</c:v>
                </c:pt>
                <c:pt idx="260">
                  <c:v>13.278</c:v>
                </c:pt>
                <c:pt idx="261">
                  <c:v>13.327</c:v>
                </c:pt>
                <c:pt idx="262">
                  <c:v>13.379</c:v>
                </c:pt>
                <c:pt idx="263">
                  <c:v>13.448</c:v>
                </c:pt>
                <c:pt idx="264">
                  <c:v>13.48</c:v>
                </c:pt>
                <c:pt idx="265">
                  <c:v>13.548999999999999</c:v>
                </c:pt>
                <c:pt idx="266">
                  <c:v>13.58</c:v>
                </c:pt>
                <c:pt idx="267">
                  <c:v>13.65</c:v>
                </c:pt>
                <c:pt idx="268">
                  <c:v>13.682</c:v>
                </c:pt>
                <c:pt idx="269">
                  <c:v>13.750999999999999</c:v>
                </c:pt>
                <c:pt idx="270">
                  <c:v>13.782</c:v>
                </c:pt>
                <c:pt idx="271">
                  <c:v>13.852</c:v>
                </c:pt>
                <c:pt idx="272">
                  <c:v>13.884</c:v>
                </c:pt>
                <c:pt idx="273">
                  <c:v>13.952999999999999</c:v>
                </c:pt>
                <c:pt idx="274">
                  <c:v>13.984</c:v>
                </c:pt>
                <c:pt idx="275">
                  <c:v>14.054</c:v>
                </c:pt>
                <c:pt idx="276">
                  <c:v>14.086</c:v>
                </c:pt>
                <c:pt idx="277">
                  <c:v>14.154999999999999</c:v>
                </c:pt>
                <c:pt idx="278">
                  <c:v>14.186999999999999</c:v>
                </c:pt>
                <c:pt idx="279">
                  <c:v>14.247</c:v>
                </c:pt>
                <c:pt idx="280">
                  <c:v>14.317</c:v>
                </c:pt>
                <c:pt idx="281">
                  <c:v>14.349</c:v>
                </c:pt>
                <c:pt idx="282">
                  <c:v>14.398</c:v>
                </c:pt>
                <c:pt idx="283">
                  <c:v>14.449</c:v>
                </c:pt>
                <c:pt idx="284">
                  <c:v>14.518000000000001</c:v>
                </c:pt>
                <c:pt idx="285">
                  <c:v>14.55</c:v>
                </c:pt>
                <c:pt idx="286">
                  <c:v>14.619</c:v>
                </c:pt>
                <c:pt idx="287">
                  <c:v>14.651</c:v>
                </c:pt>
                <c:pt idx="288">
                  <c:v>14.72</c:v>
                </c:pt>
                <c:pt idx="289">
                  <c:v>14.752000000000001</c:v>
                </c:pt>
                <c:pt idx="290">
                  <c:v>14.821</c:v>
                </c:pt>
                <c:pt idx="291">
                  <c:v>14.853</c:v>
                </c:pt>
                <c:pt idx="292">
                  <c:v>14.922000000000001</c:v>
                </c:pt>
                <c:pt idx="293">
                  <c:v>14.954000000000001</c:v>
                </c:pt>
                <c:pt idx="294">
                  <c:v>15.023</c:v>
                </c:pt>
                <c:pt idx="295">
                  <c:v>15.055</c:v>
                </c:pt>
                <c:pt idx="296">
                  <c:v>15.124000000000001</c:v>
                </c:pt>
                <c:pt idx="297">
                  <c:v>15.156000000000001</c:v>
                </c:pt>
                <c:pt idx="298">
                  <c:v>15.225</c:v>
                </c:pt>
                <c:pt idx="299">
                  <c:v>15.256</c:v>
                </c:pt>
                <c:pt idx="300">
                  <c:v>15.326000000000001</c:v>
                </c:pt>
                <c:pt idx="301">
                  <c:v>15.358000000000001</c:v>
                </c:pt>
                <c:pt idx="302">
                  <c:v>15.419</c:v>
                </c:pt>
                <c:pt idx="303">
                  <c:v>15.488</c:v>
                </c:pt>
                <c:pt idx="304">
                  <c:v>15.519</c:v>
                </c:pt>
                <c:pt idx="305">
                  <c:v>15.589</c:v>
                </c:pt>
                <c:pt idx="306">
                  <c:v>15.621</c:v>
                </c:pt>
                <c:pt idx="307">
                  <c:v>15.69</c:v>
                </c:pt>
                <c:pt idx="308">
                  <c:v>15.721</c:v>
                </c:pt>
                <c:pt idx="309">
                  <c:v>15.791</c:v>
                </c:pt>
                <c:pt idx="310">
                  <c:v>15.823</c:v>
                </c:pt>
                <c:pt idx="311">
                  <c:v>15.891999999999999</c:v>
                </c:pt>
                <c:pt idx="312">
                  <c:v>15.923999999999999</c:v>
                </c:pt>
                <c:pt idx="313">
                  <c:v>15.993</c:v>
                </c:pt>
                <c:pt idx="314">
                  <c:v>16.024999999999999</c:v>
                </c:pt>
                <c:pt idx="315">
                  <c:v>16.094000000000001</c:v>
                </c:pt>
                <c:pt idx="316">
                  <c:v>16.126000000000001</c:v>
                </c:pt>
                <c:pt idx="317">
                  <c:v>16.195</c:v>
                </c:pt>
                <c:pt idx="318">
                  <c:v>16.227</c:v>
                </c:pt>
                <c:pt idx="319">
                  <c:v>16.295999999999999</c:v>
                </c:pt>
                <c:pt idx="320">
                  <c:v>16.327000000000002</c:v>
                </c:pt>
                <c:pt idx="321">
                  <c:v>16.396999999999998</c:v>
                </c:pt>
                <c:pt idx="322">
                  <c:v>16.428999999999998</c:v>
                </c:pt>
                <c:pt idx="323">
                  <c:v>16.489000000000001</c:v>
                </c:pt>
                <c:pt idx="324">
                  <c:v>16.558</c:v>
                </c:pt>
                <c:pt idx="325">
                  <c:v>16.588999999999999</c:v>
                </c:pt>
                <c:pt idx="326">
                  <c:v>16.658999999999999</c:v>
                </c:pt>
                <c:pt idx="327">
                  <c:v>16.690999999999999</c:v>
                </c:pt>
                <c:pt idx="328">
                  <c:v>16.760000000000002</c:v>
                </c:pt>
                <c:pt idx="329">
                  <c:v>16.791</c:v>
                </c:pt>
                <c:pt idx="330">
                  <c:v>16.861000000000001</c:v>
                </c:pt>
                <c:pt idx="331">
                  <c:v>16.893000000000001</c:v>
                </c:pt>
                <c:pt idx="332">
                  <c:v>16.962</c:v>
                </c:pt>
                <c:pt idx="333">
                  <c:v>16.992999999999999</c:v>
                </c:pt>
                <c:pt idx="334">
                  <c:v>17.062999999999999</c:v>
                </c:pt>
                <c:pt idx="335">
                  <c:v>17.094999999999999</c:v>
                </c:pt>
                <c:pt idx="336">
                  <c:v>17.164000000000001</c:v>
                </c:pt>
                <c:pt idx="337">
                  <c:v>17.195</c:v>
                </c:pt>
                <c:pt idx="338">
                  <c:v>17.265000000000001</c:v>
                </c:pt>
                <c:pt idx="339">
                  <c:v>17.297000000000001</c:v>
                </c:pt>
                <c:pt idx="340">
                  <c:v>17.366</c:v>
                </c:pt>
                <c:pt idx="341">
                  <c:v>17.398</c:v>
                </c:pt>
                <c:pt idx="342">
                  <c:v>17.466999999999999</c:v>
                </c:pt>
                <c:pt idx="343">
                  <c:v>17.498999999999999</c:v>
                </c:pt>
                <c:pt idx="344">
                  <c:v>17.568000000000001</c:v>
                </c:pt>
                <c:pt idx="345">
                  <c:v>17.599</c:v>
                </c:pt>
                <c:pt idx="346">
                  <c:v>17.66</c:v>
                </c:pt>
                <c:pt idx="347">
                  <c:v>17.728999999999999</c:v>
                </c:pt>
                <c:pt idx="348">
                  <c:v>17.760999999999999</c:v>
                </c:pt>
                <c:pt idx="349">
                  <c:v>17.831</c:v>
                </c:pt>
                <c:pt idx="350">
                  <c:v>17.861000000000001</c:v>
                </c:pt>
                <c:pt idx="351">
                  <c:v>17.911000000000001</c:v>
                </c:pt>
                <c:pt idx="352">
                  <c:v>17.962</c:v>
                </c:pt>
                <c:pt idx="353">
                  <c:v>18.030999999999999</c:v>
                </c:pt>
                <c:pt idx="354">
                  <c:v>18.062999999999999</c:v>
                </c:pt>
                <c:pt idx="355">
                  <c:v>18.134</c:v>
                </c:pt>
                <c:pt idx="356">
                  <c:v>18.164999999999999</c:v>
                </c:pt>
                <c:pt idx="357">
                  <c:v>18.234000000000002</c:v>
                </c:pt>
                <c:pt idx="358">
                  <c:v>18.265999999999998</c:v>
                </c:pt>
                <c:pt idx="359">
                  <c:v>18.335000000000001</c:v>
                </c:pt>
                <c:pt idx="360">
                  <c:v>18.367000000000001</c:v>
                </c:pt>
                <c:pt idx="361">
                  <c:v>18.416</c:v>
                </c:pt>
                <c:pt idx="362">
                  <c:v>18.466000000000001</c:v>
                </c:pt>
                <c:pt idx="363">
                  <c:v>18.536000000000001</c:v>
                </c:pt>
                <c:pt idx="364">
                  <c:v>18.568000000000001</c:v>
                </c:pt>
                <c:pt idx="365">
                  <c:v>18.637</c:v>
                </c:pt>
                <c:pt idx="366">
                  <c:v>18.667999999999999</c:v>
                </c:pt>
                <c:pt idx="367">
                  <c:v>18.738</c:v>
                </c:pt>
                <c:pt idx="368">
                  <c:v>18.77</c:v>
                </c:pt>
                <c:pt idx="369">
                  <c:v>18.838999999999999</c:v>
                </c:pt>
                <c:pt idx="370">
                  <c:v>18.87</c:v>
                </c:pt>
                <c:pt idx="371">
                  <c:v>18.940000000000001</c:v>
                </c:pt>
                <c:pt idx="372">
                  <c:v>18.972000000000001</c:v>
                </c:pt>
                <c:pt idx="373">
                  <c:v>19.041</c:v>
                </c:pt>
                <c:pt idx="374">
                  <c:v>19.071999999999999</c:v>
                </c:pt>
                <c:pt idx="375">
                  <c:v>19.132000000000001</c:v>
                </c:pt>
                <c:pt idx="376">
                  <c:v>19.202000000000002</c:v>
                </c:pt>
                <c:pt idx="377">
                  <c:v>19.234000000000002</c:v>
                </c:pt>
                <c:pt idx="378">
                  <c:v>19.303000000000001</c:v>
                </c:pt>
                <c:pt idx="379">
                  <c:v>19.335000000000001</c:v>
                </c:pt>
                <c:pt idx="380">
                  <c:v>19.404</c:v>
                </c:pt>
                <c:pt idx="381">
                  <c:v>19.436</c:v>
                </c:pt>
                <c:pt idx="382">
                  <c:v>19.504999999999999</c:v>
                </c:pt>
                <c:pt idx="383">
                  <c:v>19.536999999999999</c:v>
                </c:pt>
                <c:pt idx="384">
                  <c:v>19.606000000000002</c:v>
                </c:pt>
                <c:pt idx="385">
                  <c:v>19.638000000000002</c:v>
                </c:pt>
                <c:pt idx="386">
                  <c:v>19.707000000000001</c:v>
                </c:pt>
                <c:pt idx="387">
                  <c:v>19.738</c:v>
                </c:pt>
                <c:pt idx="388">
                  <c:v>19.808</c:v>
                </c:pt>
                <c:pt idx="389">
                  <c:v>19.84</c:v>
                </c:pt>
                <c:pt idx="390">
                  <c:v>19.908999999999999</c:v>
                </c:pt>
                <c:pt idx="391">
                  <c:v>19.940000000000001</c:v>
                </c:pt>
                <c:pt idx="392">
                  <c:v>20.010000000000002</c:v>
                </c:pt>
                <c:pt idx="393">
                  <c:v>20.042000000000002</c:v>
                </c:pt>
                <c:pt idx="394">
                  <c:v>20.111000000000001</c:v>
                </c:pt>
                <c:pt idx="395">
                  <c:v>20.143000000000001</c:v>
                </c:pt>
                <c:pt idx="396">
                  <c:v>20.202000000000002</c:v>
                </c:pt>
                <c:pt idx="397">
                  <c:v>20.271999999999998</c:v>
                </c:pt>
                <c:pt idx="398">
                  <c:v>20.303999999999998</c:v>
                </c:pt>
                <c:pt idx="399">
                  <c:v>20.373000000000001</c:v>
                </c:pt>
                <c:pt idx="400">
                  <c:v>20.404</c:v>
                </c:pt>
                <c:pt idx="401">
                  <c:v>20.474</c:v>
                </c:pt>
                <c:pt idx="402">
                  <c:v>20.506</c:v>
                </c:pt>
                <c:pt idx="403">
                  <c:v>20.574999999999999</c:v>
                </c:pt>
                <c:pt idx="404">
                  <c:v>20.606000000000002</c:v>
                </c:pt>
                <c:pt idx="405">
                  <c:v>20.675999999999998</c:v>
                </c:pt>
                <c:pt idx="406">
                  <c:v>20.707999999999998</c:v>
                </c:pt>
              </c:numCache>
            </c:numRef>
          </c:xVal>
          <c:yVal>
            <c:numRef>
              <c:f>'Simple Data'!$E$2:$E$408</c:f>
              <c:numCache>
                <c:formatCode>General</c:formatCode>
                <c:ptCount val="407"/>
                <c:pt idx="0">
                  <c:v>80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90</c:v>
                </c:pt>
                <c:pt idx="95">
                  <c:v>95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90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95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90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95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80</c:v>
                </c:pt>
                <c:pt idx="176">
                  <c:v>85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95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95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95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90</c:v>
                </c:pt>
                <c:pt idx="278">
                  <c:v>80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80</c:v>
                </c:pt>
                <c:pt idx="283">
                  <c:v>80</c:v>
                </c:pt>
                <c:pt idx="284">
                  <c:v>80</c:v>
                </c:pt>
                <c:pt idx="285">
                  <c:v>80</c:v>
                </c:pt>
                <c:pt idx="286">
                  <c:v>80</c:v>
                </c:pt>
                <c:pt idx="287">
                  <c:v>80</c:v>
                </c:pt>
                <c:pt idx="288">
                  <c:v>80</c:v>
                </c:pt>
                <c:pt idx="289">
                  <c:v>80</c:v>
                </c:pt>
                <c:pt idx="290">
                  <c:v>80</c:v>
                </c:pt>
                <c:pt idx="291">
                  <c:v>80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80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80</c:v>
                </c:pt>
                <c:pt idx="319">
                  <c:v>80</c:v>
                </c:pt>
                <c:pt idx="320">
                  <c:v>80</c:v>
                </c:pt>
                <c:pt idx="321">
                  <c:v>80</c:v>
                </c:pt>
                <c:pt idx="322">
                  <c:v>80</c:v>
                </c:pt>
                <c:pt idx="323">
                  <c:v>85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85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85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95</c:v>
                </c:pt>
                <c:pt idx="383">
                  <c:v>85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90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</c:numCache>
            </c:numRef>
          </c:yVal>
          <c:smooth val="0"/>
        </c:ser>
        <c:ser>
          <c:idx val="2"/>
          <c:order val="2"/>
          <c:tx>
            <c:v>Reference Signal [mm]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Analysis!$M$9:$M$10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20.707999999999998</c:v>
                </c:pt>
              </c:numCache>
            </c:numRef>
          </c:xVal>
          <c:yVal>
            <c:numRef>
              <c:f>Analysis!$L$9:$L$10</c:f>
              <c:numCache>
                <c:formatCode>General</c:formatCode>
                <c:ptCount val="2"/>
                <c:pt idx="0">
                  <c:v>300</c:v>
                </c:pt>
                <c:pt idx="1">
                  <c:v>300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858752"/>
        <c:axId val="836867456"/>
      </c:scatterChart>
      <c:valAx>
        <c:axId val="836858752"/>
        <c:scaling>
          <c:orientation val="minMax"/>
          <c:max val="2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[ms]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867456"/>
        <c:crosses val="autoZero"/>
        <c:crossBetween val="midCat"/>
      </c:valAx>
      <c:valAx>
        <c:axId val="83686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858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93512214081121"/>
          <c:y val="0.12863329858299388"/>
          <c:w val="0.13496082185339264"/>
          <c:h val="8.82919877308256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6.3837688175528831E-2"/>
                  <c:y val="0.59646453068978522"/>
                </c:manualLayout>
              </c:layout>
              <c:numFmt formatCode="0.000000000000000000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Analysis!$C$2:$C$33</c:f>
              <c:numCache>
                <c:formatCode>0.000</c:formatCode>
                <c:ptCount val="32"/>
                <c:pt idx="0">
                  <c:v>0</c:v>
                </c:pt>
                <c:pt idx="1">
                  <c:v>0.03</c:v>
                </c:pt>
                <c:pt idx="2">
                  <c:v>9.0999999999999998E-2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0.29299999999999998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0.495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0.66600000000000004</c:v>
                </c:pt>
                <c:pt idx="14">
                  <c:v>0.69699999999999995</c:v>
                </c:pt>
                <c:pt idx="15">
                  <c:v>0.76700000000000002</c:v>
                </c:pt>
                <c:pt idx="16">
                  <c:v>0.79900000000000004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0.95899999999999996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1.3320000000000001</c:v>
                </c:pt>
                <c:pt idx="27">
                  <c:v>1.363</c:v>
                </c:pt>
                <c:pt idx="28">
                  <c:v>1.4330000000000001</c:v>
                </c:pt>
                <c:pt idx="29">
                  <c:v>1.4650000000000001</c:v>
                </c:pt>
                <c:pt idx="30">
                  <c:v>1.534</c:v>
                </c:pt>
                <c:pt idx="31">
                  <c:v>1.5660000000000001</c:v>
                </c:pt>
              </c:numCache>
            </c:numRef>
          </c:xVal>
          <c:yVal>
            <c:numRef>
              <c:f>Analysis!$D$2:$D$33</c:f>
              <c:numCache>
                <c:formatCode>0.000</c:formatCode>
                <c:ptCount val="32"/>
                <c:pt idx="0">
                  <c:v>0.159</c:v>
                </c:pt>
                <c:pt idx="1">
                  <c:v>0.159</c:v>
                </c:pt>
                <c:pt idx="2">
                  <c:v>0.161</c:v>
                </c:pt>
                <c:pt idx="3">
                  <c:v>0.161</c:v>
                </c:pt>
                <c:pt idx="4">
                  <c:v>0.161</c:v>
                </c:pt>
                <c:pt idx="5">
                  <c:v>0.16</c:v>
                </c:pt>
                <c:pt idx="6">
                  <c:v>0.16200000000000001</c:v>
                </c:pt>
                <c:pt idx="7">
                  <c:v>0.16200000000000001</c:v>
                </c:pt>
                <c:pt idx="8">
                  <c:v>0.161</c:v>
                </c:pt>
                <c:pt idx="9">
                  <c:v>0.161</c:v>
                </c:pt>
                <c:pt idx="10">
                  <c:v>0.16300000000000001</c:v>
                </c:pt>
                <c:pt idx="11">
                  <c:v>0.16300000000000001</c:v>
                </c:pt>
                <c:pt idx="12">
                  <c:v>0.161</c:v>
                </c:pt>
                <c:pt idx="13">
                  <c:v>0.16200000000000001</c:v>
                </c:pt>
                <c:pt idx="14">
                  <c:v>0.16300000000000001</c:v>
                </c:pt>
                <c:pt idx="15">
                  <c:v>0.16300000000000001</c:v>
                </c:pt>
                <c:pt idx="16">
                  <c:v>0.16200000000000001</c:v>
                </c:pt>
                <c:pt idx="17">
                  <c:v>0.16200000000000001</c:v>
                </c:pt>
                <c:pt idx="18">
                  <c:v>0.16200000000000001</c:v>
                </c:pt>
                <c:pt idx="19">
                  <c:v>0.16300000000000001</c:v>
                </c:pt>
                <c:pt idx="20">
                  <c:v>0.16400000000000001</c:v>
                </c:pt>
                <c:pt idx="21">
                  <c:v>0.16600000000000001</c:v>
                </c:pt>
                <c:pt idx="22">
                  <c:v>0.17199999999999999</c:v>
                </c:pt>
                <c:pt idx="23">
                  <c:v>0.17799999999999999</c:v>
                </c:pt>
                <c:pt idx="24">
                  <c:v>0.19</c:v>
                </c:pt>
                <c:pt idx="25">
                  <c:v>0.19400000000000001</c:v>
                </c:pt>
                <c:pt idx="26">
                  <c:v>0.20699999999999999</c:v>
                </c:pt>
                <c:pt idx="27">
                  <c:v>0.22</c:v>
                </c:pt>
                <c:pt idx="28">
                  <c:v>0.23599999999999999</c:v>
                </c:pt>
                <c:pt idx="29">
                  <c:v>0.245</c:v>
                </c:pt>
                <c:pt idx="30">
                  <c:v>0.26500000000000001</c:v>
                </c:pt>
                <c:pt idx="31">
                  <c:v>0.27700000000000002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856576"/>
        <c:axId val="836857120"/>
      </c:scatterChart>
      <c:valAx>
        <c:axId val="836856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[s]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857120"/>
        <c:crosses val="autoZero"/>
        <c:crossBetween val="midCat"/>
      </c:valAx>
      <c:valAx>
        <c:axId val="8368571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[m]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856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69218115829726E-2"/>
          <c:y val="1.9413185402173943E-2"/>
          <c:w val="0.9522276160960268"/>
          <c:h val="0.93632447395409202"/>
        </c:manualLayout>
      </c:layout>
      <c:scatterChart>
        <c:scatterStyle val="lineMarker"/>
        <c:varyColors val="0"/>
        <c:ser>
          <c:idx val="0"/>
          <c:order val="0"/>
          <c:tx>
            <c:strRef>
              <c:f>Analysis!$W$1</c:f>
              <c:strCache>
                <c:ptCount val="1"/>
                <c:pt idx="0">
                  <c:v>Distance [m]</c:v>
                </c:pt>
              </c:strCache>
            </c:strRef>
          </c:tx>
          <c:spPr>
            <a:ln w="158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Analysis!$V$2:$V$1568</c:f>
              <c:numCache>
                <c:formatCode>0.000</c:formatCode>
                <c:ptCount val="1567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  <c:pt idx="1502">
                  <c:v>1.502</c:v>
                </c:pt>
                <c:pt idx="1503">
                  <c:v>1.5029999999999999</c:v>
                </c:pt>
                <c:pt idx="1504">
                  <c:v>1.504</c:v>
                </c:pt>
                <c:pt idx="1505">
                  <c:v>1.5049999999999999</c:v>
                </c:pt>
                <c:pt idx="1506">
                  <c:v>1.506</c:v>
                </c:pt>
                <c:pt idx="1507">
                  <c:v>1.5069999999999999</c:v>
                </c:pt>
                <c:pt idx="1508">
                  <c:v>1.508</c:v>
                </c:pt>
                <c:pt idx="1509">
                  <c:v>1.5089999999999999</c:v>
                </c:pt>
                <c:pt idx="1510">
                  <c:v>1.51</c:v>
                </c:pt>
                <c:pt idx="1511">
                  <c:v>1.5109999999999999</c:v>
                </c:pt>
                <c:pt idx="1512">
                  <c:v>1.512</c:v>
                </c:pt>
                <c:pt idx="1513">
                  <c:v>1.5129999999999999</c:v>
                </c:pt>
                <c:pt idx="1514">
                  <c:v>1.514</c:v>
                </c:pt>
                <c:pt idx="1515">
                  <c:v>1.5149999999999999</c:v>
                </c:pt>
                <c:pt idx="1516">
                  <c:v>1.516</c:v>
                </c:pt>
                <c:pt idx="1517">
                  <c:v>1.5169999999999999</c:v>
                </c:pt>
                <c:pt idx="1518">
                  <c:v>1.518</c:v>
                </c:pt>
                <c:pt idx="1519">
                  <c:v>1.5189999999999999</c:v>
                </c:pt>
                <c:pt idx="1520">
                  <c:v>1.52</c:v>
                </c:pt>
                <c:pt idx="1521">
                  <c:v>1.5209999999999999</c:v>
                </c:pt>
                <c:pt idx="1522">
                  <c:v>1.522</c:v>
                </c:pt>
                <c:pt idx="1523">
                  <c:v>1.5229999999999999</c:v>
                </c:pt>
                <c:pt idx="1524">
                  <c:v>1.524</c:v>
                </c:pt>
                <c:pt idx="1525">
                  <c:v>1.5249999999999999</c:v>
                </c:pt>
                <c:pt idx="1526">
                  <c:v>1.526</c:v>
                </c:pt>
                <c:pt idx="1527">
                  <c:v>1.5269999999999999</c:v>
                </c:pt>
                <c:pt idx="1528">
                  <c:v>1.528</c:v>
                </c:pt>
                <c:pt idx="1529">
                  <c:v>1.5289999999999999</c:v>
                </c:pt>
                <c:pt idx="1530">
                  <c:v>1.53</c:v>
                </c:pt>
                <c:pt idx="1531">
                  <c:v>1.5309999999999999</c:v>
                </c:pt>
                <c:pt idx="1532">
                  <c:v>1.532</c:v>
                </c:pt>
                <c:pt idx="1533">
                  <c:v>1.5329999999999999</c:v>
                </c:pt>
                <c:pt idx="1534">
                  <c:v>1.534</c:v>
                </c:pt>
                <c:pt idx="1535">
                  <c:v>1.5349999999999999</c:v>
                </c:pt>
                <c:pt idx="1536">
                  <c:v>1.536</c:v>
                </c:pt>
                <c:pt idx="1537">
                  <c:v>1.5369999999999999</c:v>
                </c:pt>
                <c:pt idx="1538">
                  <c:v>1.538</c:v>
                </c:pt>
                <c:pt idx="1539">
                  <c:v>1.5389999999999999</c:v>
                </c:pt>
                <c:pt idx="1540">
                  <c:v>1.54</c:v>
                </c:pt>
                <c:pt idx="1541">
                  <c:v>1.5409999999999999</c:v>
                </c:pt>
                <c:pt idx="1542">
                  <c:v>1.542</c:v>
                </c:pt>
                <c:pt idx="1543">
                  <c:v>1.5429999999999999</c:v>
                </c:pt>
                <c:pt idx="1544">
                  <c:v>1.544</c:v>
                </c:pt>
                <c:pt idx="1545">
                  <c:v>1.5449999999999999</c:v>
                </c:pt>
                <c:pt idx="1546">
                  <c:v>1.546</c:v>
                </c:pt>
                <c:pt idx="1547">
                  <c:v>1.5469999999999999</c:v>
                </c:pt>
                <c:pt idx="1548">
                  <c:v>1.548</c:v>
                </c:pt>
                <c:pt idx="1549">
                  <c:v>1.5489999999999999</c:v>
                </c:pt>
                <c:pt idx="1550">
                  <c:v>1.55</c:v>
                </c:pt>
                <c:pt idx="1551">
                  <c:v>1.5509999999999999</c:v>
                </c:pt>
                <c:pt idx="1552">
                  <c:v>1.552</c:v>
                </c:pt>
                <c:pt idx="1553">
                  <c:v>1.5529999999999999</c:v>
                </c:pt>
                <c:pt idx="1554">
                  <c:v>1.554</c:v>
                </c:pt>
                <c:pt idx="1555">
                  <c:v>1.5549999999999999</c:v>
                </c:pt>
                <c:pt idx="1556">
                  <c:v>1.556</c:v>
                </c:pt>
                <c:pt idx="1557">
                  <c:v>1.5569999999999999</c:v>
                </c:pt>
                <c:pt idx="1558">
                  <c:v>1.5580000000000001</c:v>
                </c:pt>
                <c:pt idx="1559">
                  <c:v>1.5589999999999999</c:v>
                </c:pt>
                <c:pt idx="1560">
                  <c:v>1.56</c:v>
                </c:pt>
                <c:pt idx="1561">
                  <c:v>1.5609999999999999</c:v>
                </c:pt>
                <c:pt idx="1562">
                  <c:v>1.5620000000000001</c:v>
                </c:pt>
                <c:pt idx="1563">
                  <c:v>1.5629999999999999</c:v>
                </c:pt>
                <c:pt idx="1564">
                  <c:v>1.5640000000000001</c:v>
                </c:pt>
                <c:pt idx="1565">
                  <c:v>1.5649999999999999</c:v>
                </c:pt>
                <c:pt idx="1566">
                  <c:v>1.5660000000000001</c:v>
                </c:pt>
              </c:numCache>
            </c:numRef>
          </c:xVal>
          <c:yVal>
            <c:numRef>
              <c:f>Analysis!$W$2:$W$1568</c:f>
              <c:numCache>
                <c:formatCode>0.000</c:formatCode>
                <c:ptCount val="1567"/>
                <c:pt idx="0">
                  <c:v>0.158710616051081</c:v>
                </c:pt>
                <c:pt idx="1">
                  <c:v>0.15875015066921427</c:v>
                </c:pt>
                <c:pt idx="2">
                  <c:v>0.15878912950276536</c:v>
                </c:pt>
                <c:pt idx="3">
                  <c:v>0.15882755802039883</c:v>
                </c:pt>
                <c:pt idx="4">
                  <c:v>0.1588654416575436</c:v>
                </c:pt>
                <c:pt idx="5">
                  <c:v>0.15890278581650555</c:v>
                </c:pt>
                <c:pt idx="6">
                  <c:v>0.15893959586658041</c:v>
                </c:pt>
                <c:pt idx="7">
                  <c:v>0.15897587714416639</c:v>
                </c:pt>
                <c:pt idx="8">
                  <c:v>0.15901163495287648</c:v>
                </c:pt>
                <c:pt idx="9">
                  <c:v>0.15904687456365085</c:v>
                </c:pt>
                <c:pt idx="10">
                  <c:v>0.15908160121486875</c:v>
                </c:pt>
                <c:pt idx="11">
                  <c:v>0.15911582011246067</c:v>
                </c:pt>
                <c:pt idx="12">
                  <c:v>0.15914953643002</c:v>
                </c:pt>
                <c:pt idx="13">
                  <c:v>0.15918275530891463</c:v>
                </c:pt>
                <c:pt idx="14">
                  <c:v>0.15921548185839848</c:v>
                </c:pt>
                <c:pt idx="15">
                  <c:v>0.15924772115572275</c:v>
                </c:pt>
                <c:pt idx="16">
                  <c:v>0.15927947824624705</c:v>
                </c:pt>
                <c:pt idx="17">
                  <c:v>0.15931075814355042</c:v>
                </c:pt>
                <c:pt idx="18">
                  <c:v>0.15934156582954201</c:v>
                </c:pt>
                <c:pt idx="19">
                  <c:v>0.15937190625457198</c:v>
                </c:pt>
                <c:pt idx="20">
                  <c:v>0.15940178433754171</c:v>
                </c:pt>
                <c:pt idx="21">
                  <c:v>0.15943120496601434</c:v>
                </c:pt>
                <c:pt idx="22">
                  <c:v>0.15946017299632481</c:v>
                </c:pt>
                <c:pt idx="23">
                  <c:v>0.15948869325368992</c:v>
                </c:pt>
                <c:pt idx="24">
                  <c:v>0.15951677053231822</c:v>
                </c:pt>
                <c:pt idx="25">
                  <c:v>0.1595444095955196</c:v>
                </c:pt>
                <c:pt idx="26">
                  <c:v>0.15957161517581486</c:v>
                </c:pt>
                <c:pt idx="27">
                  <c:v>0.15959839197504511</c:v>
                </c:pt>
                <c:pt idx="28">
                  <c:v>0.1596247446644809</c:v>
                </c:pt>
                <c:pt idx="29">
                  <c:v>0.15965067788493134</c:v>
                </c:pt>
                <c:pt idx="30">
                  <c:v>0.15967619624685289</c:v>
                </c:pt>
                <c:pt idx="31">
                  <c:v>0.1597013043304582</c:v>
                </c:pt>
                <c:pt idx="32">
                  <c:v>0.15972600668582454</c:v>
                </c:pt>
                <c:pt idx="33">
                  <c:v>0.15975030783300229</c:v>
                </c:pt>
                <c:pt idx="34">
                  <c:v>0.1597742122621231</c:v>
                </c:pt>
                <c:pt idx="35">
                  <c:v>0.15979772443350809</c:v>
                </c:pt>
                <c:pt idx="36">
                  <c:v>0.15982084877777561</c:v>
                </c:pt>
                <c:pt idx="37">
                  <c:v>0.15984358969594911</c:v>
                </c:pt>
                <c:pt idx="38">
                  <c:v>0.15986595155956468</c:v>
                </c:pt>
                <c:pt idx="39">
                  <c:v>0.15988793871077847</c:v>
                </c:pt>
                <c:pt idx="40">
                  <c:v>0.15990955546247407</c:v>
                </c:pt>
                <c:pt idx="41">
                  <c:v>0.1599308060983694</c:v>
                </c:pt>
                <c:pt idx="42">
                  <c:v>0.15995169487312394</c:v>
                </c:pt>
                <c:pt idx="43">
                  <c:v>0.15997222601244526</c:v>
                </c:pt>
                <c:pt idx="44">
                  <c:v>0.15999240371319584</c:v>
                </c:pt>
                <c:pt idx="45">
                  <c:v>0.16001223214349938</c:v>
                </c:pt>
                <c:pt idx="46">
                  <c:v>0.16003171544284725</c:v>
                </c:pt>
                <c:pt idx="47">
                  <c:v>0.16005085772220454</c:v>
                </c:pt>
                <c:pt idx="48">
                  <c:v>0.16006966306411602</c:v>
                </c:pt>
                <c:pt idx="49">
                  <c:v>0.16008813552281212</c:v>
                </c:pt>
                <c:pt idx="50">
                  <c:v>0.16010627912431441</c:v>
                </c:pt>
                <c:pt idx="51">
                  <c:v>0.16012409786654117</c:v>
                </c:pt>
                <c:pt idx="52">
                  <c:v>0.16014159571941275</c:v>
                </c:pt>
                <c:pt idx="53">
                  <c:v>0.16015877662495673</c:v>
                </c:pt>
                <c:pt idx="54">
                  <c:v>0.16017564449741292</c:v>
                </c:pt>
                <c:pt idx="55">
                  <c:v>0.16019220322333833</c:v>
                </c:pt>
                <c:pt idx="56">
                  <c:v>0.1602084566617116</c:v>
                </c:pt>
                <c:pt idx="57">
                  <c:v>0.16022440864403786</c:v>
                </c:pt>
                <c:pt idx="58">
                  <c:v>0.16024006297445287</c:v>
                </c:pt>
                <c:pt idx="59">
                  <c:v>0.16025542342982735</c:v>
                </c:pt>
                <c:pt idx="60">
                  <c:v>0.16027049375987096</c:v>
                </c:pt>
                <c:pt idx="61">
                  <c:v>0.16028527768723624</c:v>
                </c:pt>
                <c:pt idx="62">
                  <c:v>0.16029977890762234</c:v>
                </c:pt>
                <c:pt idx="63">
                  <c:v>0.16031400108987856</c:v>
                </c:pt>
                <c:pt idx="64">
                  <c:v>0.16032794787610774</c:v>
                </c:pt>
                <c:pt idx="65">
                  <c:v>0.16034162288176962</c:v>
                </c:pt>
                <c:pt idx="66">
                  <c:v>0.16035502969578375</c:v>
                </c:pt>
                <c:pt idx="67">
                  <c:v>0.16036817188063257</c:v>
                </c:pt>
                <c:pt idx="68">
                  <c:v>0.16038105297246408</c:v>
                </c:pt>
                <c:pt idx="69">
                  <c:v>0.16039367648119449</c:v>
                </c:pt>
                <c:pt idx="70">
                  <c:v>0.16040604589061064</c:v>
                </c:pt>
                <c:pt idx="71">
                  <c:v>0.16041816465847233</c:v>
                </c:pt>
                <c:pt idx="72">
                  <c:v>0.16043003621661434</c:v>
                </c:pt>
                <c:pt idx="73">
                  <c:v>0.16044166397104845</c:v>
                </c:pt>
                <c:pt idx="74">
                  <c:v>0.1604530513020653</c:v>
                </c:pt>
                <c:pt idx="75">
                  <c:v>0.16046420156433588</c:v>
                </c:pt>
                <c:pt idx="76">
                  <c:v>0.1604751180870132</c:v>
                </c:pt>
                <c:pt idx="77">
                  <c:v>0.16048580417383335</c:v>
                </c:pt>
                <c:pt idx="78">
                  <c:v>0.16049626310321691</c:v>
                </c:pt>
                <c:pt idx="79">
                  <c:v>0.16050649812836978</c:v>
                </c:pt>
                <c:pt idx="80">
                  <c:v>0.16051651247738413</c:v>
                </c:pt>
                <c:pt idx="81">
                  <c:v>0.16052630935333889</c:v>
                </c:pt>
                <c:pt idx="82">
                  <c:v>0.16053589193440052</c:v>
                </c:pt>
                <c:pt idx="83">
                  <c:v>0.16054526337392308</c:v>
                </c:pt>
                <c:pt idx="84">
                  <c:v>0.16055442680054866</c:v>
                </c:pt>
                <c:pt idx="85">
                  <c:v>0.16056338531830719</c:v>
                </c:pt>
                <c:pt idx="86">
                  <c:v>0.16057214200671657</c:v>
                </c:pt>
                <c:pt idx="87">
                  <c:v>0.16058069992088211</c:v>
                </c:pt>
                <c:pt idx="88">
                  <c:v>0.16058906209159621</c:v>
                </c:pt>
                <c:pt idx="89">
                  <c:v>0.16059723152543773</c:v>
                </c:pt>
                <c:pt idx="90">
                  <c:v>0.1606052112048712</c:v>
                </c:pt>
                <c:pt idx="91">
                  <c:v>0.16061300408834592</c:v>
                </c:pt>
                <c:pt idx="92">
                  <c:v>0.1606206131103948</c:v>
                </c:pt>
                <c:pt idx="93">
                  <c:v>0.1606280411817331</c:v>
                </c:pt>
                <c:pt idx="94">
                  <c:v>0.1606352911893571</c:v>
                </c:pt>
                <c:pt idx="95">
                  <c:v>0.16064236599664239</c:v>
                </c:pt>
                <c:pt idx="96">
                  <c:v>0.16064926844344224</c:v>
                </c:pt>
                <c:pt idx="97">
                  <c:v>0.1606560013461856</c:v>
                </c:pt>
                <c:pt idx="98">
                  <c:v>0.16066256749797514</c:v>
                </c:pt>
                <c:pt idx="99">
                  <c:v>0.16066896966868491</c:v>
                </c:pt>
                <c:pt idx="100">
                  <c:v>0.16067521060505802</c:v>
                </c:pt>
                <c:pt idx="101">
                  <c:v>0.16068129303080414</c:v>
                </c:pt>
                <c:pt idx="102">
                  <c:v>0.16068721964669663</c:v>
                </c:pt>
                <c:pt idx="103">
                  <c:v>0.16069299313066987</c:v>
                </c:pt>
                <c:pt idx="104">
                  <c:v>0.16069861613791606</c:v>
                </c:pt>
                <c:pt idx="105">
                  <c:v>0.16070409130098212</c:v>
                </c:pt>
                <c:pt idx="106">
                  <c:v>0.16070942122986631</c:v>
                </c:pt>
                <c:pt idx="107">
                  <c:v>0.16071460851211478</c:v>
                </c:pt>
                <c:pt idx="108">
                  <c:v>0.16071965571291777</c:v>
                </c:pt>
                <c:pt idx="109">
                  <c:v>0.16072456537520585</c:v>
                </c:pt>
                <c:pt idx="110">
                  <c:v>0.16072934001974593</c:v>
                </c:pt>
                <c:pt idx="111">
                  <c:v>0.1607339821452371</c:v>
                </c:pt>
                <c:pt idx="112">
                  <c:v>0.16073849422840625</c:v>
                </c:pt>
                <c:pt idx="113">
                  <c:v>0.1607428787241037</c:v>
                </c:pt>
                <c:pt idx="114">
                  <c:v>0.16074713806539848</c:v>
                </c:pt>
                <c:pt idx="115">
                  <c:v>0.1607512746636735</c:v>
                </c:pt>
                <c:pt idx="116">
                  <c:v>0.16075529090872073</c:v>
                </c:pt>
                <c:pt idx="117">
                  <c:v>0.16075918916883589</c:v>
                </c:pt>
                <c:pt idx="118">
                  <c:v>0.16076297179091328</c:v>
                </c:pt>
                <c:pt idx="119">
                  <c:v>0.16076664110054031</c:v>
                </c:pt>
                <c:pt idx="120">
                  <c:v>0.16077019940209197</c:v>
                </c:pt>
                <c:pt idx="121">
                  <c:v>0.16077364897882487</c:v>
                </c:pt>
                <c:pt idx="122">
                  <c:v>0.16077699209297153</c:v>
                </c:pt>
                <c:pt idx="123">
                  <c:v>0.16078023098583408</c:v>
                </c:pt>
                <c:pt idx="124">
                  <c:v>0.16078336787787822</c:v>
                </c:pt>
                <c:pt idx="125">
                  <c:v>0.16078640496882665</c:v>
                </c:pt>
                <c:pt idx="126">
                  <c:v>0.16078934443775261</c:v>
                </c:pt>
                <c:pt idx="127">
                  <c:v>0.16079218844317306</c:v>
                </c:pt>
                <c:pt idx="128">
                  <c:v>0.1607949391231418</c:v>
                </c:pt>
                <c:pt idx="129">
                  <c:v>0.16079759859534246</c:v>
                </c:pt>
                <c:pt idx="130">
                  <c:v>0.16080016895718124</c:v>
                </c:pt>
                <c:pt idx="131">
                  <c:v>0.16080265228587956</c:v>
                </c:pt>
                <c:pt idx="132">
                  <c:v>0.16080505063856654</c:v>
                </c:pt>
                <c:pt idx="133">
                  <c:v>0.16080736605237125</c:v>
                </c:pt>
                <c:pt idx="134">
                  <c:v>0.16080960054451482</c:v>
                </c:pt>
                <c:pt idx="135">
                  <c:v>0.16081175611240259</c:v>
                </c:pt>
                <c:pt idx="136">
                  <c:v>0.16081383473371572</c:v>
                </c:pt>
                <c:pt idx="137">
                  <c:v>0.16081583836650296</c:v>
                </c:pt>
                <c:pt idx="138">
                  <c:v>0.16081776894927211</c:v>
                </c:pt>
                <c:pt idx="139">
                  <c:v>0.16081962840108141</c:v>
                </c:pt>
                <c:pt idx="140">
                  <c:v>0.16082141862163069</c:v>
                </c:pt>
                <c:pt idx="141">
                  <c:v>0.16082314149135224</c:v>
                </c:pt>
                <c:pt idx="142">
                  <c:v>0.16082479887150197</c:v>
                </c:pt>
                <c:pt idx="143">
                  <c:v>0.16082639260424977</c:v>
                </c:pt>
                <c:pt idx="144">
                  <c:v>0.16082792451277028</c:v>
                </c:pt>
                <c:pt idx="145">
                  <c:v>0.16082939640133312</c:v>
                </c:pt>
                <c:pt idx="146">
                  <c:v>0.16083081005539318</c:v>
                </c:pt>
                <c:pt idx="147">
                  <c:v>0.16083216724168065</c:v>
                </c:pt>
                <c:pt idx="148">
                  <c:v>0.16083346970829085</c:v>
                </c:pt>
                <c:pt idx="149">
                  <c:v>0.16083471918477399</c:v>
                </c:pt>
                <c:pt idx="150">
                  <c:v>0.16083591738222483</c:v>
                </c:pt>
                <c:pt idx="151">
                  <c:v>0.16083706599337189</c:v>
                </c:pt>
                <c:pt idx="152">
                  <c:v>0.16083816669266687</c:v>
                </c:pt>
                <c:pt idx="153">
                  <c:v>0.16083922113637364</c:v>
                </c:pt>
                <c:pt idx="154">
                  <c:v>0.16084023096265715</c:v>
                </c:pt>
                <c:pt idx="155">
                  <c:v>0.1608411977916723</c:v>
                </c:pt>
                <c:pt idx="156">
                  <c:v>0.16084212322565239</c:v>
                </c:pt>
                <c:pt idx="157">
                  <c:v>0.16084300884899766</c:v>
                </c:pt>
                <c:pt idx="158">
                  <c:v>0.1608438562283635</c:v>
                </c:pt>
                <c:pt idx="159">
                  <c:v>0.16084466691274862</c:v>
                </c:pt>
                <c:pt idx="160">
                  <c:v>0.16084544243358304</c:v>
                </c:pt>
                <c:pt idx="161">
                  <c:v>0.16084618430481576</c:v>
                </c:pt>
                <c:pt idx="162">
                  <c:v>0.16084689402300245</c:v>
                </c:pt>
                <c:pt idx="163">
                  <c:v>0.16084757306739303</c:v>
                </c:pt>
                <c:pt idx="164">
                  <c:v>0.16084822290001877</c:v>
                </c:pt>
                <c:pt idx="165">
                  <c:v>0.16084884496577961</c:v>
                </c:pt>
                <c:pt idx="166">
                  <c:v>0.16084944069253113</c:v>
                </c:pt>
                <c:pt idx="167">
                  <c:v>0.16085001149117126</c:v>
                </c:pt>
                <c:pt idx="168">
                  <c:v>0.16085055875572712</c:v>
                </c:pt>
                <c:pt idx="169">
                  <c:v>0.16085108386344135</c:v>
                </c:pt>
                <c:pt idx="170">
                  <c:v>0.16085158817485862</c:v>
                </c:pt>
                <c:pt idx="171">
                  <c:v>0.16085207303391169</c:v>
                </c:pt>
                <c:pt idx="172">
                  <c:v>0.16085253976800748</c:v>
                </c:pt>
                <c:pt idx="173">
                  <c:v>0.16085298968811293</c:v>
                </c:pt>
                <c:pt idx="174">
                  <c:v>0.16085342408884071</c:v>
                </c:pt>
                <c:pt idx="175">
                  <c:v>0.16085384424853477</c:v>
                </c:pt>
                <c:pt idx="176">
                  <c:v>0.16085425142935567</c:v>
                </c:pt>
                <c:pt idx="177">
                  <c:v>0.16085464687736584</c:v>
                </c:pt>
                <c:pt idx="178">
                  <c:v>0.16085503182261465</c:v>
                </c:pt>
                <c:pt idx="179">
                  <c:v>0.16085540747922328</c:v>
                </c:pt>
                <c:pt idx="180">
                  <c:v>0.16085577504546941</c:v>
                </c:pt>
                <c:pt idx="181">
                  <c:v>0.16085613570387192</c:v>
                </c:pt>
                <c:pt idx="182">
                  <c:v>0.16085649062127513</c:v>
                </c:pt>
                <c:pt idx="183">
                  <c:v>0.16085684094893329</c:v>
                </c:pt>
                <c:pt idx="184">
                  <c:v>0.16085718782259439</c:v>
                </c:pt>
                <c:pt idx="185">
                  <c:v>0.16085753236258435</c:v>
                </c:pt>
                <c:pt idx="186">
                  <c:v>0.16085787567389057</c:v>
                </c:pt>
                <c:pt idx="187">
                  <c:v>0.16085821884624571</c:v>
                </c:pt>
                <c:pt idx="188">
                  <c:v>0.16085856295421105</c:v>
                </c:pt>
                <c:pt idx="189">
                  <c:v>0.1608589090572598</c:v>
                </c:pt>
                <c:pt idx="190">
                  <c:v>0.16085925819986022</c:v>
                </c:pt>
                <c:pt idx="191">
                  <c:v>0.16085961141155858</c:v>
                </c:pt>
                <c:pt idx="192">
                  <c:v>0.16085996970706196</c:v>
                </c:pt>
                <c:pt idx="193">
                  <c:v>0.16086033408632094</c:v>
                </c:pt>
                <c:pt idx="194">
                  <c:v>0.16086070553461201</c:v>
                </c:pt>
                <c:pt idx="195">
                  <c:v>0.16086108502261995</c:v>
                </c:pt>
                <c:pt idx="196">
                  <c:v>0.16086147350651997</c:v>
                </c:pt>
                <c:pt idx="197">
                  <c:v>0.16086187192805965</c:v>
                </c:pt>
                <c:pt idx="198">
                  <c:v>0.16086228121464091</c:v>
                </c:pt>
                <c:pt idx="199">
                  <c:v>0.16086270227940161</c:v>
                </c:pt>
                <c:pt idx="200">
                  <c:v>0.16086313602129695</c:v>
                </c:pt>
                <c:pt idx="201">
                  <c:v>0.16086358332518111</c:v>
                </c:pt>
                <c:pt idx="202">
                  <c:v>0.16086404506188812</c:v>
                </c:pt>
                <c:pt idx="203">
                  <c:v>0.1608645220883132</c:v>
                </c:pt>
                <c:pt idx="204">
                  <c:v>0.16086501524749333</c:v>
                </c:pt>
                <c:pt idx="205">
                  <c:v>0.16086552536868823</c:v>
                </c:pt>
                <c:pt idx="206">
                  <c:v>0.16086605326746076</c:v>
                </c:pt>
                <c:pt idx="207">
                  <c:v>0.16086659974575732</c:v>
                </c:pt>
                <c:pt idx="208">
                  <c:v>0.16086716559198808</c:v>
                </c:pt>
                <c:pt idx="209">
                  <c:v>0.16086775158110717</c:v>
                </c:pt>
                <c:pt idx="210">
                  <c:v>0.16086835847469239</c:v>
                </c:pt>
                <c:pt idx="211">
                  <c:v>0.16086898702102506</c:v>
                </c:pt>
                <c:pt idx="212">
                  <c:v>0.16086963795516968</c:v>
                </c:pt>
                <c:pt idx="213">
                  <c:v>0.16087031199905311</c:v>
                </c:pt>
                <c:pt idx="214">
                  <c:v>0.16087100986154418</c:v>
                </c:pt>
                <c:pt idx="215">
                  <c:v>0.16087173223853246</c:v>
                </c:pt>
                <c:pt idx="216">
                  <c:v>0.16087247981300737</c:v>
                </c:pt>
                <c:pt idx="217">
                  <c:v>0.16087325325513702</c:v>
                </c:pt>
                <c:pt idx="218">
                  <c:v>0.16087405322234666</c:v>
                </c:pt>
                <c:pt idx="219">
                  <c:v>0.1608748803593972</c:v>
                </c:pt>
                <c:pt idx="220">
                  <c:v>0.16087573529846361</c:v>
                </c:pt>
                <c:pt idx="221">
                  <c:v>0.16087661865921291</c:v>
                </c:pt>
                <c:pt idx="222">
                  <c:v>0.16087753104888222</c:v>
                </c:pt>
                <c:pt idx="223">
                  <c:v>0.16087847306235659</c:v>
                </c:pt>
                <c:pt idx="224">
                  <c:v>0.16087944528224657</c:v>
                </c:pt>
                <c:pt idx="225">
                  <c:v>0.1608804482789658</c:v>
                </c:pt>
                <c:pt idx="226">
                  <c:v>0.16088148261080831</c:v>
                </c:pt>
                <c:pt idx="227">
                  <c:v>0.16088254882402561</c:v>
                </c:pt>
                <c:pt idx="228">
                  <c:v>0.16088364745290384</c:v>
                </c:pt>
                <c:pt idx="229">
                  <c:v>0.1608847790198405</c:v>
                </c:pt>
                <c:pt idx="230">
                  <c:v>0.1608859440354212</c:v>
                </c:pt>
                <c:pt idx="231">
                  <c:v>0.16088714299849616</c:v>
                </c:pt>
                <c:pt idx="232">
                  <c:v>0.16088837639625655</c:v>
                </c:pt>
                <c:pt idx="233">
                  <c:v>0.16088964470431083</c:v>
                </c:pt>
                <c:pt idx="234">
                  <c:v>0.16089094838676055</c:v>
                </c:pt>
                <c:pt idx="235">
                  <c:v>0.16089228789627649</c:v>
                </c:pt>
                <c:pt idx="236">
                  <c:v>0.16089366367417421</c:v>
                </c:pt>
                <c:pt idx="237">
                  <c:v>0.16089507615048965</c:v>
                </c:pt>
                <c:pt idx="238">
                  <c:v>0.16089652574405458</c:v>
                </c:pt>
                <c:pt idx="239">
                  <c:v>0.16089801286257177</c:v>
                </c:pt>
                <c:pt idx="240">
                  <c:v>0.16089953790269013</c:v>
                </c:pt>
                <c:pt idx="241">
                  <c:v>0.16090110125007959</c:v>
                </c:pt>
                <c:pt idx="242">
                  <c:v>0.16090270327950584</c:v>
                </c:pt>
                <c:pt idx="243">
                  <c:v>0.16090434435490494</c:v>
                </c:pt>
                <c:pt idx="244">
                  <c:v>0.16090602482945782</c:v>
                </c:pt>
                <c:pt idx="245">
                  <c:v>0.16090774504566438</c:v>
                </c:pt>
                <c:pt idx="246">
                  <c:v>0.16090950533541787</c:v>
                </c:pt>
                <c:pt idx="247">
                  <c:v>0.16091130602007853</c:v>
                </c:pt>
                <c:pt idx="248">
                  <c:v>0.1609131474105476</c:v>
                </c:pt>
                <c:pt idx="249">
                  <c:v>0.1609150298073409</c:v>
                </c:pt>
                <c:pt idx="250">
                  <c:v>0.16091695350066229</c:v>
                </c:pt>
                <c:pt idx="251">
                  <c:v>0.1609189187704769</c:v>
                </c:pt>
                <c:pt idx="252">
                  <c:v>0.16092092588658438</c:v>
                </c:pt>
                <c:pt idx="253">
                  <c:v>0.16092297510869186</c:v>
                </c:pt>
                <c:pt idx="254">
                  <c:v>0.16092506668648676</c:v>
                </c:pt>
                <c:pt idx="255">
                  <c:v>0.16092720085970943</c:v>
                </c:pt>
                <c:pt idx="256">
                  <c:v>0.1609293778582257</c:v>
                </c:pt>
                <c:pt idx="257">
                  <c:v>0.16093159790209918</c:v>
                </c:pt>
                <c:pt idx="258">
                  <c:v>0.16093386120166348</c:v>
                </c:pt>
                <c:pt idx="259">
                  <c:v>0.16093616795759416</c:v>
                </c:pt>
                <c:pt idx="260">
                  <c:v>0.16093851836098069</c:v>
                </c:pt>
                <c:pt idx="261">
                  <c:v>0.16094091259339807</c:v>
                </c:pt>
                <c:pt idx="262">
                  <c:v>0.16094335082697836</c:v>
                </c:pt>
                <c:pt idx="263">
                  <c:v>0.16094583322448214</c:v>
                </c:pt>
                <c:pt idx="264">
                  <c:v>0.16094835993936962</c:v>
                </c:pt>
                <c:pt idx="265">
                  <c:v>0.16095093111587175</c:v>
                </c:pt>
                <c:pt idx="266">
                  <c:v>0.16095354688906111</c:v>
                </c:pt>
                <c:pt idx="267">
                  <c:v>0.16095620738492261</c:v>
                </c:pt>
                <c:pt idx="268">
                  <c:v>0.16095891272042412</c:v>
                </c:pt>
                <c:pt idx="269">
                  <c:v>0.16096166300358683</c:v>
                </c:pt>
                <c:pt idx="270">
                  <c:v>0.16096445833355549</c:v>
                </c:pt>
                <c:pt idx="271">
                  <c:v>0.1609672988006686</c:v>
                </c:pt>
                <c:pt idx="272">
                  <c:v>0.16097018448652808</c:v>
                </c:pt>
                <c:pt idx="273">
                  <c:v>0.16097311546406942</c:v>
                </c:pt>
                <c:pt idx="274">
                  <c:v>0.16097609179763095</c:v>
                </c:pt>
                <c:pt idx="275">
                  <c:v>0.16097911354302341</c:v>
                </c:pt>
                <c:pt idx="276">
                  <c:v>0.16098218074759929</c:v>
                </c:pt>
                <c:pt idx="277">
                  <c:v>0.16098529345032186</c:v>
                </c:pt>
                <c:pt idx="278">
                  <c:v>0.16098845168183415</c:v>
                </c:pt>
                <c:pt idx="279">
                  <c:v>0.16099165546452779</c:v>
                </c:pt>
                <c:pt idx="280">
                  <c:v>0.16099490481261161</c:v>
                </c:pt>
                <c:pt idx="281">
                  <c:v>0.1609981997321801</c:v>
                </c:pt>
                <c:pt idx="282">
                  <c:v>0.16100154022128185</c:v>
                </c:pt>
                <c:pt idx="283">
                  <c:v>0.16100492626998752</c:v>
                </c:pt>
                <c:pt idx="284">
                  <c:v>0.16100835786045792</c:v>
                </c:pt>
                <c:pt idx="285">
                  <c:v>0.16101183496701194</c:v>
                </c:pt>
                <c:pt idx="286">
                  <c:v>0.16101535755619406</c:v>
                </c:pt>
                <c:pt idx="287">
                  <c:v>0.16101892558684194</c:v>
                </c:pt>
                <c:pt idx="288">
                  <c:v>0.16102253901015381</c:v>
                </c:pt>
                <c:pt idx="289">
                  <c:v>0.1610261977697556</c:v>
                </c:pt>
                <c:pt idx="290">
                  <c:v>0.16102990180176793</c:v>
                </c:pt>
                <c:pt idx="291">
                  <c:v>0.1610336510348731</c:v>
                </c:pt>
                <c:pt idx="292">
                  <c:v>0.16103744539038173</c:v>
                </c:pt>
                <c:pt idx="293">
                  <c:v>0.16104128478229929</c:v>
                </c:pt>
                <c:pt idx="294">
                  <c:v>0.16104516911739247</c:v>
                </c:pt>
                <c:pt idx="295">
                  <c:v>0.16104909829525546</c:v>
                </c:pt>
                <c:pt idx="296">
                  <c:v>0.16105307220837603</c:v>
                </c:pt>
                <c:pt idx="297">
                  <c:v>0.16105709074220134</c:v>
                </c:pt>
                <c:pt idx="298">
                  <c:v>0.16106115377520375</c:v>
                </c:pt>
                <c:pt idx="299">
                  <c:v>0.16106526117894635</c:v>
                </c:pt>
                <c:pt idx="300">
                  <c:v>0.16106941281814852</c:v>
                </c:pt>
                <c:pt idx="301">
                  <c:v>0.16107360855075092</c:v>
                </c:pt>
                <c:pt idx="302">
                  <c:v>0.16107784822798088</c:v>
                </c:pt>
                <c:pt idx="303">
                  <c:v>0.16108213169441718</c:v>
                </c:pt>
                <c:pt idx="304">
                  <c:v>0.16108645878805478</c:v>
                </c:pt>
                <c:pt idx="305">
                  <c:v>0.16109082934036956</c:v>
                </c:pt>
                <c:pt idx="306">
                  <c:v>0.16109524317638274</c:v>
                </c:pt>
                <c:pt idx="307">
                  <c:v>0.1610997001147251</c:v>
                </c:pt>
                <c:pt idx="308">
                  <c:v>0.1611041999677012</c:v>
                </c:pt>
                <c:pt idx="309">
                  <c:v>0.16110874254135329</c:v>
                </c:pt>
                <c:pt idx="310">
                  <c:v>0.16111332763552513</c:v>
                </c:pt>
                <c:pt idx="311">
                  <c:v>0.1611179550439257</c:v>
                </c:pt>
                <c:pt idx="312">
                  <c:v>0.16112262455419257</c:v>
                </c:pt>
                <c:pt idx="313">
                  <c:v>0.16112733594795539</c:v>
                </c:pt>
                <c:pt idx="314">
                  <c:v>0.16113208900089884</c:v>
                </c:pt>
                <c:pt idx="315">
                  <c:v>0.16113688348282587</c:v>
                </c:pt>
                <c:pt idx="316">
                  <c:v>0.16114171915772038</c:v>
                </c:pt>
                <c:pt idx="317">
                  <c:v>0.16114659578380994</c:v>
                </c:pt>
                <c:pt idx="318">
                  <c:v>0.16115151311362833</c:v>
                </c:pt>
                <c:pt idx="319">
                  <c:v>0.16115647089407792</c:v>
                </c:pt>
                <c:pt idx="320">
                  <c:v>0.16116146886649182</c:v>
                </c:pt>
                <c:pt idx="321">
                  <c:v>0.16116650676669597</c:v>
                </c:pt>
                <c:pt idx="322">
                  <c:v>0.16117158432507098</c:v>
                </c:pt>
                <c:pt idx="323">
                  <c:v>0.16117670126661382</c:v>
                </c:pt>
                <c:pt idx="324">
                  <c:v>0.16118185731099952</c:v>
                </c:pt>
                <c:pt idx="325">
                  <c:v>0.16118705217264231</c:v>
                </c:pt>
                <c:pt idx="326">
                  <c:v>0.16119228556075715</c:v>
                </c:pt>
                <c:pt idx="327">
                  <c:v>0.16119755717942058</c:v>
                </c:pt>
                <c:pt idx="328">
                  <c:v>0.16120286672763173</c:v>
                </c:pt>
                <c:pt idx="329">
                  <c:v>0.16120821389937304</c:v>
                </c:pt>
                <c:pt idx="330">
                  <c:v>0.16121359838367086</c:v>
                </c:pt>
                <c:pt idx="331">
                  <c:v>0.16121901986465592</c:v>
                </c:pt>
                <c:pt idx="332">
                  <c:v>0.16122447802162354</c:v>
                </c:pt>
                <c:pt idx="333">
                  <c:v>0.16122997252909371</c:v>
                </c:pt>
                <c:pt idx="334">
                  <c:v>0.16123550305687112</c:v>
                </c:pt>
                <c:pt idx="335">
                  <c:v>0.16124106927010495</c:v>
                </c:pt>
                <c:pt idx="336">
                  <c:v>0.16124667082934843</c:v>
                </c:pt>
                <c:pt idx="337">
                  <c:v>0.16125230739061822</c:v>
                </c:pt>
                <c:pt idx="338">
                  <c:v>0.16125797860545399</c:v>
                </c:pt>
                <c:pt idx="339">
                  <c:v>0.16126368412097727</c:v>
                </c:pt>
                <c:pt idx="340">
                  <c:v>0.16126942357995064</c:v>
                </c:pt>
                <c:pt idx="341">
                  <c:v>0.16127519662083634</c:v>
                </c:pt>
                <c:pt idx="342">
                  <c:v>0.16128100287785516</c:v>
                </c:pt>
                <c:pt idx="343">
                  <c:v>0.16128684198104482</c:v>
                </c:pt>
                <c:pt idx="344">
                  <c:v>0.16129271355631825</c:v>
                </c:pt>
                <c:pt idx="345">
                  <c:v>0.16129861722552183</c:v>
                </c:pt>
                <c:pt idx="346">
                  <c:v>0.16130455260649351</c:v>
                </c:pt>
                <c:pt idx="347">
                  <c:v>0.16131051931312046</c:v>
                </c:pt>
                <c:pt idx="348">
                  <c:v>0.16131651695539687</c:v>
                </c:pt>
                <c:pt idx="349">
                  <c:v>0.16132254513948149</c:v>
                </c:pt>
                <c:pt idx="350">
                  <c:v>0.16132860346775502</c:v>
                </c:pt>
                <c:pt idx="351">
                  <c:v>0.1613346915388772</c:v>
                </c:pt>
                <c:pt idx="352">
                  <c:v>0.16134080894784403</c:v>
                </c:pt>
                <c:pt idx="353">
                  <c:v>0.16134695528604451</c:v>
                </c:pt>
                <c:pt idx="354">
                  <c:v>0.16135313014131747</c:v>
                </c:pt>
                <c:pt idx="355">
                  <c:v>0.16135933309800807</c:v>
                </c:pt>
                <c:pt idx="356">
                  <c:v>0.16136556373702424</c:v>
                </c:pt>
                <c:pt idx="357">
                  <c:v>0.16137182163589286</c:v>
                </c:pt>
                <c:pt idx="358">
                  <c:v>0.16137810636881603</c:v>
                </c:pt>
                <c:pt idx="359">
                  <c:v>0.16138441750672669</c:v>
                </c:pt>
                <c:pt idx="360">
                  <c:v>0.16139075461734467</c:v>
                </c:pt>
                <c:pt idx="361">
                  <c:v>0.16139711726523215</c:v>
                </c:pt>
                <c:pt idx="362">
                  <c:v>0.16140350501184905</c:v>
                </c:pt>
                <c:pt idx="363">
                  <c:v>0.16140991741560845</c:v>
                </c:pt>
                <c:pt idx="364">
                  <c:v>0.16141635403193166</c:v>
                </c:pt>
                <c:pt idx="365">
                  <c:v>0.16142281441330303</c:v>
                </c:pt>
                <c:pt idx="366">
                  <c:v>0.16142929810932499</c:v>
                </c:pt>
                <c:pt idx="367">
                  <c:v>0.16143580466677254</c:v>
                </c:pt>
                <c:pt idx="368">
                  <c:v>0.16144233362964766</c:v>
                </c:pt>
                <c:pt idx="369">
                  <c:v>0.16144888453923378</c:v>
                </c:pt>
                <c:pt idx="370">
                  <c:v>0.16145545693414987</c:v>
                </c:pt>
                <c:pt idx="371">
                  <c:v>0.16146205035040437</c:v>
                </c:pt>
                <c:pt idx="372">
                  <c:v>0.1614686643214491</c:v>
                </c:pt>
                <c:pt idx="373">
                  <c:v>0.16147529837823291</c:v>
                </c:pt>
                <c:pt idx="374">
                  <c:v>0.16148195204925514</c:v>
                </c:pt>
                <c:pt idx="375">
                  <c:v>0.16148862486061899</c:v>
                </c:pt>
                <c:pt idx="376">
                  <c:v>0.1614953163360848</c:v>
                </c:pt>
                <c:pt idx="377">
                  <c:v>0.16150202599712291</c:v>
                </c:pt>
                <c:pt idx="378">
                  <c:v>0.16150875336296663</c:v>
                </c:pt>
                <c:pt idx="379">
                  <c:v>0.16151549795066494</c:v>
                </c:pt>
                <c:pt idx="380">
                  <c:v>0.161522259275135</c:v>
                </c:pt>
                <c:pt idx="381">
                  <c:v>0.16152903684921449</c:v>
                </c:pt>
                <c:pt idx="382">
                  <c:v>0.16153583018371398</c:v>
                </c:pt>
                <c:pt idx="383">
                  <c:v>0.16154263878746883</c:v>
                </c:pt>
                <c:pt idx="384">
                  <c:v>0.16154946216739113</c:v>
                </c:pt>
                <c:pt idx="385">
                  <c:v>0.16155629982852154</c:v>
                </c:pt>
                <c:pt idx="386">
                  <c:v>0.16156315127408066</c:v>
                </c:pt>
                <c:pt idx="387">
                  <c:v>0.16157001600552068</c:v>
                </c:pt>
                <c:pt idx="388">
                  <c:v>0.16157689352257645</c:v>
                </c:pt>
                <c:pt idx="389">
                  <c:v>0.16158378332331666</c:v>
                </c:pt>
                <c:pt idx="390">
                  <c:v>0.16159068490419481</c:v>
                </c:pt>
                <c:pt idx="391">
                  <c:v>0.16159759776009985</c:v>
                </c:pt>
                <c:pt idx="392">
                  <c:v>0.1616045213844069</c:v>
                </c:pt>
                <c:pt idx="393">
                  <c:v>0.16161145526902765</c:v>
                </c:pt>
                <c:pt idx="394">
                  <c:v>0.1616183989044607</c:v>
                </c:pt>
                <c:pt idx="395">
                  <c:v>0.16162535177984164</c:v>
                </c:pt>
                <c:pt idx="396">
                  <c:v>0.16163231338299303</c:v>
                </c:pt>
                <c:pt idx="397">
                  <c:v>0.16163928320047416</c:v>
                </c:pt>
                <c:pt idx="398">
                  <c:v>0.16164626071763083</c:v>
                </c:pt>
                <c:pt idx="399">
                  <c:v>0.16165324541864468</c:v>
                </c:pt>
                <c:pt idx="400">
                  <c:v>0.16166023678658251</c:v>
                </c:pt>
                <c:pt idx="401">
                  <c:v>0.16166723430344568</c:v>
                </c:pt>
                <c:pt idx="402">
                  <c:v>0.16167423745021881</c:v>
                </c:pt>
                <c:pt idx="403">
                  <c:v>0.16168124570691872</c:v>
                </c:pt>
                <c:pt idx="404">
                  <c:v>0.16168825855264324</c:v>
                </c:pt>
                <c:pt idx="405">
                  <c:v>0.16169527546561954</c:v>
                </c:pt>
                <c:pt idx="406">
                  <c:v>0.16170229592325266</c:v>
                </c:pt>
                <c:pt idx="407">
                  <c:v>0.16170931940217348</c:v>
                </c:pt>
                <c:pt idx="408">
                  <c:v>0.16171634537828705</c:v>
                </c:pt>
                <c:pt idx="409">
                  <c:v>0.16172337332682016</c:v>
                </c:pt>
                <c:pt idx="410">
                  <c:v>0.16173040272236924</c:v>
                </c:pt>
                <c:pt idx="411">
                  <c:v>0.16173743303894794</c:v>
                </c:pt>
                <c:pt idx="412">
                  <c:v>0.16174446375003437</c:v>
                </c:pt>
                <c:pt idx="413">
                  <c:v>0.16175149432861843</c:v>
                </c:pt>
                <c:pt idx="414">
                  <c:v>0.16175852424724887</c:v>
                </c:pt>
                <c:pt idx="415">
                  <c:v>0.16176555297808015</c:v>
                </c:pt>
                <c:pt idx="416">
                  <c:v>0.1617725799929193</c:v>
                </c:pt>
                <c:pt idx="417">
                  <c:v>0.16177960476327233</c:v>
                </c:pt>
                <c:pt idx="418">
                  <c:v>0.16178662676039082</c:v>
                </c:pt>
                <c:pt idx="419">
                  <c:v>0.16179364545531813</c:v>
                </c:pt>
                <c:pt idx="420">
                  <c:v>0.16180066031893545</c:v>
                </c:pt>
                <c:pt idx="421">
                  <c:v>0.16180767082200775</c:v>
                </c:pt>
                <c:pt idx="422">
                  <c:v>0.1618146764352297</c:v>
                </c:pt>
                <c:pt idx="423">
                  <c:v>0.16182167662927111</c:v>
                </c:pt>
                <c:pt idx="424">
                  <c:v>0.16182867087482244</c:v>
                </c:pt>
                <c:pt idx="425">
                  <c:v>0.16183565864264021</c:v>
                </c:pt>
                <c:pt idx="426">
                  <c:v>0.161842639403592</c:v>
                </c:pt>
                <c:pt idx="427">
                  <c:v>0.16184961262870146</c:v>
                </c:pt>
                <c:pt idx="428">
                  <c:v>0.16185657778919318</c:v>
                </c:pt>
                <c:pt idx="429">
                  <c:v>0.16186353435653725</c:v>
                </c:pt>
                <c:pt idx="430">
                  <c:v>0.16187048180249392</c:v>
                </c:pt>
                <c:pt idx="431">
                  <c:v>0.16187741959915763</c:v>
                </c:pt>
                <c:pt idx="432">
                  <c:v>0.16188434721900158</c:v>
                </c:pt>
                <c:pt idx="433">
                  <c:v>0.16189126413492144</c:v>
                </c:pt>
                <c:pt idx="434">
                  <c:v>0.16189816982027924</c:v>
                </c:pt>
                <c:pt idx="435">
                  <c:v>0.16190506374894723</c:v>
                </c:pt>
                <c:pt idx="436">
                  <c:v>0.1619119453953512</c:v>
                </c:pt>
                <c:pt idx="437">
                  <c:v>0.16191881423451399</c:v>
                </c:pt>
                <c:pt idx="438">
                  <c:v>0.1619256697420986</c:v>
                </c:pt>
                <c:pt idx="439">
                  <c:v>0.16193251139445128</c:v>
                </c:pt>
                <c:pt idx="440">
                  <c:v>0.16193933866864443</c:v>
                </c:pt>
                <c:pt idx="441">
                  <c:v>0.16194615104251933</c:v>
                </c:pt>
                <c:pt idx="442">
                  <c:v>0.16195294799472859</c:v>
                </c:pt>
                <c:pt idx="443">
                  <c:v>0.16195972900477879</c:v>
                </c:pt>
                <c:pt idx="444">
                  <c:v>0.16196649355307233</c:v>
                </c:pt>
                <c:pt idx="445">
                  <c:v>0.16197324112094996</c:v>
                </c:pt>
                <c:pt idx="446">
                  <c:v>0.16197997119073243</c:v>
                </c:pt>
                <c:pt idx="447">
                  <c:v>0.16198668324576218</c:v>
                </c:pt>
                <c:pt idx="448">
                  <c:v>0.16199337677044523</c:v>
                </c:pt>
                <c:pt idx="449">
                  <c:v>0.16200005125029232</c:v>
                </c:pt>
                <c:pt idx="450">
                  <c:v>0.16200670617196039</c:v>
                </c:pt>
                <c:pt idx="451">
                  <c:v>0.16201334102329348</c:v>
                </c:pt>
                <c:pt idx="452">
                  <c:v>0.16201995529336397</c:v>
                </c:pt>
                <c:pt idx="453">
                  <c:v>0.16202654847251308</c:v>
                </c:pt>
                <c:pt idx="454">
                  <c:v>0.1620331200523917</c:v>
                </c:pt>
                <c:pt idx="455">
                  <c:v>0.1620396695260008</c:v>
                </c:pt>
                <c:pt idx="456">
                  <c:v>0.16204619638773168</c:v>
                </c:pt>
                <c:pt idx="457">
                  <c:v>0.1620527001334062</c:v>
                </c:pt>
                <c:pt idx="458">
                  <c:v>0.16205918026031674</c:v>
                </c:pt>
                <c:pt idx="459">
                  <c:v>0.16206563626726594</c:v>
                </c:pt>
                <c:pt idx="460">
                  <c:v>0.16207206765460658</c:v>
                </c:pt>
                <c:pt idx="461">
                  <c:v>0.16207847392428082</c:v>
                </c:pt>
                <c:pt idx="462">
                  <c:v>0.16208485457985974</c:v>
                </c:pt>
                <c:pt idx="463">
                  <c:v>0.16209120912658243</c:v>
                </c:pt>
                <c:pt idx="464">
                  <c:v>0.16209753707139501</c:v>
                </c:pt>
                <c:pt idx="465">
                  <c:v>0.16210383792298952</c:v>
                </c:pt>
                <c:pt idx="466">
                  <c:v>0.16211011119184268</c:v>
                </c:pt>
                <c:pt idx="467">
                  <c:v>0.16211635639025421</c:v>
                </c:pt>
                <c:pt idx="468">
                  <c:v>0.16212257303238548</c:v>
                </c:pt>
                <c:pt idx="469">
                  <c:v>0.16212876063429754</c:v>
                </c:pt>
                <c:pt idx="470">
                  <c:v>0.16213491871398925</c:v>
                </c:pt>
                <c:pt idx="471">
                  <c:v>0.16214104679143515</c:v>
                </c:pt>
                <c:pt idx="472">
                  <c:v>0.16214714438862321</c:v>
                </c:pt>
                <c:pt idx="473">
                  <c:v>0.16215321102959238</c:v>
                </c:pt>
                <c:pt idx="474">
                  <c:v>0.16215924624047001</c:v>
                </c:pt>
                <c:pt idx="475">
                  <c:v>0.16216524954950912</c:v>
                </c:pt>
                <c:pt idx="476">
                  <c:v>0.16217122048712546</c:v>
                </c:pt>
                <c:pt idx="477">
                  <c:v>0.16217715858593446</c:v>
                </c:pt>
                <c:pt idx="478">
                  <c:v>0.16218306338078792</c:v>
                </c:pt>
                <c:pt idx="479">
                  <c:v>0.1621889344088108</c:v>
                </c:pt>
                <c:pt idx="480">
                  <c:v>0.16219477120943743</c:v>
                </c:pt>
                <c:pt idx="481">
                  <c:v>0.16220057332444801</c:v>
                </c:pt>
                <c:pt idx="482">
                  <c:v>0.16220634029800457</c:v>
                </c:pt>
                <c:pt idx="483">
                  <c:v>0.162212071676687</c:v>
                </c:pt>
                <c:pt idx="484">
                  <c:v>0.16221776700952886</c:v>
                </c:pt>
                <c:pt idx="485">
                  <c:v>0.16222342584805302</c:v>
                </c:pt>
                <c:pt idx="486">
                  <c:v>0.16222904774630714</c:v>
                </c:pt>
                <c:pt idx="487">
                  <c:v>0.16223463226089893</c:v>
                </c:pt>
                <c:pt idx="488">
                  <c:v>0.16224017895103135</c:v>
                </c:pt>
                <c:pt idx="489">
                  <c:v>0.1622456873785377</c:v>
                </c:pt>
                <c:pt idx="490">
                  <c:v>0.16225115710791621</c:v>
                </c:pt>
                <c:pt idx="491">
                  <c:v>0.162256587706365</c:v>
                </c:pt>
                <c:pt idx="492">
                  <c:v>0.1622619787438164</c:v>
                </c:pt>
                <c:pt idx="493">
                  <c:v>0.1622673297929714</c:v>
                </c:pt>
                <c:pt idx="494">
                  <c:v>0.16227264042933376</c:v>
                </c:pt>
                <c:pt idx="495">
                  <c:v>0.16227791023124413</c:v>
                </c:pt>
                <c:pt idx="496">
                  <c:v>0.16228313877991388</c:v>
                </c:pt>
                <c:pt idx="497">
                  <c:v>0.16228832565945872</c:v>
                </c:pt>
                <c:pt idx="498">
                  <c:v>0.16229347045693246</c:v>
                </c:pt>
                <c:pt idx="499">
                  <c:v>0.16229857276236015</c:v>
                </c:pt>
                <c:pt idx="500">
                  <c:v>0.1623036321687715</c:v>
                </c:pt>
                <c:pt idx="501">
                  <c:v>0.16230864827223385</c:v>
                </c:pt>
                <c:pt idx="502">
                  <c:v>0.16231362067188504</c:v>
                </c:pt>
                <c:pt idx="503">
                  <c:v>0.16231854896996634</c:v>
                </c:pt>
                <c:pt idx="504">
                  <c:v>0.16232343277185471</c:v>
                </c:pt>
                <c:pt idx="505">
                  <c:v>0.16232827168609557</c:v>
                </c:pt>
                <c:pt idx="506">
                  <c:v>0.16233306532443487</c:v>
                </c:pt>
                <c:pt idx="507">
                  <c:v>0.1623378133018511</c:v>
                </c:pt>
                <c:pt idx="508">
                  <c:v>0.16234251523658746</c:v>
                </c:pt>
                <c:pt idx="509">
                  <c:v>0.16234717075018348</c:v>
                </c:pt>
                <c:pt idx="510">
                  <c:v>0.1623517794675067</c:v>
                </c:pt>
                <c:pt idx="511">
                  <c:v>0.16235634101678409</c:v>
                </c:pt>
                <c:pt idx="512">
                  <c:v>0.16236085502963338</c:v>
                </c:pt>
                <c:pt idx="513">
                  <c:v>0.16236532114109409</c:v>
                </c:pt>
                <c:pt idx="514">
                  <c:v>0.16236973898965862</c:v>
                </c:pt>
                <c:pt idx="515">
                  <c:v>0.16237410821730314</c:v>
                </c:pt>
                <c:pt idx="516">
                  <c:v>0.16237842846951789</c:v>
                </c:pt>
                <c:pt idx="517">
                  <c:v>0.16238269939533814</c:v>
                </c:pt>
                <c:pt idx="518">
                  <c:v>0.16238692064737414</c:v>
                </c:pt>
                <c:pt idx="519">
                  <c:v>0.16239109188184148</c:v>
                </c:pt>
                <c:pt idx="520">
                  <c:v>0.16239521275859092</c:v>
                </c:pt>
                <c:pt idx="521">
                  <c:v>0.16239928294113862</c:v>
                </c:pt>
                <c:pt idx="522">
                  <c:v>0.16240330209669537</c:v>
                </c:pt>
                <c:pt idx="523">
                  <c:v>0.16240726989619628</c:v>
                </c:pt>
                <c:pt idx="524">
                  <c:v>0.16241118601433024</c:v>
                </c:pt>
                <c:pt idx="525">
                  <c:v>0.16241505012956917</c:v>
                </c:pt>
                <c:pt idx="526">
                  <c:v>0.16241886192419663</c:v>
                </c:pt>
                <c:pt idx="527">
                  <c:v>0.16242262108433736</c:v>
                </c:pt>
                <c:pt idx="528">
                  <c:v>0.16242632729998541</c:v>
                </c:pt>
                <c:pt idx="529">
                  <c:v>0.16242998026503302</c:v>
                </c:pt>
                <c:pt idx="530">
                  <c:v>0.16243357967729896</c:v>
                </c:pt>
                <c:pt idx="531">
                  <c:v>0.16243712523855666</c:v>
                </c:pt>
                <c:pt idx="532">
                  <c:v>0.1624406166545625</c:v>
                </c:pt>
                <c:pt idx="533">
                  <c:v>0.16244405363508341</c:v>
                </c:pt>
                <c:pt idx="534">
                  <c:v>0.16244743589392494</c:v>
                </c:pt>
                <c:pt idx="535">
                  <c:v>0.16245076314895865</c:v>
                </c:pt>
                <c:pt idx="536">
                  <c:v>0.16245403512214962</c:v>
                </c:pt>
                <c:pt idx="537">
                  <c:v>0.16245725153958368</c:v>
                </c:pt>
                <c:pt idx="538">
                  <c:v>0.16246041213149462</c:v>
                </c:pt>
                <c:pt idx="539">
                  <c:v>0.16246351663229092</c:v>
                </c:pt>
                <c:pt idx="540">
                  <c:v>0.1624665647805828</c:v>
                </c:pt>
                <c:pt idx="541">
                  <c:v>0.1624695563192087</c:v>
                </c:pt>
                <c:pt idx="542">
                  <c:v>0.1624724909952617</c:v>
                </c:pt>
                <c:pt idx="543">
                  <c:v>0.16247536856011596</c:v>
                </c:pt>
                <c:pt idx="544">
                  <c:v>0.1624781887694528</c:v>
                </c:pt>
                <c:pt idx="545">
                  <c:v>0.16248095138328664</c:v>
                </c:pt>
                <c:pt idx="546">
                  <c:v>0.16248365616599081</c:v>
                </c:pt>
                <c:pt idx="547">
                  <c:v>0.1624863028863234</c:v>
                </c:pt>
                <c:pt idx="548">
                  <c:v>0.16248889131745248</c:v>
                </c:pt>
                <c:pt idx="549">
                  <c:v>0.16249142123698165</c:v>
                </c:pt>
                <c:pt idx="550">
                  <c:v>0.16249389242697515</c:v>
                </c:pt>
                <c:pt idx="551">
                  <c:v>0.16249630467398277</c:v>
                </c:pt>
                <c:pt idx="552">
                  <c:v>0.16249865776906491</c:v>
                </c:pt>
                <c:pt idx="553">
                  <c:v>0.16250095150781715</c:v>
                </c:pt>
                <c:pt idx="554">
                  <c:v>0.16250318569039474</c:v>
                </c:pt>
                <c:pt idx="555">
                  <c:v>0.16250536012153716</c:v>
                </c:pt>
                <c:pt idx="556">
                  <c:v>0.16250747461059206</c:v>
                </c:pt>
                <c:pt idx="557">
                  <c:v>0.16250952897153956</c:v>
                </c:pt>
                <c:pt idx="558">
                  <c:v>0.16251152302301591</c:v>
                </c:pt>
                <c:pt idx="559">
                  <c:v>0.16251345658833757</c:v>
                </c:pt>
                <c:pt idx="560">
                  <c:v>0.16251532949552433</c:v>
                </c:pt>
                <c:pt idx="561">
                  <c:v>0.16251714157732297</c:v>
                </c:pt>
                <c:pt idx="562">
                  <c:v>0.1625188926712306</c:v>
                </c:pt>
                <c:pt idx="563">
                  <c:v>0.1625205826195176</c:v>
                </c:pt>
                <c:pt idx="564">
                  <c:v>0.16252221126925034</c:v>
                </c:pt>
                <c:pt idx="565">
                  <c:v>0.16252377847231453</c:v>
                </c:pt>
                <c:pt idx="566">
                  <c:v>0.16252528408543709</c:v>
                </c:pt>
                <c:pt idx="567">
                  <c:v>0.16252672797020923</c:v>
                </c:pt>
                <c:pt idx="568">
                  <c:v>0.16252810999310829</c:v>
                </c:pt>
                <c:pt idx="569">
                  <c:v>0.16252943002552014</c:v>
                </c:pt>
                <c:pt idx="570">
                  <c:v>0.16253068794376097</c:v>
                </c:pt>
                <c:pt idx="571">
                  <c:v>0.16253188362909912</c:v>
                </c:pt>
                <c:pt idx="572">
                  <c:v>0.16253301696777681</c:v>
                </c:pt>
                <c:pt idx="573">
                  <c:v>0.16253408785103138</c:v>
                </c:pt>
                <c:pt idx="574">
                  <c:v>0.16253509617511702</c:v>
                </c:pt>
                <c:pt idx="575">
                  <c:v>0.16253604184132545</c:v>
                </c:pt>
                <c:pt idx="576">
                  <c:v>0.16253692475600723</c:v>
                </c:pt>
                <c:pt idx="577">
                  <c:v>0.16253774483059247</c:v>
                </c:pt>
                <c:pt idx="578">
                  <c:v>0.16253850198161154</c:v>
                </c:pt>
                <c:pt idx="579">
                  <c:v>0.16253919613071555</c:v>
                </c:pt>
                <c:pt idx="580">
                  <c:v>0.16253982720469665</c:v>
                </c:pt>
                <c:pt idx="581">
                  <c:v>0.16254039513550844</c:v>
                </c:pt>
                <c:pt idx="582">
                  <c:v>0.16254089986028564</c:v>
                </c:pt>
                <c:pt idx="583">
                  <c:v>0.16254134132136425</c:v>
                </c:pt>
                <c:pt idx="584">
                  <c:v>0.16254171946630117</c:v>
                </c:pt>
                <c:pt idx="585">
                  <c:v>0.16254203424789365</c:v>
                </c:pt>
                <c:pt idx="586">
                  <c:v>0.16254228562419881</c:v>
                </c:pt>
                <c:pt idx="587">
                  <c:v>0.16254247355855289</c:v>
                </c:pt>
                <c:pt idx="588">
                  <c:v>0.16254259801958992</c:v>
                </c:pt>
                <c:pt idx="589">
                  <c:v>0.16254265898126122</c:v>
                </c:pt>
                <c:pt idx="590">
                  <c:v>0.16254265642285376</c:v>
                </c:pt>
                <c:pt idx="591">
                  <c:v>0.16254259032900872</c:v>
                </c:pt>
                <c:pt idx="592">
                  <c:v>0.16254246068974015</c:v>
                </c:pt>
                <c:pt idx="593">
                  <c:v>0.16254226750045289</c:v>
                </c:pt>
                <c:pt idx="594">
                  <c:v>0.16254201076196106</c:v>
                </c:pt>
                <c:pt idx="595">
                  <c:v>0.16254169048050568</c:v>
                </c:pt>
                <c:pt idx="596">
                  <c:v>0.16254130666777247</c:v>
                </c:pt>
                <c:pt idx="597">
                  <c:v>0.16254085934090975</c:v>
                </c:pt>
                <c:pt idx="598">
                  <c:v>0.16254034852254548</c:v>
                </c:pt>
                <c:pt idx="599">
                  <c:v>0.16253977424080482</c:v>
                </c:pt>
                <c:pt idx="600">
                  <c:v>0.1625391365293273</c:v>
                </c:pt>
                <c:pt idx="601">
                  <c:v>0.16253843542728347</c:v>
                </c:pt>
                <c:pt idx="602">
                  <c:v>0.16253767097939209</c:v>
                </c:pt>
                <c:pt idx="603">
                  <c:v>0.16253684323593651</c:v>
                </c:pt>
                <c:pt idx="604">
                  <c:v>0.16253595225278128</c:v>
                </c:pt>
                <c:pt idx="605">
                  <c:v>0.16253499809138847</c:v>
                </c:pt>
                <c:pt idx="606">
                  <c:v>0.16253398081883369</c:v>
                </c:pt>
                <c:pt idx="607">
                  <c:v>0.16253290050782235</c:v>
                </c:pt>
                <c:pt idx="608">
                  <c:v>0.16253175723670524</c:v>
                </c:pt>
                <c:pt idx="609">
                  <c:v>0.16253055108949438</c:v>
                </c:pt>
                <c:pt idx="610">
                  <c:v>0.16252928215587853</c:v>
                </c:pt>
                <c:pt idx="611">
                  <c:v>0.16252795053123839</c:v>
                </c:pt>
                <c:pt idx="612">
                  <c:v>0.16252655631666202</c:v>
                </c:pt>
                <c:pt idx="613">
                  <c:v>0.16252509961895967</c:v>
                </c:pt>
                <c:pt idx="614">
                  <c:v>0.16252358055067884</c:v>
                </c:pt>
                <c:pt idx="615">
                  <c:v>0.16252199923011884</c:v>
                </c:pt>
                <c:pt idx="616">
                  <c:v>0.16252035578134544</c:v>
                </c:pt>
                <c:pt idx="617">
                  <c:v>0.16251865033420529</c:v>
                </c:pt>
                <c:pt idx="618">
                  <c:v>0.16251688302433998</c:v>
                </c:pt>
                <c:pt idx="619">
                  <c:v>0.16251505399320032</c:v>
                </c:pt>
                <c:pt idx="620">
                  <c:v>0.16251316338806004</c:v>
                </c:pt>
                <c:pt idx="621">
                  <c:v>0.16251121136202978</c:v>
                </c:pt>
                <c:pt idx="622">
                  <c:v>0.16250919807407049</c:v>
                </c:pt>
                <c:pt idx="623">
                  <c:v>0.16250712368900694</c:v>
                </c:pt>
                <c:pt idx="624">
                  <c:v>0.16250498837754093</c:v>
                </c:pt>
                <c:pt idx="625">
                  <c:v>0.16250279231626438</c:v>
                </c:pt>
                <c:pt idx="626">
                  <c:v>0.16250053568767242</c:v>
                </c:pt>
                <c:pt idx="627">
                  <c:v>0.16249821868017611</c:v>
                </c:pt>
                <c:pt idx="628">
                  <c:v>0.16249584148811486</c:v>
                </c:pt>
                <c:pt idx="629">
                  <c:v>0.16249340431176906</c:v>
                </c:pt>
                <c:pt idx="630">
                  <c:v>0.16249090735737265</c:v>
                </c:pt>
                <c:pt idx="631">
                  <c:v>0.16248835083712471</c:v>
                </c:pt>
                <c:pt idx="632">
                  <c:v>0.16248573496920177</c:v>
                </c:pt>
                <c:pt idx="633">
                  <c:v>0.16248305997776957</c:v>
                </c:pt>
                <c:pt idx="634">
                  <c:v>0.16248032609299468</c:v>
                </c:pt>
                <c:pt idx="635">
                  <c:v>0.16247753355105632</c:v>
                </c:pt>
                <c:pt idx="636">
                  <c:v>0.16247468259415696</c:v>
                </c:pt>
                <c:pt idx="637">
                  <c:v>0.16247177347053421</c:v>
                </c:pt>
                <c:pt idx="638">
                  <c:v>0.1624688064344714</c:v>
                </c:pt>
                <c:pt idx="639">
                  <c:v>0.16246578174630882</c:v>
                </c:pt>
                <c:pt idx="640">
                  <c:v>0.16246269967245408</c:v>
                </c:pt>
                <c:pt idx="641">
                  <c:v>0.16245956048539248</c:v>
                </c:pt>
                <c:pt idx="642">
                  <c:v>0.16245636446369799</c:v>
                </c:pt>
                <c:pt idx="643">
                  <c:v>0.16245311189204309</c:v>
                </c:pt>
                <c:pt idx="644">
                  <c:v>0.16244980306120854</c:v>
                </c:pt>
                <c:pt idx="645">
                  <c:v>0.16244643826809377</c:v>
                </c:pt>
                <c:pt idx="646">
                  <c:v>0.16244301781572631</c:v>
                </c:pt>
                <c:pt idx="647">
                  <c:v>0.1624395420132716</c:v>
                </c:pt>
                <c:pt idx="648">
                  <c:v>0.16243601117604198</c:v>
                </c:pt>
                <c:pt idx="649">
                  <c:v>0.16243242562550625</c:v>
                </c:pt>
                <c:pt idx="650">
                  <c:v>0.16242878568929886</c:v>
                </c:pt>
                <c:pt idx="651">
                  <c:v>0.16242509170122843</c:v>
                </c:pt>
                <c:pt idx="652">
                  <c:v>0.1624213440012868</c:v>
                </c:pt>
                <c:pt idx="653">
                  <c:v>0.16241754293565763</c:v>
                </c:pt>
                <c:pt idx="654">
                  <c:v>0.16241368885672458</c:v>
                </c:pt>
                <c:pt idx="655">
                  <c:v>0.16240978212307997</c:v>
                </c:pt>
                <c:pt idx="656">
                  <c:v>0.1624058230995325</c:v>
                </c:pt>
                <c:pt idx="657">
                  <c:v>0.16240181215711541</c:v>
                </c:pt>
                <c:pt idx="658">
                  <c:v>0.16239774967309456</c:v>
                </c:pt>
                <c:pt idx="659">
                  <c:v>0.16239363603097534</c:v>
                </c:pt>
                <c:pt idx="660">
                  <c:v>0.16238947162051084</c:v>
                </c:pt>
                <c:pt idx="661">
                  <c:v>0.16238525683770869</c:v>
                </c:pt>
                <c:pt idx="662">
                  <c:v>0.16238099208483861</c:v>
                </c:pt>
                <c:pt idx="663">
                  <c:v>0.1623766777704389</c:v>
                </c:pt>
                <c:pt idx="664">
                  <c:v>0.16237231430932386</c:v>
                </c:pt>
                <c:pt idx="665">
                  <c:v>0.16236790212258997</c:v>
                </c:pt>
                <c:pt idx="666">
                  <c:v>0.16236344163762259</c:v>
                </c:pt>
                <c:pt idx="667">
                  <c:v>0.16235893328810216</c:v>
                </c:pt>
                <c:pt idx="668">
                  <c:v>0.16235437751401091</c:v>
                </c:pt>
                <c:pt idx="669">
                  <c:v>0.16234977476163806</c:v>
                </c:pt>
                <c:pt idx="670">
                  <c:v>0.16234512548358629</c:v>
                </c:pt>
                <c:pt idx="671">
                  <c:v>0.1623404301387773</c:v>
                </c:pt>
                <c:pt idx="672">
                  <c:v>0.16233568919245711</c:v>
                </c:pt>
                <c:pt idx="673">
                  <c:v>0.16233090311620174</c:v>
                </c:pt>
                <c:pt idx="674">
                  <c:v>0.16232607238792232</c:v>
                </c:pt>
                <c:pt idx="675">
                  <c:v>0.16232119749187032</c:v>
                </c:pt>
                <c:pt idx="676">
                  <c:v>0.16231627891864198</c:v>
                </c:pt>
                <c:pt idx="677">
                  <c:v>0.16231131716518343</c:v>
                </c:pt>
                <c:pt idx="678">
                  <c:v>0.16230631273479515</c:v>
                </c:pt>
                <c:pt idx="679">
                  <c:v>0.16230126613713641</c:v>
                </c:pt>
                <c:pt idx="680">
                  <c:v>0.16229617788822975</c:v>
                </c:pt>
                <c:pt idx="681">
                  <c:v>0.16229104851046428</c:v>
                </c:pt>
                <c:pt idx="682">
                  <c:v>0.16228587853260085</c:v>
                </c:pt>
                <c:pt idx="683">
                  <c:v>0.16228066848977443</c:v>
                </c:pt>
                <c:pt idx="684">
                  <c:v>0.16227541892349898</c:v>
                </c:pt>
                <c:pt idx="685">
                  <c:v>0.16227013038167007</c:v>
                </c:pt>
                <c:pt idx="686">
                  <c:v>0.16226480341856828</c:v>
                </c:pt>
                <c:pt idx="687">
                  <c:v>0.16225943859486291</c:v>
                </c:pt>
                <c:pt idx="688">
                  <c:v>0.16225403647761413</c:v>
                </c:pt>
                <c:pt idx="689">
                  <c:v>0.16224859764027627</c:v>
                </c:pt>
                <c:pt idx="690">
                  <c:v>0.16224312266270038</c:v>
                </c:pt>
                <c:pt idx="691">
                  <c:v>0.16223761213113663</c:v>
                </c:pt>
                <c:pt idx="692">
                  <c:v>0.16223206663823672</c:v>
                </c:pt>
                <c:pt idx="693">
                  <c:v>0.16222648678305598</c:v>
                </c:pt>
                <c:pt idx="694">
                  <c:v>0.16222087317105544</c:v>
                </c:pt>
                <c:pt idx="695">
                  <c:v>0.16221522641410352</c:v>
                </c:pt>
                <c:pt idx="696">
                  <c:v>0.16220954713047786</c:v>
                </c:pt>
                <c:pt idx="697">
                  <c:v>0.16220383594486681</c:v>
                </c:pt>
                <c:pt idx="698">
                  <c:v>0.16219809348837069</c:v>
                </c:pt>
                <c:pt idx="699">
                  <c:v>0.1621923203985029</c:v>
                </c:pt>
                <c:pt idx="700">
                  <c:v>0.16218651731919148</c:v>
                </c:pt>
                <c:pt idx="701">
                  <c:v>0.16218068490077917</c:v>
                </c:pt>
                <c:pt idx="702">
                  <c:v>0.16217482380002482</c:v>
                </c:pt>
                <c:pt idx="703">
                  <c:v>0.16216893468010363</c:v>
                </c:pt>
                <c:pt idx="704">
                  <c:v>0.16216301821060747</c:v>
                </c:pt>
                <c:pt idx="705">
                  <c:v>0.1621570750675452</c:v>
                </c:pt>
                <c:pt idx="706">
                  <c:v>0.16215110593334298</c:v>
                </c:pt>
                <c:pt idx="707">
                  <c:v>0.16214511149684355</c:v>
                </c:pt>
                <c:pt idx="708">
                  <c:v>0.16213909245330674</c:v>
                </c:pt>
                <c:pt idx="709">
                  <c:v>0.16213304950440835</c:v>
                </c:pt>
                <c:pt idx="710">
                  <c:v>0.16212698335824025</c:v>
                </c:pt>
                <c:pt idx="711">
                  <c:v>0.16212089472930902</c:v>
                </c:pt>
                <c:pt idx="712">
                  <c:v>0.16211478433853543</c:v>
                </c:pt>
                <c:pt idx="713">
                  <c:v>0.16210865291325335</c:v>
                </c:pt>
                <c:pt idx="714">
                  <c:v>0.16210250118720815</c:v>
                </c:pt>
                <c:pt idx="715">
                  <c:v>0.16209632990055592</c:v>
                </c:pt>
                <c:pt idx="716">
                  <c:v>0.16209013979986156</c:v>
                </c:pt>
                <c:pt idx="717">
                  <c:v>0.16208393163809715</c:v>
                </c:pt>
                <c:pt idx="718">
                  <c:v>0.16207770617463979</c:v>
                </c:pt>
                <c:pt idx="719">
                  <c:v>0.1620714641752703</c:v>
                </c:pt>
                <c:pt idx="720">
                  <c:v>0.16206520641217051</c:v>
                </c:pt>
                <c:pt idx="721">
                  <c:v>0.16205893366392049</c:v>
                </c:pt>
                <c:pt idx="722">
                  <c:v>0.16205264671549729</c:v>
                </c:pt>
                <c:pt idx="723">
                  <c:v>0.16204634635827092</c:v>
                </c:pt>
                <c:pt idx="724">
                  <c:v>0.16204003339000242</c:v>
                </c:pt>
                <c:pt idx="725">
                  <c:v>0.16203370861484051</c:v>
                </c:pt>
                <c:pt idx="726">
                  <c:v>0.16202737284331845</c:v>
                </c:pt>
                <c:pt idx="727">
                  <c:v>0.16202102689235093</c:v>
                </c:pt>
                <c:pt idx="728">
                  <c:v>0.16201467158523017</c:v>
                </c:pt>
                <c:pt idx="729">
                  <c:v>0.16200830775162278</c:v>
                </c:pt>
                <c:pt idx="730">
                  <c:v>0.1620019362275657</c:v>
                </c:pt>
                <c:pt idx="731">
                  <c:v>0.16199555785546205</c:v>
                </c:pt>
                <c:pt idx="732">
                  <c:v>0.16198917348407746</c:v>
                </c:pt>
                <c:pt idx="733">
                  <c:v>0.16198278396853566</c:v>
                </c:pt>
                <c:pt idx="734">
                  <c:v>0.16197639017031379</c:v>
                </c:pt>
                <c:pt idx="735">
                  <c:v>0.1619699929572378</c:v>
                </c:pt>
                <c:pt idx="736">
                  <c:v>0.16196359320347806</c:v>
                </c:pt>
                <c:pt idx="737">
                  <c:v>0.16195719178954418</c:v>
                </c:pt>
                <c:pt idx="738">
                  <c:v>0.16195078960228004</c:v>
                </c:pt>
                <c:pt idx="739">
                  <c:v>0.16194438753485824</c:v>
                </c:pt>
                <c:pt idx="740">
                  <c:v>0.16193798648677518</c:v>
                </c:pt>
                <c:pt idx="741">
                  <c:v>0.16193158736384491</c:v>
                </c:pt>
                <c:pt idx="742">
                  <c:v>0.16192519107819414</c:v>
                </c:pt>
                <c:pt idx="743">
                  <c:v>0.1619187985482555</c:v>
                </c:pt>
                <c:pt idx="744">
                  <c:v>0.1619124106987623</c:v>
                </c:pt>
                <c:pt idx="745">
                  <c:v>0.16190602846074162</c:v>
                </c:pt>
                <c:pt idx="746">
                  <c:v>0.16189965277150858</c:v>
                </c:pt>
                <c:pt idx="747">
                  <c:v>0.16189328457465926</c:v>
                </c:pt>
                <c:pt idx="748">
                  <c:v>0.16188692482006437</c:v>
                </c:pt>
                <c:pt idx="749">
                  <c:v>0.16188057446386192</c:v>
                </c:pt>
                <c:pt idx="750">
                  <c:v>0.16187423446845089</c:v>
                </c:pt>
                <c:pt idx="751">
                  <c:v>0.16186790580248375</c:v>
                </c:pt>
                <c:pt idx="752">
                  <c:v>0.16186158944085882</c:v>
                </c:pt>
                <c:pt idx="753">
                  <c:v>0.16185528636471314</c:v>
                </c:pt>
                <c:pt idx="754">
                  <c:v>0.16184899756141469</c:v>
                </c:pt>
                <c:pt idx="755">
                  <c:v>0.16184272402455457</c:v>
                </c:pt>
                <c:pt idx="756">
                  <c:v>0.16183646675393901</c:v>
                </c:pt>
                <c:pt idx="757">
                  <c:v>0.16183022675558129</c:v>
                </c:pt>
                <c:pt idx="758">
                  <c:v>0.16182400504169328</c:v>
                </c:pt>
                <c:pt idx="759">
                  <c:v>0.16181780263067713</c:v>
                </c:pt>
                <c:pt idx="760">
                  <c:v>0.16181162054711667</c:v>
                </c:pt>
                <c:pt idx="761">
                  <c:v>0.16180545982176825</c:v>
                </c:pt>
                <c:pt idx="762">
                  <c:v>0.16179932149155268</c:v>
                </c:pt>
                <c:pt idx="763">
                  <c:v>0.16179320659954488</c:v>
                </c:pt>
                <c:pt idx="764">
                  <c:v>0.16178711619496558</c:v>
                </c:pt>
                <c:pt idx="765">
                  <c:v>0.16178105133317161</c:v>
                </c:pt>
                <c:pt idx="766">
                  <c:v>0.16177501307564598</c:v>
                </c:pt>
                <c:pt idx="767">
                  <c:v>0.16176900248998874</c:v>
                </c:pt>
                <c:pt idx="768">
                  <c:v>0.16176302064990677</c:v>
                </c:pt>
                <c:pt idx="769">
                  <c:v>0.16175706863520317</c:v>
                </c:pt>
                <c:pt idx="770">
                  <c:v>0.16175114753176811</c:v>
                </c:pt>
                <c:pt idx="771">
                  <c:v>0.16174525843156751</c:v>
                </c:pt>
                <c:pt idx="772">
                  <c:v>0.16173940243263285</c:v>
                </c:pt>
                <c:pt idx="773">
                  <c:v>0.16173358063905061</c:v>
                </c:pt>
                <c:pt idx="774">
                  <c:v>0.16172779416095098</c:v>
                </c:pt>
                <c:pt idx="775">
                  <c:v>0.16172204411449723</c:v>
                </c:pt>
                <c:pt idx="776">
                  <c:v>0.16171633162187424</c:v>
                </c:pt>
                <c:pt idx="777">
                  <c:v>0.16171065781127722</c:v>
                </c:pt>
                <c:pt idx="778">
                  <c:v>0.16170502381690005</c:v>
                </c:pt>
                <c:pt idx="779">
                  <c:v>0.16169943077892418</c:v>
                </c:pt>
                <c:pt idx="780">
                  <c:v>0.16169387984350575</c:v>
                </c:pt>
                <c:pt idx="781">
                  <c:v>0.16168837216276455</c:v>
                </c:pt>
                <c:pt idx="782">
                  <c:v>0.16168290889477119</c:v>
                </c:pt>
                <c:pt idx="783">
                  <c:v>0.16167749120353561</c:v>
                </c:pt>
                <c:pt idx="784">
                  <c:v>0.16167212025899327</c:v>
                </c:pt>
                <c:pt idx="785">
                  <c:v>0.16166679723699376</c:v>
                </c:pt>
                <c:pt idx="786">
                  <c:v>0.16166152331928754</c:v>
                </c:pt>
                <c:pt idx="787">
                  <c:v>0.16165629969351264</c:v>
                </c:pt>
                <c:pt idx="788">
                  <c:v>0.16165112755318184</c:v>
                </c:pt>
                <c:pt idx="789">
                  <c:v>0.16164600809766974</c:v>
                </c:pt>
                <c:pt idx="790">
                  <c:v>0.16164094253219824</c:v>
                </c:pt>
                <c:pt idx="791">
                  <c:v>0.16163593206782426</c:v>
                </c:pt>
                <c:pt idx="792">
                  <c:v>0.16163097792142475</c:v>
                </c:pt>
                <c:pt idx="793">
                  <c:v>0.16162608131568362</c:v>
                </c:pt>
                <c:pt idx="794">
                  <c:v>0.16162124347907733</c:v>
                </c:pt>
                <c:pt idx="795">
                  <c:v>0.16161646564586052</c:v>
                </c:pt>
                <c:pt idx="796">
                  <c:v>0.16161174905605158</c:v>
                </c:pt>
                <c:pt idx="797">
                  <c:v>0.16160709495541825</c:v>
                </c:pt>
                <c:pt idx="798">
                  <c:v>0.16160250459546288</c:v>
                </c:pt>
                <c:pt idx="799">
                  <c:v>0.16159797923340755</c:v>
                </c:pt>
                <c:pt idx="800">
                  <c:v>0.16159352013217854</c:v>
                </c:pt>
                <c:pt idx="801">
                  <c:v>0.1615891285603919</c:v>
                </c:pt>
                <c:pt idx="802">
                  <c:v>0.16158480579233739</c:v>
                </c:pt>
                <c:pt idx="803">
                  <c:v>0.16158055310796299</c:v>
                </c:pt>
                <c:pt idx="804">
                  <c:v>0.16157637179285989</c:v>
                </c:pt>
                <c:pt idx="805">
                  <c:v>0.16157226313824555</c:v>
                </c:pt>
                <c:pt idx="806">
                  <c:v>0.16156822844094867</c:v>
                </c:pt>
                <c:pt idx="807">
                  <c:v>0.16156426900339216</c:v>
                </c:pt>
                <c:pt idx="808">
                  <c:v>0.16156038613357732</c:v>
                </c:pt>
                <c:pt idx="809">
                  <c:v>0.16155658114506771</c:v>
                </c:pt>
                <c:pt idx="810">
                  <c:v>0.16155285535697103</c:v>
                </c:pt>
                <c:pt idx="811">
                  <c:v>0.16154921009392392</c:v>
                </c:pt>
                <c:pt idx="812">
                  <c:v>0.1615456466860738</c:v>
                </c:pt>
                <c:pt idx="813">
                  <c:v>0.16154216646906239</c:v>
                </c:pt>
                <c:pt idx="814">
                  <c:v>0.16153877078400825</c:v>
                </c:pt>
                <c:pt idx="815">
                  <c:v>0.16153546097748919</c:v>
                </c:pt>
                <c:pt idx="816">
                  <c:v>0.16153223840152425</c:v>
                </c:pt>
                <c:pt idx="817">
                  <c:v>0.16152910441355681</c:v>
                </c:pt>
                <c:pt idx="818">
                  <c:v>0.16152606037643588</c:v>
                </c:pt>
                <c:pt idx="819">
                  <c:v>0.16152310765839825</c:v>
                </c:pt>
                <c:pt idx="820">
                  <c:v>0.16152024763305031</c:v>
                </c:pt>
                <c:pt idx="821">
                  <c:v>0.16151748167934921</c:v>
                </c:pt>
                <c:pt idx="822">
                  <c:v>0.16151481118158462</c:v>
                </c:pt>
                <c:pt idx="823">
                  <c:v>0.16151223752935986</c:v>
                </c:pt>
                <c:pt idx="824">
                  <c:v>0.16150976211757326</c:v>
                </c:pt>
                <c:pt idx="825">
                  <c:v>0.1615073863463983</c:v>
                </c:pt>
                <c:pt idx="826">
                  <c:v>0.16150511162126499</c:v>
                </c:pt>
                <c:pt idx="827">
                  <c:v>0.16150293935284055</c:v>
                </c:pt>
                <c:pt idx="828">
                  <c:v>0.16150087095700916</c:v>
                </c:pt>
                <c:pt idx="829">
                  <c:v>0.16149890785485321</c:v>
                </c:pt>
                <c:pt idx="830">
                  <c:v>0.16149705147263221</c:v>
                </c:pt>
                <c:pt idx="831">
                  <c:v>0.16149530324176412</c:v>
                </c:pt>
                <c:pt idx="832">
                  <c:v>0.16149366459880379</c:v>
                </c:pt>
                <c:pt idx="833">
                  <c:v>0.1614921369854232</c:v>
                </c:pt>
                <c:pt idx="834">
                  <c:v>0.16149072184839164</c:v>
                </c:pt>
                <c:pt idx="835">
                  <c:v>0.1614894206395534</c:v>
                </c:pt>
                <c:pt idx="836">
                  <c:v>0.16148823481580821</c:v>
                </c:pt>
                <c:pt idx="837">
                  <c:v>0.1614871658390899</c:v>
                </c:pt>
                <c:pt idx="838">
                  <c:v>0.16148621517634487</c:v>
                </c:pt>
                <c:pt idx="839">
                  <c:v>0.16148538429951112</c:v>
                </c:pt>
                <c:pt idx="840">
                  <c:v>0.1614846746854966</c:v>
                </c:pt>
                <c:pt idx="841">
                  <c:v>0.16148408781615767</c:v>
                </c:pt>
                <c:pt idx="842">
                  <c:v>0.16148362517827689</c:v>
                </c:pt>
                <c:pt idx="843">
                  <c:v>0.16148328826354175</c:v>
                </c:pt>
                <c:pt idx="844">
                  <c:v>0.16148307856852182</c:v>
                </c:pt>
                <c:pt idx="845">
                  <c:v>0.16148299759464674</c:v>
                </c:pt>
                <c:pt idx="846">
                  <c:v>0.16148304684818382</c:v>
                </c:pt>
                <c:pt idx="847">
                  <c:v>0.16148322784021502</c:v>
                </c:pt>
                <c:pt idx="848">
                  <c:v>0.16148354208661481</c:v>
                </c:pt>
                <c:pt idx="849">
                  <c:v>0.16148399110802683</c:v>
                </c:pt>
                <c:pt idx="850">
                  <c:v>0.16148457642984049</c:v>
                </c:pt>
                <c:pt idx="851">
                  <c:v>0.1614852995821684</c:v>
                </c:pt>
                <c:pt idx="852">
                  <c:v>0.16148616209982236</c:v>
                </c:pt>
                <c:pt idx="853">
                  <c:v>0.16148716552228992</c:v>
                </c:pt>
                <c:pt idx="854">
                  <c:v>0.16148831139371045</c:v>
                </c:pt>
                <c:pt idx="855">
                  <c:v>0.16148960126285214</c:v>
                </c:pt>
                <c:pt idx="856">
                  <c:v>0.16149103668308665</c:v>
                </c:pt>
                <c:pt idx="857">
                  <c:v>0.16149261921236516</c:v>
                </c:pt>
                <c:pt idx="858">
                  <c:v>0.16149435041319476</c:v>
                </c:pt>
                <c:pt idx="859">
                  <c:v>0.16149623185261347</c:v>
                </c:pt>
                <c:pt idx="860">
                  <c:v>0.16149826510216503</c:v>
                </c:pt>
                <c:pt idx="861">
                  <c:v>0.16150045173787403</c:v>
                </c:pt>
                <c:pt idx="862">
                  <c:v>0.16150279334022249</c:v>
                </c:pt>
                <c:pt idx="863">
                  <c:v>0.16150529149412224</c:v>
                </c:pt>
                <c:pt idx="864">
                  <c:v>0.16150794778889108</c:v>
                </c:pt>
                <c:pt idx="865">
                  <c:v>0.16151076381822677</c:v>
                </c:pt>
                <c:pt idx="866">
                  <c:v>0.16151374118018189</c:v>
                </c:pt>
                <c:pt idx="867">
                  <c:v>0.161516881477137</c:v>
                </c:pt>
                <c:pt idx="868">
                  <c:v>0.16152018631577553</c:v>
                </c:pt>
                <c:pt idx="869">
                  <c:v>0.16152365730705703</c:v>
                </c:pt>
                <c:pt idx="870">
                  <c:v>0.16152729606619148</c:v>
                </c:pt>
                <c:pt idx="871">
                  <c:v>0.16153110421261191</c:v>
                </c:pt>
                <c:pt idx="872">
                  <c:v>0.16153508336994843</c:v>
                </c:pt>
                <c:pt idx="873">
                  <c:v>0.16153923516600122</c:v>
                </c:pt>
                <c:pt idx="874">
                  <c:v>0.16154356123271335</c:v>
                </c:pt>
                <c:pt idx="875">
                  <c:v>0.16154806320614432</c:v>
                </c:pt>
                <c:pt idx="876">
                  <c:v>0.16155274272644179</c:v>
                </c:pt>
                <c:pt idx="877">
                  <c:v>0.16155760143781456</c:v>
                </c:pt>
                <c:pt idx="878">
                  <c:v>0.16156264098850542</c:v>
                </c:pt>
                <c:pt idx="879">
                  <c:v>0.16156786303076248</c:v>
                </c:pt>
                <c:pt idx="880">
                  <c:v>0.16157326922081236</c:v>
                </c:pt>
                <c:pt idx="881">
                  <c:v>0.16157886121883069</c:v>
                </c:pt>
                <c:pt idx="882">
                  <c:v>0.16158464068891482</c:v>
                </c:pt>
                <c:pt idx="883">
                  <c:v>0.16159060929905528</c:v>
                </c:pt>
                <c:pt idx="884">
                  <c:v>0.16159676872110681</c:v>
                </c:pt>
                <c:pt idx="885">
                  <c:v>0.16160312063076052</c:v>
                </c:pt>
                <c:pt idx="886">
                  <c:v>0.1616096667075132</c:v>
                </c:pt>
                <c:pt idx="887">
                  <c:v>0.16161640863464027</c:v>
                </c:pt>
                <c:pt idx="888">
                  <c:v>0.16162334809916551</c:v>
                </c:pt>
                <c:pt idx="889">
                  <c:v>0.16163048679183151</c:v>
                </c:pt>
                <c:pt idx="890">
                  <c:v>0.16163782640707075</c:v>
                </c:pt>
                <c:pt idx="891">
                  <c:v>0.16164536864297541</c:v>
                </c:pt>
                <c:pt idx="892">
                  <c:v>0.16165311520126777</c:v>
                </c:pt>
                <c:pt idx="893">
                  <c:v>0.16166106778726946</c:v>
                </c:pt>
                <c:pt idx="894">
                  <c:v>0.16166922810987289</c:v>
                </c:pt>
                <c:pt idx="895">
                  <c:v>0.16167759788150904</c:v>
                </c:pt>
                <c:pt idx="896">
                  <c:v>0.16168617881811809</c:v>
                </c:pt>
                <c:pt idx="897">
                  <c:v>0.16169497263911847</c:v>
                </c:pt>
                <c:pt idx="898">
                  <c:v>0.16170398106737552</c:v>
                </c:pt>
                <c:pt idx="899">
                  <c:v>0.16171320582917156</c:v>
                </c:pt>
                <c:pt idx="900">
                  <c:v>0.16172264865417374</c:v>
                </c:pt>
                <c:pt idx="901">
                  <c:v>0.161732311275403</c:v>
                </c:pt>
                <c:pt idx="902">
                  <c:v>0.16174219542920293</c:v>
                </c:pt>
                <c:pt idx="903">
                  <c:v>0.16175230285520759</c:v>
                </c:pt>
                <c:pt idx="904">
                  <c:v>0.16176263529631027</c:v>
                </c:pt>
                <c:pt idx="905">
                  <c:v>0.16177319449863095</c:v>
                </c:pt>
                <c:pt idx="906">
                  <c:v>0.16178398221148488</c:v>
                </c:pt>
                <c:pt idx="907">
                  <c:v>0.16179500018734919</c:v>
                </c:pt>
                <c:pt idx="908">
                  <c:v>0.16180625018183148</c:v>
                </c:pt>
                <c:pt idx="909">
                  <c:v>0.16181773395363713</c:v>
                </c:pt>
                <c:pt idx="910">
                  <c:v>0.16182945326453568</c:v>
                </c:pt>
                <c:pt idx="911">
                  <c:v>0.16184140987932882</c:v>
                </c:pt>
                <c:pt idx="912">
                  <c:v>0.16185360556581685</c:v>
                </c:pt>
                <c:pt idx="913">
                  <c:v>0.16186604209476538</c:v>
                </c:pt>
                <c:pt idx="914">
                  <c:v>0.16187872123987249</c:v>
                </c:pt>
                <c:pt idx="915">
                  <c:v>0.16189164477773407</c:v>
                </c:pt>
                <c:pt idx="916">
                  <c:v>0.1619048144878113</c:v>
                </c:pt>
                <c:pt idx="917">
                  <c:v>0.16191823215239559</c:v>
                </c:pt>
                <c:pt idx="918">
                  <c:v>0.16193189955657572</c:v>
                </c:pt>
                <c:pt idx="919">
                  <c:v>0.16194581848820255</c:v>
                </c:pt>
                <c:pt idx="920">
                  <c:v>0.1619599907378555</c:v>
                </c:pt>
                <c:pt idx="921">
                  <c:v>0.16197441809880719</c:v>
                </c:pt>
                <c:pt idx="922">
                  <c:v>0.16198910236698885</c:v>
                </c:pt>
                <c:pt idx="923">
                  <c:v>0.16200404534095733</c:v>
                </c:pt>
                <c:pt idx="924">
                  <c:v>0.16201924882185614</c:v>
                </c:pt>
                <c:pt idx="925">
                  <c:v>0.16203471461338473</c:v>
                </c:pt>
                <c:pt idx="926">
                  <c:v>0.1620504445217601</c:v>
                </c:pt>
                <c:pt idx="927">
                  <c:v>0.16206644035568207</c:v>
                </c:pt>
                <c:pt idx="928">
                  <c:v>0.16208270392629831</c:v>
                </c:pt>
                <c:pt idx="929">
                  <c:v>0.16209923704716739</c:v>
                </c:pt>
                <c:pt idx="930">
                  <c:v>0.1621160415342234</c:v>
                </c:pt>
                <c:pt idx="931">
                  <c:v>0.16213311920574069</c:v>
                </c:pt>
                <c:pt idx="932">
                  <c:v>0.16215047188229573</c:v>
                </c:pt>
                <c:pt idx="933">
                  <c:v>0.16216810138673135</c:v>
                </c:pt>
                <c:pt idx="934">
                  <c:v>0.16218600954412143</c:v>
                </c:pt>
                <c:pt idx="935">
                  <c:v>0.1622041981817321</c:v>
                </c:pt>
                <c:pt idx="936">
                  <c:v>0.16222266912898559</c:v>
                </c:pt>
                <c:pt idx="937">
                  <c:v>0.16224142421742357</c:v>
                </c:pt>
                <c:pt idx="938">
                  <c:v>0.16226046528066923</c:v>
                </c:pt>
                <c:pt idx="939">
                  <c:v>0.16227979415439014</c:v>
                </c:pt>
                <c:pt idx="940">
                  <c:v>0.16229941267626072</c:v>
                </c:pt>
                <c:pt idx="941">
                  <c:v>0.16231932268592444</c:v>
                </c:pt>
                <c:pt idx="942">
                  <c:v>0.16233952602495558</c:v>
                </c:pt>
                <c:pt idx="943">
                  <c:v>0.16236002453682175</c:v>
                </c:pt>
                <c:pt idx="944">
                  <c:v>0.16238082006684423</c:v>
                </c:pt>
                <c:pt idx="945">
                  <c:v>0.16240191446216212</c:v>
                </c:pt>
                <c:pt idx="946">
                  <c:v>0.16242330957169135</c:v>
                </c:pt>
                <c:pt idx="947">
                  <c:v>0.1624450072460869</c:v>
                </c:pt>
                <c:pt idx="948">
                  <c:v>0.16246700933770411</c:v>
                </c:pt>
                <c:pt idx="949">
                  <c:v>0.16248931770055941</c:v>
                </c:pt>
                <c:pt idx="950">
                  <c:v>0.16251193419029056</c:v>
                </c:pt>
                <c:pt idx="951">
                  <c:v>0.16253486066411899</c:v>
                </c:pt>
                <c:pt idx="952">
                  <c:v>0.16255809898080806</c:v>
                </c:pt>
                <c:pt idx="953">
                  <c:v>0.16258165100062466</c:v>
                </c:pt>
                <c:pt idx="954">
                  <c:v>0.16260551858529937</c:v>
                </c:pt>
                <c:pt idx="955">
                  <c:v>0.16262970359798581</c:v>
                </c:pt>
                <c:pt idx="956">
                  <c:v>0.16265420790322094</c:v>
                </c:pt>
                <c:pt idx="957">
                  <c:v>0.16267903336688508</c:v>
                </c:pt>
                <c:pt idx="958">
                  <c:v>0.16270418185616026</c:v>
                </c:pt>
                <c:pt idx="959">
                  <c:v>0.16272965523949043</c:v>
                </c:pt>
                <c:pt idx="960">
                  <c:v>0.16275545538654085</c:v>
                </c:pt>
                <c:pt idx="961">
                  <c:v>0.16278158416815652</c:v>
                </c:pt>
                <c:pt idx="962">
                  <c:v>0.16280804345632061</c:v>
                </c:pt>
                <c:pt idx="963">
                  <c:v>0.16283483512411473</c:v>
                </c:pt>
                <c:pt idx="964">
                  <c:v>0.16286196104567632</c:v>
                </c:pt>
                <c:pt idx="965">
                  <c:v>0.1628894230961565</c:v>
                </c:pt>
                <c:pt idx="966">
                  <c:v>0.16291722315167997</c:v>
                </c:pt>
                <c:pt idx="967">
                  <c:v>0.16294536308930141</c:v>
                </c:pt>
                <c:pt idx="968">
                  <c:v>0.16297384478696439</c:v>
                </c:pt>
                <c:pt idx="969">
                  <c:v>0.1630026701234592</c:v>
                </c:pt>
                <c:pt idx="970">
                  <c:v>0.16303184097837842</c:v>
                </c:pt>
                <c:pt idx="971">
                  <c:v>0.16306135923207812</c:v>
                </c:pt>
                <c:pt idx="972">
                  <c:v>0.16309122676563098</c:v>
                </c:pt>
                <c:pt idx="973">
                  <c:v>0.16312144546078658</c:v>
                </c:pt>
                <c:pt idx="974">
                  <c:v>0.16315201719992611</c:v>
                </c:pt>
                <c:pt idx="975">
                  <c:v>0.16318294386602125</c:v>
                </c:pt>
                <c:pt idx="976">
                  <c:v>0.16321422734258806</c:v>
                </c:pt>
                <c:pt idx="977">
                  <c:v>0.16324586951364628</c:v>
                </c:pt>
                <c:pt idx="978">
                  <c:v>0.16327787226367341</c:v>
                </c:pt>
                <c:pt idx="979">
                  <c:v>0.1633102374775619</c:v>
                </c:pt>
                <c:pt idx="980">
                  <c:v>0.16334296704057563</c:v>
                </c:pt>
                <c:pt idx="981">
                  <c:v>0.16337606283830419</c:v>
                </c:pt>
                <c:pt idx="982">
                  <c:v>0.16340952675661921</c:v>
                </c:pt>
                <c:pt idx="983">
                  <c:v>0.16344336068163101</c:v>
                </c:pt>
                <c:pt idx="984">
                  <c:v>0.16347756649964143</c:v>
                </c:pt>
                <c:pt idx="985">
                  <c:v>0.16351214609710191</c:v>
                </c:pt>
                <c:pt idx="986">
                  <c:v>0.16354710136056583</c:v>
                </c:pt>
                <c:pt idx="987">
                  <c:v>0.16358243417664495</c:v>
                </c:pt>
                <c:pt idx="988">
                  <c:v>0.16361814643196365</c:v>
                </c:pt>
                <c:pt idx="989">
                  <c:v>0.16365424001311343</c:v>
                </c:pt>
                <c:pt idx="990">
                  <c:v>0.16369071680660735</c:v>
                </c:pt>
                <c:pt idx="991">
                  <c:v>0.16372757869883389</c:v>
                </c:pt>
                <c:pt idx="992">
                  <c:v>0.16376482757601174</c:v>
                </c:pt>
                <c:pt idx="993">
                  <c:v>0.16380246532414211</c:v>
                </c:pt>
                <c:pt idx="994">
                  <c:v>0.16384049382896487</c:v>
                </c:pt>
                <c:pt idx="995">
                  <c:v>0.16387891497590951</c:v>
                </c:pt>
                <c:pt idx="996">
                  <c:v>0.16391773065005014</c:v>
                </c:pt>
                <c:pt idx="997">
                  <c:v>0.16395694273605849</c:v>
                </c:pt>
                <c:pt idx="998">
                  <c:v>0.16399655311815706</c:v>
                </c:pt>
                <c:pt idx="999">
                  <c:v>0.16403656368007097</c:v>
                </c:pt>
                <c:pt idx="1000">
                  <c:v>0.16407697630498183</c:v>
                </c:pt>
                <c:pt idx="1001">
                  <c:v>0.16411779287547984</c:v>
                </c:pt>
                <c:pt idx="1002">
                  <c:v>0.16415901527351712</c:v>
                </c:pt>
                <c:pt idx="1003">
                  <c:v>0.16420064538035778</c:v>
                </c:pt>
                <c:pt idx="1004">
                  <c:v>0.16424268507653206</c:v>
                </c:pt>
                <c:pt idx="1005">
                  <c:v>0.16428513624178878</c:v>
                </c:pt>
                <c:pt idx="1006">
                  <c:v>0.16432800075504389</c:v>
                </c:pt>
                <c:pt idx="1007">
                  <c:v>0.16437128049433572</c:v>
                </c:pt>
                <c:pt idx="1008">
                  <c:v>0.1644149773367739</c:v>
                </c:pt>
                <c:pt idx="1009">
                  <c:v>0.16445909315849264</c:v>
                </c:pt>
                <c:pt idx="1010">
                  <c:v>0.16450362983459998</c:v>
                </c:pt>
                <c:pt idx="1011">
                  <c:v>0.16454858923913018</c:v>
                </c:pt>
                <c:pt idx="1012">
                  <c:v>0.1645939732449935</c:v>
                </c:pt>
                <c:pt idx="1013">
                  <c:v>0.16463978372392707</c:v>
                </c:pt>
                <c:pt idx="1014">
                  <c:v>0.16468602254644707</c:v>
                </c:pt>
                <c:pt idx="1015">
                  <c:v>0.16473269158179593</c:v>
                </c:pt>
                <c:pt idx="1016">
                  <c:v>0.16477979269789542</c:v>
                </c:pt>
                <c:pt idx="1017">
                  <c:v>0.16482732776129416</c:v>
                </c:pt>
                <c:pt idx="1018">
                  <c:v>0.16487529863712036</c:v>
                </c:pt>
                <c:pt idx="1019">
                  <c:v>0.16492370718902838</c:v>
                </c:pt>
                <c:pt idx="1020">
                  <c:v>0.16497255527915089</c:v>
                </c:pt>
                <c:pt idx="1021">
                  <c:v>0.16502184476804629</c:v>
                </c:pt>
                <c:pt idx="1022">
                  <c:v>0.16507157751464846</c:v>
                </c:pt>
                <c:pt idx="1023">
                  <c:v>0.16512175537621723</c:v>
                </c:pt>
                <c:pt idx="1024">
                  <c:v>0.16517238020828556</c:v>
                </c:pt>
                <c:pt idx="1025">
                  <c:v>0.16522345386460777</c:v>
                </c:pt>
                <c:pt idx="1026">
                  <c:v>0.1652749781971104</c:v>
                </c:pt>
                <c:pt idx="1027">
                  <c:v>0.16532695505583872</c:v>
                </c:pt>
                <c:pt idx="1028">
                  <c:v>0.16537938628890567</c:v>
                </c:pt>
                <c:pt idx="1029">
                  <c:v>0.16543227374243963</c:v>
                </c:pt>
                <c:pt idx="1030">
                  <c:v>0.16548561926053315</c:v>
                </c:pt>
                <c:pt idx="1031">
                  <c:v>0.16553942468518884</c:v>
                </c:pt>
                <c:pt idx="1032">
                  <c:v>0.16559369185626963</c:v>
                </c:pt>
                <c:pt idx="1033">
                  <c:v>0.16564842261144358</c:v>
                </c:pt>
                <c:pt idx="1034">
                  <c:v>0.16570361878613293</c:v>
                </c:pt>
                <c:pt idx="1035">
                  <c:v>0.16575928221346004</c:v>
                </c:pt>
                <c:pt idx="1036">
                  <c:v>0.16581541472419598</c:v>
                </c:pt>
                <c:pt idx="1037">
                  <c:v>0.16587201814670482</c:v>
                </c:pt>
                <c:pt idx="1038">
                  <c:v>0.16592909430689307</c:v>
                </c:pt>
                <c:pt idx="1039">
                  <c:v>0.16598664502815383</c:v>
                </c:pt>
                <c:pt idx="1040">
                  <c:v>0.16604467213131346</c:v>
                </c:pt>
                <c:pt idx="1041">
                  <c:v>0.16610317743458017</c:v>
                </c:pt>
                <c:pt idx="1042">
                  <c:v>0.16616216275348616</c:v>
                </c:pt>
                <c:pt idx="1043">
                  <c:v>0.16622162990083697</c:v>
                </c:pt>
                <c:pt idx="1044">
                  <c:v>0.16628158068665397</c:v>
                </c:pt>
                <c:pt idx="1045">
                  <c:v>0.16634201691812284</c:v>
                </c:pt>
                <c:pt idx="1046">
                  <c:v>0.16640294039953571</c:v>
                </c:pt>
                <c:pt idx="1047">
                  <c:v>0.1664643529322401</c:v>
                </c:pt>
                <c:pt idx="1048">
                  <c:v>0.16652625631458109</c:v>
                </c:pt>
                <c:pt idx="1049">
                  <c:v>0.16658865234184733</c:v>
                </c:pt>
                <c:pt idx="1050">
                  <c:v>0.16665154280621508</c:v>
                </c:pt>
                <c:pt idx="1051">
                  <c:v>0.16671492949669237</c:v>
                </c:pt>
                <c:pt idx="1052">
                  <c:v>0.16677881419906571</c:v>
                </c:pt>
                <c:pt idx="1053">
                  <c:v>0.16684319869584213</c:v>
                </c:pt>
                <c:pt idx="1054">
                  <c:v>0.1669080847661934</c:v>
                </c:pt>
                <c:pt idx="1055">
                  <c:v>0.16697347418589983</c:v>
                </c:pt>
                <c:pt idx="1056">
                  <c:v>0.16703936872729669</c:v>
                </c:pt>
                <c:pt idx="1057">
                  <c:v>0.16710577015921249</c:v>
                </c:pt>
                <c:pt idx="1058">
                  <c:v>0.16717268024691795</c:v>
                </c:pt>
                <c:pt idx="1059">
                  <c:v>0.16724010075206538</c:v>
                </c:pt>
                <c:pt idx="1060">
                  <c:v>0.16730803343263412</c:v>
                </c:pt>
                <c:pt idx="1061">
                  <c:v>0.16737648004287159</c:v>
                </c:pt>
                <c:pt idx="1062">
                  <c:v>0.16744544233323735</c:v>
                </c:pt>
                <c:pt idx="1063">
                  <c:v>0.16751492205034574</c:v>
                </c:pt>
                <c:pt idx="1064">
                  <c:v>0.16758492093690666</c:v>
                </c:pt>
                <c:pt idx="1065">
                  <c:v>0.16765544073167049</c:v>
                </c:pt>
                <c:pt idx="1066">
                  <c:v>0.16772648316936759</c:v>
                </c:pt>
                <c:pt idx="1067">
                  <c:v>0.1677980499806524</c:v>
                </c:pt>
                <c:pt idx="1068">
                  <c:v>0.16787014289204355</c:v>
                </c:pt>
                <c:pt idx="1069">
                  <c:v>0.1679427636258668</c:v>
                </c:pt>
                <c:pt idx="1070">
                  <c:v>0.16801591390019549</c:v>
                </c:pt>
                <c:pt idx="1071">
                  <c:v>0.16808959542879245</c:v>
                </c:pt>
                <c:pt idx="1072">
                  <c:v>0.16816380992105134</c:v>
                </c:pt>
                <c:pt idx="1073">
                  <c:v>0.16823855908193694</c:v>
                </c:pt>
                <c:pt idx="1074">
                  <c:v>0.16831384461192628</c:v>
                </c:pt>
                <c:pt idx="1075">
                  <c:v>0.1683896682069497</c:v>
                </c:pt>
                <c:pt idx="1076">
                  <c:v>0.16846603155833073</c:v>
                </c:pt>
                <c:pt idx="1077">
                  <c:v>0.16854293635272677</c:v>
                </c:pt>
                <c:pt idx="1078">
                  <c:v>0.16862038427206974</c:v>
                </c:pt>
                <c:pt idx="1079">
                  <c:v>0.16869837699350509</c:v>
                </c:pt>
                <c:pt idx="1080">
                  <c:v>0.16877691618933224</c:v>
                </c:pt>
                <c:pt idx="1081">
                  <c:v>0.16885600352694413</c:v>
                </c:pt>
                <c:pt idx="1082">
                  <c:v>0.16893564066876762</c:v>
                </c:pt>
                <c:pt idx="1083">
                  <c:v>0.16901582927220116</c:v>
                </c:pt>
                <c:pt idx="1084">
                  <c:v>0.16909657098955544</c:v>
                </c:pt>
                <c:pt idx="1085">
                  <c:v>0.16917786746799174</c:v>
                </c:pt>
                <c:pt idx="1086">
                  <c:v>0.16925972034946141</c:v>
                </c:pt>
                <c:pt idx="1087">
                  <c:v>0.16934213127064421</c:v>
                </c:pt>
                <c:pt idx="1088">
                  <c:v>0.1694251018628864</c:v>
                </c:pt>
                <c:pt idx="1089">
                  <c:v>0.16950863375214018</c:v>
                </c:pt>
                <c:pt idx="1090">
                  <c:v>0.16959272855890184</c:v>
                </c:pt>
                <c:pt idx="1091">
                  <c:v>0.1696773878981481</c:v>
                </c:pt>
                <c:pt idx="1092">
                  <c:v>0.16976261337927695</c:v>
                </c:pt>
                <c:pt idx="1093">
                  <c:v>0.16984840660604333</c:v>
                </c:pt>
                <c:pt idx="1094">
                  <c:v>0.16993476917649639</c:v>
                </c:pt>
                <c:pt idx="1095">
                  <c:v>0.17002170268291938</c:v>
                </c:pt>
                <c:pt idx="1096">
                  <c:v>0.17010920871176458</c:v>
                </c:pt>
                <c:pt idx="1097">
                  <c:v>0.17019728884359087</c:v>
                </c:pt>
                <c:pt idx="1098">
                  <c:v>0.17028594465300237</c:v>
                </c:pt>
                <c:pt idx="1099">
                  <c:v>0.1703751777085824</c:v>
                </c:pt>
                <c:pt idx="1100">
                  <c:v>0.1704649895728324</c:v>
                </c:pt>
                <c:pt idx="1101">
                  <c:v>0.17055538180210811</c:v>
                </c:pt>
                <c:pt idx="1102">
                  <c:v>0.17064635594655481</c:v>
                </c:pt>
                <c:pt idx="1103">
                  <c:v>0.17073791355004406</c:v>
                </c:pt>
                <c:pt idx="1104">
                  <c:v>0.17083005615011038</c:v>
                </c:pt>
                <c:pt idx="1105">
                  <c:v>0.17092278527788643</c:v>
                </c:pt>
                <c:pt idx="1106">
                  <c:v>0.17101610245803833</c:v>
                </c:pt>
                <c:pt idx="1107">
                  <c:v>0.17111000920870204</c:v>
                </c:pt>
                <c:pt idx="1108">
                  <c:v>0.17120450704141693</c:v>
                </c:pt>
                <c:pt idx="1109">
                  <c:v>0.17129959746106571</c:v>
                </c:pt>
                <c:pt idx="1110">
                  <c:v>0.17139528196580125</c:v>
                </c:pt>
                <c:pt idx="1111">
                  <c:v>0.17149156204699101</c:v>
                </c:pt>
                <c:pt idx="1112">
                  <c:v>0.1715884391891431</c:v>
                </c:pt>
                <c:pt idx="1113">
                  <c:v>0.17168591486984736</c:v>
                </c:pt>
                <c:pt idx="1114">
                  <c:v>0.1717839905597067</c:v>
                </c:pt>
                <c:pt idx="1115">
                  <c:v>0.17188266772227068</c:v>
                </c:pt>
                <c:pt idx="1116">
                  <c:v>0.17198194781397136</c:v>
                </c:pt>
                <c:pt idx="1117">
                  <c:v>0.17208183228405727</c:v>
                </c:pt>
                <c:pt idx="1118">
                  <c:v>0.17218232257452537</c:v>
                </c:pt>
                <c:pt idx="1119">
                  <c:v>0.17228342012005535</c:v>
                </c:pt>
                <c:pt idx="1120">
                  <c:v>0.17238512634794462</c:v>
                </c:pt>
                <c:pt idx="1121">
                  <c:v>0.17248744267804003</c:v>
                </c:pt>
                <c:pt idx="1122">
                  <c:v>0.17259037052267029</c:v>
                </c:pt>
                <c:pt idx="1123">
                  <c:v>0.17269391128658099</c:v>
                </c:pt>
                <c:pt idx="1124">
                  <c:v>0.17279806636686629</c:v>
                </c:pt>
                <c:pt idx="1125">
                  <c:v>0.17290283715290111</c:v>
                </c:pt>
                <c:pt idx="1126">
                  <c:v>0.1730082250262735</c:v>
                </c:pt>
                <c:pt idx="1127">
                  <c:v>0.17311423136071813</c:v>
                </c:pt>
                <c:pt idx="1128">
                  <c:v>0.17322085752204802</c:v>
                </c:pt>
                <c:pt idx="1129">
                  <c:v>0.17332810486808653</c:v>
                </c:pt>
                <c:pt idx="1130">
                  <c:v>0.17343597474859782</c:v>
                </c:pt>
                <c:pt idx="1131">
                  <c:v>0.17354446850521926</c:v>
                </c:pt>
                <c:pt idx="1132">
                  <c:v>0.17365358747139562</c:v>
                </c:pt>
                <c:pt idx="1133">
                  <c:v>0.17376333297230523</c:v>
                </c:pt>
                <c:pt idx="1134">
                  <c:v>0.1738737063247959</c:v>
                </c:pt>
                <c:pt idx="1135">
                  <c:v>0.17398470883731307</c:v>
                </c:pt>
                <c:pt idx="1136">
                  <c:v>0.17409634180983197</c:v>
                </c:pt>
                <c:pt idx="1137">
                  <c:v>0.17420860653378797</c:v>
                </c:pt>
                <c:pt idx="1138">
                  <c:v>0.17432150429200594</c:v>
                </c:pt>
                <c:pt idx="1139">
                  <c:v>0.17443503635863447</c:v>
                </c:pt>
                <c:pt idx="1140">
                  <c:v>0.17454920399906909</c:v>
                </c:pt>
                <c:pt idx="1141">
                  <c:v>0.17466400846989091</c:v>
                </c:pt>
                <c:pt idx="1142">
                  <c:v>0.17477945101878989</c:v>
                </c:pt>
                <c:pt idx="1143">
                  <c:v>0.17489553288449744</c:v>
                </c:pt>
                <c:pt idx="1144">
                  <c:v>0.17501225529671366</c:v>
                </c:pt>
                <c:pt idx="1145">
                  <c:v>0.17512961947604055</c:v>
                </c:pt>
                <c:pt idx="1146">
                  <c:v>0.17524762663390961</c:v>
                </c:pt>
                <c:pt idx="1147">
                  <c:v>0.17536627797250831</c:v>
                </c:pt>
                <c:pt idx="1148">
                  <c:v>0.1754855746847124</c:v>
                </c:pt>
                <c:pt idx="1149">
                  <c:v>0.17560551795401391</c:v>
                </c:pt>
                <c:pt idx="1150">
                  <c:v>0.17572610895444765</c:v>
                </c:pt>
                <c:pt idx="1151">
                  <c:v>0.17584734885052261</c:v>
                </c:pt>
                <c:pt idx="1152">
                  <c:v>0.17596923879714854</c:v>
                </c:pt>
                <c:pt idx="1153">
                  <c:v>0.17609177993956396</c:v>
                </c:pt>
                <c:pt idx="1154">
                  <c:v>0.17621497341326581</c:v>
                </c:pt>
                <c:pt idx="1155">
                  <c:v>0.17633882034393458</c:v>
                </c:pt>
                <c:pt idx="1156">
                  <c:v>0.17646332184736363</c:v>
                </c:pt>
                <c:pt idx="1157">
                  <c:v>0.17658847902938704</c:v>
                </c:pt>
                <c:pt idx="1158">
                  <c:v>0.17671429298580654</c:v>
                </c:pt>
                <c:pt idx="1159">
                  <c:v>0.17684076480231542</c:v>
                </c:pt>
                <c:pt idx="1160">
                  <c:v>0.17696789555443382</c:v>
                </c:pt>
                <c:pt idx="1161">
                  <c:v>0.17709568630742561</c:v>
                </c:pt>
                <c:pt idx="1162">
                  <c:v>0.17722413811623097</c:v>
                </c:pt>
                <c:pt idx="1163">
                  <c:v>0.17735325202539198</c:v>
                </c:pt>
                <c:pt idx="1164">
                  <c:v>0.17748302906897831</c:v>
                </c:pt>
                <c:pt idx="1165">
                  <c:v>0.17761347027051488</c:v>
                </c:pt>
                <c:pt idx="1166">
                  <c:v>0.17774457664290397</c:v>
                </c:pt>
                <c:pt idx="1167">
                  <c:v>0.17787634918835604</c:v>
                </c:pt>
                <c:pt idx="1168">
                  <c:v>0.17800878889831256</c:v>
                </c:pt>
                <c:pt idx="1169">
                  <c:v>0.1781418967533713</c:v>
                </c:pt>
                <c:pt idx="1170">
                  <c:v>0.17827567372321418</c:v>
                </c:pt>
                <c:pt idx="1171">
                  <c:v>0.17841012076652915</c:v>
                </c:pt>
                <c:pt idx="1172">
                  <c:v>0.17854523883093781</c:v>
                </c:pt>
                <c:pt idx="1173">
                  <c:v>0.17868102885292012</c:v>
                </c:pt>
                <c:pt idx="1174">
                  <c:v>0.17881749175773715</c:v>
                </c:pt>
                <c:pt idx="1175">
                  <c:v>0.17895462845935661</c:v>
                </c:pt>
                <c:pt idx="1176">
                  <c:v>0.17909243986037987</c:v>
                </c:pt>
                <c:pt idx="1177">
                  <c:v>0.17923092685196179</c:v>
                </c:pt>
                <c:pt idx="1178">
                  <c:v>0.17937009031373788</c:v>
                </c:pt>
                <c:pt idx="1179">
                  <c:v>0.17950993111374736</c:v>
                </c:pt>
                <c:pt idx="1180">
                  <c:v>0.17965045010835648</c:v>
                </c:pt>
                <c:pt idx="1181">
                  <c:v>0.17979164814218235</c:v>
                </c:pt>
                <c:pt idx="1182">
                  <c:v>0.17993352604801818</c:v>
                </c:pt>
                <c:pt idx="1183">
                  <c:v>0.18007608464675251</c:v>
                </c:pt>
                <c:pt idx="1184">
                  <c:v>0.18021932474729668</c:v>
                </c:pt>
                <c:pt idx="1185">
                  <c:v>0.18036324714650512</c:v>
                </c:pt>
                <c:pt idx="1186">
                  <c:v>0.18050785262909813</c:v>
                </c:pt>
                <c:pt idx="1187">
                  <c:v>0.18065314196758678</c:v>
                </c:pt>
                <c:pt idx="1188">
                  <c:v>0.18079911592219416</c:v>
                </c:pt>
                <c:pt idx="1189">
                  <c:v>0.18094577524077524</c:v>
                </c:pt>
                <c:pt idx="1190">
                  <c:v>0.18109312065874328</c:v>
                </c:pt>
                <c:pt idx="1191">
                  <c:v>0.1812411528989889</c:v>
                </c:pt>
                <c:pt idx="1192">
                  <c:v>0.18138987267180279</c:v>
                </c:pt>
                <c:pt idx="1193">
                  <c:v>0.18153928067479874</c:v>
                </c:pt>
                <c:pt idx="1194">
                  <c:v>0.18168937759283074</c:v>
                </c:pt>
                <c:pt idx="1195">
                  <c:v>0.18184016409792048</c:v>
                </c:pt>
                <c:pt idx="1196">
                  <c:v>0.18199164084917499</c:v>
                </c:pt>
                <c:pt idx="1197">
                  <c:v>0.1821438084927065</c:v>
                </c:pt>
                <c:pt idx="1198">
                  <c:v>0.18229666766155564</c:v>
                </c:pt>
                <c:pt idx="1199">
                  <c:v>0.18245021897561309</c:v>
                </c:pt>
                <c:pt idx="1200">
                  <c:v>0.18260446304153605</c:v>
                </c:pt>
                <c:pt idx="1201">
                  <c:v>0.18275940045267233</c:v>
                </c:pt>
                <c:pt idx="1202">
                  <c:v>0.18291503178897989</c:v>
                </c:pt>
                <c:pt idx="1203">
                  <c:v>0.18307135761694496</c:v>
                </c:pt>
                <c:pt idx="1204">
                  <c:v>0.18322837848950413</c:v>
                </c:pt>
                <c:pt idx="1205">
                  <c:v>0.18338609494596439</c:v>
                </c:pt>
                <c:pt idx="1206">
                  <c:v>0.1835445075119182</c:v>
                </c:pt>
                <c:pt idx="1207">
                  <c:v>0.1837036166991694</c:v>
                </c:pt>
                <c:pt idx="1208">
                  <c:v>0.18386342300564951</c:v>
                </c:pt>
                <c:pt idx="1209">
                  <c:v>0.18402392691533553</c:v>
                </c:pt>
                <c:pt idx="1210">
                  <c:v>0.18418512889816899</c:v>
                </c:pt>
                <c:pt idx="1211">
                  <c:v>0.18434702940997738</c:v>
                </c:pt>
                <c:pt idx="1212">
                  <c:v>0.18450962889239195</c:v>
                </c:pt>
                <c:pt idx="1213">
                  <c:v>0.18467292777276306</c:v>
                </c:pt>
                <c:pt idx="1214">
                  <c:v>0.18483692646408326</c:v>
                </c:pt>
                <c:pt idx="1215">
                  <c:v>0.18500162536490078</c:v>
                </c:pt>
                <c:pt idx="1216">
                  <c:v>0.1851670248592403</c:v>
                </c:pt>
                <c:pt idx="1217">
                  <c:v>0.18533312531652177</c:v>
                </c:pt>
                <c:pt idx="1218">
                  <c:v>0.18549992709147445</c:v>
                </c:pt>
                <c:pt idx="1219">
                  <c:v>0.18566743052405779</c:v>
                </c:pt>
                <c:pt idx="1220">
                  <c:v>0.18583563593937613</c:v>
                </c:pt>
                <c:pt idx="1221">
                  <c:v>0.18600454364759769</c:v>
                </c:pt>
                <c:pt idx="1222">
                  <c:v>0.18617415394387116</c:v>
                </c:pt>
                <c:pt idx="1223">
                  <c:v>0.1863444671082421</c:v>
                </c:pt>
                <c:pt idx="1224">
                  <c:v>0.18651548340557067</c:v>
                </c:pt>
                <c:pt idx="1225">
                  <c:v>0.1866872030854459</c:v>
                </c:pt>
                <c:pt idx="1226">
                  <c:v>0.18685962638210613</c:v>
                </c:pt>
                <c:pt idx="1227">
                  <c:v>0.18703275351434823</c:v>
                </c:pt>
                <c:pt idx="1228">
                  <c:v>0.18720658468545229</c:v>
                </c:pt>
                <c:pt idx="1229">
                  <c:v>0.18738112008309116</c:v>
                </c:pt>
                <c:pt idx="1230">
                  <c:v>0.18755635987924954</c:v>
                </c:pt>
                <c:pt idx="1231">
                  <c:v>0.18773230423013615</c:v>
                </c:pt>
                <c:pt idx="1232">
                  <c:v>0.18790895327610294</c:v>
                </c:pt>
                <c:pt idx="1233">
                  <c:v>0.18808630714155841</c:v>
                </c:pt>
                <c:pt idx="1234">
                  <c:v>0.18826436593488316</c:v>
                </c:pt>
                <c:pt idx="1235">
                  <c:v>0.18844312974834262</c:v>
                </c:pt>
                <c:pt idx="1236">
                  <c:v>0.18862259865800662</c:v>
                </c:pt>
                <c:pt idx="1237">
                  <c:v>0.188802772723658</c:v>
                </c:pt>
                <c:pt idx="1238">
                  <c:v>0.18898365198871309</c:v>
                </c:pt>
                <c:pt idx="1239">
                  <c:v>0.18916523648013087</c:v>
                </c:pt>
                <c:pt idx="1240">
                  <c:v>0.18934752620832945</c:v>
                </c:pt>
                <c:pt idx="1241">
                  <c:v>0.18953052116710101</c:v>
                </c:pt>
                <c:pt idx="1242">
                  <c:v>0.18971422133352378</c:v>
                </c:pt>
                <c:pt idx="1243">
                  <c:v>0.18989862666787477</c:v>
                </c:pt>
                <c:pt idx="1244">
                  <c:v>0.19008373711354762</c:v>
                </c:pt>
                <c:pt idx="1245">
                  <c:v>0.19026955259696049</c:v>
                </c:pt>
                <c:pt idx="1246">
                  <c:v>0.19045607302747306</c:v>
                </c:pt>
                <c:pt idx="1247">
                  <c:v>0.19064329829729659</c:v>
                </c:pt>
                <c:pt idx="1248">
                  <c:v>0.190831228281411</c:v>
                </c:pt>
                <c:pt idx="1249">
                  <c:v>0.19101986283747135</c:v>
                </c:pt>
                <c:pt idx="1250">
                  <c:v>0.19120920180572776</c:v>
                </c:pt>
                <c:pt idx="1251">
                  <c:v>0.19139924500893091</c:v>
                </c:pt>
                <c:pt idx="1252">
                  <c:v>0.19158999225224721</c:v>
                </c:pt>
                <c:pt idx="1253">
                  <c:v>0.19178144332317296</c:v>
                </c:pt>
                <c:pt idx="1254">
                  <c:v>0.19197359799144137</c:v>
                </c:pt>
                <c:pt idx="1255">
                  <c:v>0.19216645600893881</c:v>
                </c:pt>
                <c:pt idx="1256">
                  <c:v>0.1923600171096137</c:v>
                </c:pt>
                <c:pt idx="1257">
                  <c:v>0.19255428100938768</c:v>
                </c:pt>
                <c:pt idx="1258">
                  <c:v>0.19274924740606925</c:v>
                </c:pt>
                <c:pt idx="1259">
                  <c:v>0.19294491597926261</c:v>
                </c:pt>
                <c:pt idx="1260">
                  <c:v>0.19314128639027842</c:v>
                </c:pt>
                <c:pt idx="1261">
                  <c:v>0.19333835828204798</c:v>
                </c:pt>
                <c:pt idx="1262">
                  <c:v>0.19353613127902744</c:v>
                </c:pt>
                <c:pt idx="1263">
                  <c:v>0.19373460498711409</c:v>
                </c:pt>
                <c:pt idx="1264">
                  <c:v>0.1939337789935551</c:v>
                </c:pt>
                <c:pt idx="1265">
                  <c:v>0.19413365286685486</c:v>
                </c:pt>
                <c:pt idx="1266">
                  <c:v>0.19433422615668877</c:v>
                </c:pt>
                <c:pt idx="1267">
                  <c:v>0.19453549839381012</c:v>
                </c:pt>
                <c:pt idx="1268">
                  <c:v>0.19473746908996259</c:v>
                </c:pt>
                <c:pt idx="1269">
                  <c:v>0.19494013773778548</c:v>
                </c:pt>
                <c:pt idx="1270">
                  <c:v>0.19514350381072632</c:v>
                </c:pt>
                <c:pt idx="1271">
                  <c:v>0.19534756676295065</c:v>
                </c:pt>
                <c:pt idx="1272">
                  <c:v>0.1955523260292456</c:v>
                </c:pt>
                <c:pt idx="1273">
                  <c:v>0.19575778102493599</c:v>
                </c:pt>
                <c:pt idx="1274">
                  <c:v>0.19596393114578958</c:v>
                </c:pt>
                <c:pt idx="1275">
                  <c:v>0.19617077576792241</c:v>
                </c:pt>
                <c:pt idx="1276">
                  <c:v>0.19637831424771315</c:v>
                </c:pt>
                <c:pt idx="1277">
                  <c:v>0.19658654592170649</c:v>
                </c:pt>
                <c:pt idx="1278">
                  <c:v>0.1967954701065244</c:v>
                </c:pt>
                <c:pt idx="1279">
                  <c:v>0.19700508609876966</c:v>
                </c:pt>
                <c:pt idx="1280">
                  <c:v>0.19721539317494005</c:v>
                </c:pt>
                <c:pt idx="1281">
                  <c:v>0.1974263905913286</c:v>
                </c:pt>
                <c:pt idx="1282">
                  <c:v>0.19763807758393659</c:v>
                </c:pt>
                <c:pt idx="1283">
                  <c:v>0.19785045336837881</c:v>
                </c:pt>
                <c:pt idx="1284">
                  <c:v>0.19806351713978854</c:v>
                </c:pt>
                <c:pt idx="1285">
                  <c:v>0.19827726807272875</c:v>
                </c:pt>
                <c:pt idx="1286">
                  <c:v>0.198491705321093</c:v>
                </c:pt>
                <c:pt idx="1287">
                  <c:v>0.19870682801801934</c:v>
                </c:pt>
                <c:pt idx="1288">
                  <c:v>0.19892263527578924</c:v>
                </c:pt>
                <c:pt idx="1289">
                  <c:v>0.19913912618573956</c:v>
                </c:pt>
                <c:pt idx="1290">
                  <c:v>0.19935629981816355</c:v>
                </c:pt>
                <c:pt idx="1291">
                  <c:v>0.19957415522222199</c:v>
                </c:pt>
                <c:pt idx="1292">
                  <c:v>0.19979269142584563</c:v>
                </c:pt>
                <c:pt idx="1293">
                  <c:v>0.20001190743564251</c:v>
                </c:pt>
                <c:pt idx="1294">
                  <c:v>0.2002318022368004</c:v>
                </c:pt>
                <c:pt idx="1295">
                  <c:v>0.20045237479299488</c:v>
                </c:pt>
                <c:pt idx="1296">
                  <c:v>0.20067362404629538</c:v>
                </c:pt>
                <c:pt idx="1297">
                  <c:v>0.20089554891706352</c:v>
                </c:pt>
                <c:pt idx="1298">
                  <c:v>0.20111814830386937</c:v>
                </c:pt>
                <c:pt idx="1299">
                  <c:v>0.20134142108338521</c:v>
                </c:pt>
                <c:pt idx="1300">
                  <c:v>0.20156536611029441</c:v>
                </c:pt>
                <c:pt idx="1301">
                  <c:v>0.20178998221719649</c:v>
                </c:pt>
                <c:pt idx="1302">
                  <c:v>0.20201526821451055</c:v>
                </c:pt>
                <c:pt idx="1303">
                  <c:v>0.20224122289037708</c:v>
                </c:pt>
                <c:pt idx="1304">
                  <c:v>0.20246784501056525</c:v>
                </c:pt>
                <c:pt idx="1305">
                  <c:v>0.20269513331837488</c:v>
                </c:pt>
                <c:pt idx="1306">
                  <c:v>0.20292308653453961</c:v>
                </c:pt>
                <c:pt idx="1307">
                  <c:v>0.20315170335713045</c:v>
                </c:pt>
                <c:pt idx="1308">
                  <c:v>0.20338098246145928</c:v>
                </c:pt>
                <c:pt idx="1309">
                  <c:v>0.20361092249998253</c:v>
                </c:pt>
                <c:pt idx="1310">
                  <c:v>0.20384152210220055</c:v>
                </c:pt>
                <c:pt idx="1311">
                  <c:v>0.20407277987456623</c:v>
                </c:pt>
                <c:pt idx="1312">
                  <c:v>0.20430469440038138</c:v>
                </c:pt>
                <c:pt idx="1313">
                  <c:v>0.20453726423970431</c:v>
                </c:pt>
                <c:pt idx="1314">
                  <c:v>0.20477048792924618</c:v>
                </c:pt>
                <c:pt idx="1315">
                  <c:v>0.20500436398228189</c:v>
                </c:pt>
                <c:pt idx="1316">
                  <c:v>0.20523889088854136</c:v>
                </c:pt>
                <c:pt idx="1317">
                  <c:v>0.20547406711411853</c:v>
                </c:pt>
                <c:pt idx="1318">
                  <c:v>0.20570989110137045</c:v>
                </c:pt>
                <c:pt idx="1319">
                  <c:v>0.2059463612688204</c:v>
                </c:pt>
                <c:pt idx="1320">
                  <c:v>0.20618347601105597</c:v>
                </c:pt>
                <c:pt idx="1321">
                  <c:v>0.20642123369863116</c:v>
                </c:pt>
                <c:pt idx="1322">
                  <c:v>0.20665963267797133</c:v>
                </c:pt>
                <c:pt idx="1323">
                  <c:v>0.20689867127126885</c:v>
                </c:pt>
                <c:pt idx="1324">
                  <c:v>0.20713834777638399</c:v>
                </c:pt>
                <c:pt idx="1325">
                  <c:v>0.20737866046674747</c:v>
                </c:pt>
                <c:pt idx="1326">
                  <c:v>0.20761960759126294</c:v>
                </c:pt>
                <c:pt idx="1327">
                  <c:v>0.20786118737420084</c:v>
                </c:pt>
                <c:pt idx="1328">
                  <c:v>0.20810339801510461</c:v>
                </c:pt>
                <c:pt idx="1329">
                  <c:v>0.20834623768868366</c:v>
                </c:pt>
                <c:pt idx="1330">
                  <c:v>0.20858970454472206</c:v>
                </c:pt>
                <c:pt idx="1331">
                  <c:v>0.20883379670796853</c:v>
                </c:pt>
                <c:pt idx="1332">
                  <c:v>0.20907851227804175</c:v>
                </c:pt>
                <c:pt idx="1333">
                  <c:v>0.20932384932932757</c:v>
                </c:pt>
                <c:pt idx="1334">
                  <c:v>0.20956980591087876</c:v>
                </c:pt>
                <c:pt idx="1335">
                  <c:v>0.20981638004631473</c:v>
                </c:pt>
                <c:pt idx="1336">
                  <c:v>0.21006356973371576</c:v>
                </c:pt>
                <c:pt idx="1337">
                  <c:v>0.21031137294552618</c:v>
                </c:pt>
                <c:pt idx="1338">
                  <c:v>0.21055978762845001</c:v>
                </c:pt>
                <c:pt idx="1339">
                  <c:v>0.21080881170335228</c:v>
                </c:pt>
                <c:pt idx="1340">
                  <c:v>0.2110584430651532</c:v>
                </c:pt>
                <c:pt idx="1341">
                  <c:v>0.21130867958272853</c:v>
                </c:pt>
                <c:pt idx="1342">
                  <c:v>0.21155951909880652</c:v>
                </c:pt>
                <c:pt idx="1343">
                  <c:v>0.21181095942986217</c:v>
                </c:pt>
                <c:pt idx="1344">
                  <c:v>0.21206299836602474</c:v>
                </c:pt>
                <c:pt idx="1345">
                  <c:v>0.21231563367096068</c:v>
                </c:pt>
                <c:pt idx="1346">
                  <c:v>0.21256886308178233</c:v>
                </c:pt>
                <c:pt idx="1347">
                  <c:v>0.21282268430893914</c:v>
                </c:pt>
                <c:pt idx="1348">
                  <c:v>0.21307709503611899</c:v>
                </c:pt>
                <c:pt idx="1349">
                  <c:v>0.21333209292013605</c:v>
                </c:pt>
                <c:pt idx="1350">
                  <c:v>0.2135876755908368</c:v>
                </c:pt>
                <c:pt idx="1351">
                  <c:v>0.21384384065099052</c:v>
                </c:pt>
                <c:pt idx="1352">
                  <c:v>0.21410058567618523</c:v>
                </c:pt>
                <c:pt idx="1353">
                  <c:v>0.21435790821472886</c:v>
                </c:pt>
                <c:pt idx="1354">
                  <c:v>0.21461580578754091</c:v>
                </c:pt>
                <c:pt idx="1355">
                  <c:v>0.21487427588804556</c:v>
                </c:pt>
                <c:pt idx="1356">
                  <c:v>0.21513331598207425</c:v>
                </c:pt>
                <c:pt idx="1357">
                  <c:v>0.21539292350775385</c:v>
                </c:pt>
                <c:pt idx="1358">
                  <c:v>0.21565309587540751</c:v>
                </c:pt>
                <c:pt idx="1359">
                  <c:v>0.21591383046744467</c:v>
                </c:pt>
                <c:pt idx="1360">
                  <c:v>0.21617512463825936</c:v>
                </c:pt>
                <c:pt idx="1361">
                  <c:v>0.21643697571412235</c:v>
                </c:pt>
                <c:pt idx="1362">
                  <c:v>0.21669938099307665</c:v>
                </c:pt>
                <c:pt idx="1363">
                  <c:v>0.21696233774483714</c:v>
                </c:pt>
                <c:pt idx="1364">
                  <c:v>0.21722584321067218</c:v>
                </c:pt>
                <c:pt idx="1365">
                  <c:v>0.21748989460330914</c:v>
                </c:pt>
                <c:pt idx="1366">
                  <c:v>0.21775448910682288</c:v>
                </c:pt>
                <c:pt idx="1367">
                  <c:v>0.21801962387653326</c:v>
                </c:pt>
                <c:pt idx="1368">
                  <c:v>0.2182852960388918</c:v>
                </c:pt>
                <c:pt idx="1369">
                  <c:v>0.21855150269138238</c:v>
                </c:pt>
                <c:pt idx="1370">
                  <c:v>0.21881824090241159</c:v>
                </c:pt>
                <c:pt idx="1371">
                  <c:v>0.21908550771119781</c:v>
                </c:pt>
                <c:pt idx="1372">
                  <c:v>0.21935330012767162</c:v>
                </c:pt>
                <c:pt idx="1373">
                  <c:v>0.2196216151323635</c:v>
                </c:pt>
                <c:pt idx="1374">
                  <c:v>0.21989044967629587</c:v>
                </c:pt>
                <c:pt idx="1375">
                  <c:v>0.22015980068087926</c:v>
                </c:pt>
                <c:pt idx="1376">
                  <c:v>0.22042966503780317</c:v>
                </c:pt>
                <c:pt idx="1377">
                  <c:v>0.22070003960892365</c:v>
                </c:pt>
                <c:pt idx="1378">
                  <c:v>0.22097092122615944</c:v>
                </c:pt>
                <c:pt idx="1379">
                  <c:v>0.22124230669138623</c:v>
                </c:pt>
                <c:pt idx="1380">
                  <c:v>0.22151419277632425</c:v>
                </c:pt>
                <c:pt idx="1381">
                  <c:v>0.22178657622242842</c:v>
                </c:pt>
                <c:pt idx="1382">
                  <c:v>0.22205945374078417</c:v>
                </c:pt>
                <c:pt idx="1383">
                  <c:v>0.22233282201199325</c:v>
                </c:pt>
                <c:pt idx="1384">
                  <c:v>0.22260667768607151</c:v>
                </c:pt>
                <c:pt idx="1385">
                  <c:v>0.22288101738233176</c:v>
                </c:pt>
                <c:pt idx="1386">
                  <c:v>0.22315583768927916</c:v>
                </c:pt>
                <c:pt idx="1387">
                  <c:v>0.22343113516450255</c:v>
                </c:pt>
                <c:pt idx="1388">
                  <c:v>0.22370690633456253</c:v>
                </c:pt>
                <c:pt idx="1389">
                  <c:v>0.22398314769487915</c:v>
                </c:pt>
                <c:pt idx="1390">
                  <c:v>0.22425985570963114</c:v>
                </c:pt>
                <c:pt idx="1391">
                  <c:v>0.22453702681163229</c:v>
                </c:pt>
                <c:pt idx="1392">
                  <c:v>0.22481465740223147</c:v>
                </c:pt>
                <c:pt idx="1393">
                  <c:v>0.22509274385119749</c:v>
                </c:pt>
                <c:pt idx="1394">
                  <c:v>0.22537128249661245</c:v>
                </c:pt>
                <c:pt idx="1395">
                  <c:v>0.22565026964475493</c:v>
                </c:pt>
                <c:pt idx="1396">
                  <c:v>0.22592970156999567</c:v>
                </c:pt>
                <c:pt idx="1397">
                  <c:v>0.22620957451467727</c:v>
                </c:pt>
                <c:pt idx="1398">
                  <c:v>0.22648988468901404</c:v>
                </c:pt>
                <c:pt idx="1399">
                  <c:v>0.22677062827097402</c:v>
                </c:pt>
                <c:pt idx="1400">
                  <c:v>0.22705180140616632</c:v>
                </c:pt>
                <c:pt idx="1401">
                  <c:v>0.22733340020773288</c:v>
                </c:pt>
                <c:pt idx="1402">
                  <c:v>0.22761542075623148</c:v>
                </c:pt>
                <c:pt idx="1403">
                  <c:v>0.22789785909953539</c:v>
                </c:pt>
                <c:pt idx="1404">
                  <c:v>0.22818071125270434</c:v>
                </c:pt>
                <c:pt idx="1405">
                  <c:v>0.22846397319788353</c:v>
                </c:pt>
                <c:pt idx="1406">
                  <c:v>0.2287476408841877</c:v>
                </c:pt>
                <c:pt idx="1407">
                  <c:v>0.22903171022759239</c:v>
                </c:pt>
                <c:pt idx="1408">
                  <c:v>0.22931617711080865</c:v>
                </c:pt>
                <c:pt idx="1409">
                  <c:v>0.22960103738318721</c:v>
                </c:pt>
                <c:pt idx="1410">
                  <c:v>0.22988628686059162</c:v>
                </c:pt>
                <c:pt idx="1411">
                  <c:v>0.23017192132529152</c:v>
                </c:pt>
                <c:pt idx="1412">
                  <c:v>0.23045793652584881</c:v>
                </c:pt>
                <c:pt idx="1413">
                  <c:v>0.23074432817699814</c:v>
                </c:pt>
                <c:pt idx="1414">
                  <c:v>0.23103109195954205</c:v>
                </c:pt>
                <c:pt idx="1415">
                  <c:v>0.23131822352022713</c:v>
                </c:pt>
                <c:pt idx="1416">
                  <c:v>0.23160571847164141</c:v>
                </c:pt>
                <c:pt idx="1417">
                  <c:v>0.23189357239208661</c:v>
                </c:pt>
                <c:pt idx="1418">
                  <c:v>0.23218178082547336</c:v>
                </c:pt>
                <c:pt idx="1419">
                  <c:v>0.23247033928120545</c:v>
                </c:pt>
                <c:pt idx="1420">
                  <c:v>0.23275924323406166</c:v>
                </c:pt>
                <c:pt idx="1421">
                  <c:v>0.23304848812407927</c:v>
                </c:pt>
                <c:pt idx="1422">
                  <c:v>0.23333806935644352</c:v>
                </c:pt>
                <c:pt idx="1423">
                  <c:v>0.23362798230137499</c:v>
                </c:pt>
                <c:pt idx="1424">
                  <c:v>0.23391822229400122</c:v>
                </c:pt>
                <c:pt idx="1425">
                  <c:v>0.23420878463425598</c:v>
                </c:pt>
                <c:pt idx="1426">
                  <c:v>0.23449966458675434</c:v>
                </c:pt>
                <c:pt idx="1427">
                  <c:v>0.2347908573806779</c:v>
                </c:pt>
                <c:pt idx="1428">
                  <c:v>0.23508235820966203</c:v>
                </c:pt>
                <c:pt idx="1429">
                  <c:v>0.23537416223167851</c:v>
                </c:pt>
                <c:pt idx="1430">
                  <c:v>0.23566626456891251</c:v>
                </c:pt>
                <c:pt idx="1431">
                  <c:v>0.23595866030765938</c:v>
                </c:pt>
                <c:pt idx="1432">
                  <c:v>0.23625134449819118</c:v>
                </c:pt>
                <c:pt idx="1433">
                  <c:v>0.23654431215465602</c:v>
                </c:pt>
                <c:pt idx="1434">
                  <c:v>0.23683755825495117</c:v>
                </c:pt>
                <c:pt idx="1435">
                  <c:v>0.23713107774060313</c:v>
                </c:pt>
                <c:pt idx="1436">
                  <c:v>0.23742486551666142</c:v>
                </c:pt>
                <c:pt idx="1437">
                  <c:v>0.23771891645157231</c:v>
                </c:pt>
                <c:pt idx="1438">
                  <c:v>0.23801322537706088</c:v>
                </c:pt>
                <c:pt idx="1439">
                  <c:v>0.23830778708802114</c:v>
                </c:pt>
                <c:pt idx="1440">
                  <c:v>0.23860259634238667</c:v>
                </c:pt>
                <c:pt idx="1441">
                  <c:v>0.23889764786102047</c:v>
                </c:pt>
                <c:pt idx="1442">
                  <c:v>0.23919293632759361</c:v>
                </c:pt>
                <c:pt idx="1443">
                  <c:v>0.23948845638847027</c:v>
                </c:pt>
                <c:pt idx="1444">
                  <c:v>0.23978420265257963</c:v>
                </c:pt>
                <c:pt idx="1445">
                  <c:v>0.24008016969130824</c:v>
                </c:pt>
                <c:pt idx="1446">
                  <c:v>0.24037635203837579</c:v>
                </c:pt>
                <c:pt idx="1447">
                  <c:v>0.24067274418971396</c:v>
                </c:pt>
                <c:pt idx="1448">
                  <c:v>0.24096934060335146</c:v>
                </c:pt>
                <c:pt idx="1449">
                  <c:v>0.24126613569928854</c:v>
                </c:pt>
                <c:pt idx="1450">
                  <c:v>0.24156312385938705</c:v>
                </c:pt>
                <c:pt idx="1451">
                  <c:v>0.24186029942723944</c:v>
                </c:pt>
                <c:pt idx="1452">
                  <c:v>0.24215765670805328</c:v>
                </c:pt>
                <c:pt idx="1453">
                  <c:v>0.24245518996853796</c:v>
                </c:pt>
                <c:pt idx="1454">
                  <c:v>0.24275289343677142</c:v>
                </c:pt>
                <c:pt idx="1455">
                  <c:v>0.24305076130208741</c:v>
                </c:pt>
                <c:pt idx="1456">
                  <c:v>0.24334878771495677</c:v>
                </c:pt>
                <c:pt idx="1457">
                  <c:v>0.24364696678686348</c:v>
                </c:pt>
                <c:pt idx="1458">
                  <c:v>0.24394529259017864</c:v>
                </c:pt>
                <c:pt idx="1459">
                  <c:v>0.24424375915805013</c:v>
                </c:pt>
                <c:pt idx="1460">
                  <c:v>0.24454236048427055</c:v>
                </c:pt>
                <c:pt idx="1461">
                  <c:v>0.24484109052316616</c:v>
                </c:pt>
                <c:pt idx="1462">
                  <c:v>0.24513994318946589</c:v>
                </c:pt>
                <c:pt idx="1463">
                  <c:v>0.24543891235818588</c:v>
                </c:pt>
                <c:pt idx="1464">
                  <c:v>0.24573799186450218</c:v>
                </c:pt>
                <c:pt idx="1465">
                  <c:v>0.24603717550363904</c:v>
                </c:pt>
                <c:pt idx="1466">
                  <c:v>0.24633645703072521</c:v>
                </c:pt>
                <c:pt idx="1467">
                  <c:v>0.24663583016070031</c:v>
                </c:pt>
                <c:pt idx="1468">
                  <c:v>0.24693528856817182</c:v>
                </c:pt>
                <c:pt idx="1469">
                  <c:v>0.24723482588729576</c:v>
                </c:pt>
                <c:pt idx="1470">
                  <c:v>0.24753443571165795</c:v>
                </c:pt>
                <c:pt idx="1471">
                  <c:v>0.24783411159414748</c:v>
                </c:pt>
                <c:pt idx="1472">
                  <c:v>0.24813384704683861</c:v>
                </c:pt>
                <c:pt idx="1473">
                  <c:v>0.24843363554086112</c:v>
                </c:pt>
                <c:pt idx="1474">
                  <c:v>0.24873347050627956</c:v>
                </c:pt>
                <c:pt idx="1475">
                  <c:v>0.24903334533196975</c:v>
                </c:pt>
                <c:pt idx="1476">
                  <c:v>0.24933325336549442</c:v>
                </c:pt>
                <c:pt idx="1477">
                  <c:v>0.24963318791298045</c:v>
                </c:pt>
                <c:pt idx="1478">
                  <c:v>0.24993314223898963</c:v>
                </c:pt>
                <c:pt idx="1479">
                  <c:v>0.2502331095664041</c:v>
                </c:pt>
                <c:pt idx="1480">
                  <c:v>0.25053308307628913</c:v>
                </c:pt>
                <c:pt idx="1481">
                  <c:v>0.25083305590778082</c:v>
                </c:pt>
                <c:pt idx="1482">
                  <c:v>0.25113302115795411</c:v>
                </c:pt>
                <c:pt idx="1483">
                  <c:v>0.25143297188169678</c:v>
                </c:pt>
                <c:pt idx="1484">
                  <c:v>0.25173290109158969</c:v>
                </c:pt>
                <c:pt idx="1485">
                  <c:v>0.25203280175777676</c:v>
                </c:pt>
                <c:pt idx="1486">
                  <c:v>0.25233266680784272</c:v>
                </c:pt>
                <c:pt idx="1487">
                  <c:v>0.2526324891266844</c:v>
                </c:pt>
                <c:pt idx="1488">
                  <c:v>0.25293226155638965</c:v>
                </c:pt>
                <c:pt idx="1489">
                  <c:v>0.25323197689610399</c:v>
                </c:pt>
                <c:pt idx="1490">
                  <c:v>0.25353162790190975</c:v>
                </c:pt>
                <c:pt idx="1491">
                  <c:v>0.25383120728670289</c:v>
                </c:pt>
                <c:pt idx="1492">
                  <c:v>0.25413070772005564</c:v>
                </c:pt>
                <c:pt idx="1493">
                  <c:v>0.25443012182810354</c:v>
                </c:pt>
                <c:pt idx="1494">
                  <c:v>0.25472944219340721</c:v>
                </c:pt>
                <c:pt idx="1495">
                  <c:v>0.25502866135483143</c:v>
                </c:pt>
                <c:pt idx="1496">
                  <c:v>0.25532777180741628</c:v>
                </c:pt>
                <c:pt idx="1497">
                  <c:v>0.25562676600224787</c:v>
                </c:pt>
                <c:pt idx="1498">
                  <c:v>0.25592563634634197</c:v>
                </c:pt>
                <c:pt idx="1499">
                  <c:v>0.25622437520249541</c:v>
                </c:pt>
                <c:pt idx="1500">
                  <c:v>0.25652297488917952</c:v>
                </c:pt>
                <c:pt idx="1501">
                  <c:v>0.25682142768040039</c:v>
                </c:pt>
                <c:pt idx="1502">
                  <c:v>0.25711972580557402</c:v>
                </c:pt>
                <c:pt idx="1503">
                  <c:v>0.25741786144939593</c:v>
                </c:pt>
                <c:pt idx="1504">
                  <c:v>0.25771582675171734</c:v>
                </c:pt>
                <c:pt idx="1505">
                  <c:v>0.25801361380741472</c:v>
                </c:pt>
                <c:pt idx="1506">
                  <c:v>0.25831121466625723</c:v>
                </c:pt>
                <c:pt idx="1507">
                  <c:v>0.25860862133278106</c:v>
                </c:pt>
                <c:pt idx="1508">
                  <c:v>0.25890582576616428</c:v>
                </c:pt>
                <c:pt idx="1509">
                  <c:v>0.25920281988008748</c:v>
                </c:pt>
                <c:pt idx="1510">
                  <c:v>0.25949959554261837</c:v>
                </c:pt>
                <c:pt idx="1511">
                  <c:v>0.25979614457606726</c:v>
                </c:pt>
                <c:pt idx="1512">
                  <c:v>0.26009245875686593</c:v>
                </c:pt>
                <c:pt idx="1513">
                  <c:v>0.26038852981543964</c:v>
                </c:pt>
                <c:pt idx="1514">
                  <c:v>0.26068434943607488</c:v>
                </c:pt>
                <c:pt idx="1515">
                  <c:v>0.26097990925678216</c:v>
                </c:pt>
                <c:pt idx="1516">
                  <c:v>0.26127520086917727</c:v>
                </c:pt>
                <c:pt idx="1517">
                  <c:v>0.26157021581834117</c:v>
                </c:pt>
                <c:pt idx="1518">
                  <c:v>0.26186494560269946</c:v>
                </c:pt>
                <c:pt idx="1519">
                  <c:v>0.26215938167387864</c:v>
                </c:pt>
                <c:pt idx="1520">
                  <c:v>0.26245351543658685</c:v>
                </c:pt>
                <c:pt idx="1521">
                  <c:v>0.26274733824847685</c:v>
                </c:pt>
                <c:pt idx="1522">
                  <c:v>0.26304084142001449</c:v>
                </c:pt>
                <c:pt idx="1523">
                  <c:v>0.26333401621435198</c:v>
                </c:pt>
                <c:pt idx="1524">
                  <c:v>0.26362685384719042</c:v>
                </c:pt>
                <c:pt idx="1525">
                  <c:v>0.26391934548665297</c:v>
                </c:pt>
                <c:pt idx="1526">
                  <c:v>0.26421148225314539</c:v>
                </c:pt>
                <c:pt idx="1527">
                  <c:v>0.26450325521923429</c:v>
                </c:pt>
                <c:pt idx="1528">
                  <c:v>0.2647946554095103</c:v>
                </c:pt>
                <c:pt idx="1529">
                  <c:v>0.26508567380044878</c:v>
                </c:pt>
                <c:pt idx="1530">
                  <c:v>0.26537630132029227</c:v>
                </c:pt>
                <c:pt idx="1531">
                  <c:v>0.26566652884890124</c:v>
                </c:pt>
                <c:pt idx="1532">
                  <c:v>0.26595634721763228</c:v>
                </c:pt>
                <c:pt idx="1533">
                  <c:v>0.26624574720920546</c:v>
                </c:pt>
                <c:pt idx="1534">
                  <c:v>0.26653471955755909</c:v>
                </c:pt>
                <c:pt idx="1535">
                  <c:v>0.26682325494773163</c:v>
                </c:pt>
                <c:pt idx="1536">
                  <c:v>0.2671113440157209</c:v>
                </c:pt>
                <c:pt idx="1537">
                  <c:v>0.26739897734834428</c:v>
                </c:pt>
                <c:pt idx="1538">
                  <c:v>0.26768614548311936</c:v>
                </c:pt>
                <c:pt idx="1539">
                  <c:v>0.26797283890811718</c:v>
                </c:pt>
                <c:pt idx="1540">
                  <c:v>0.26825904806183332</c:v>
                </c:pt>
                <c:pt idx="1541">
                  <c:v>0.26854476333305216</c:v>
                </c:pt>
                <c:pt idx="1542">
                  <c:v>0.26882997506071804</c:v>
                </c:pt>
                <c:pt idx="1543">
                  <c:v>0.26911467353378493</c:v>
                </c:pt>
                <c:pt idx="1544">
                  <c:v>0.26939884899110866</c:v>
                </c:pt>
                <c:pt idx="1545">
                  <c:v>0.2696824916212785</c:v>
                </c:pt>
                <c:pt idx="1546">
                  <c:v>0.26996559156251254</c:v>
                </c:pt>
                <c:pt idx="1547">
                  <c:v>0.27024813890249966</c:v>
                </c:pt>
                <c:pt idx="1548">
                  <c:v>0.27053012367827706</c:v>
                </c:pt>
                <c:pt idx="1549">
                  <c:v>0.27081153587609696</c:v>
                </c:pt>
                <c:pt idx="1550">
                  <c:v>0.27109236543126836</c:v>
                </c:pt>
                <c:pt idx="1551">
                  <c:v>0.27137260222805826</c:v>
                </c:pt>
                <c:pt idx="1552">
                  <c:v>0.27165223609952088</c:v>
                </c:pt>
                <c:pt idx="1553">
                  <c:v>0.27193125682737984</c:v>
                </c:pt>
                <c:pt idx="1554">
                  <c:v>0.27220965414188725</c:v>
                </c:pt>
                <c:pt idx="1555">
                  <c:v>0.27248741772168344</c:v>
                </c:pt>
                <c:pt idx="1556">
                  <c:v>0.27276453719366567</c:v>
                </c:pt>
                <c:pt idx="1557">
                  <c:v>0.27304100213285909</c:v>
                </c:pt>
                <c:pt idx="1558">
                  <c:v>0.27331680206225362</c:v>
                </c:pt>
                <c:pt idx="1559">
                  <c:v>0.2735919264526932</c:v>
                </c:pt>
                <c:pt idx="1560">
                  <c:v>0.27386636472272741</c:v>
                </c:pt>
                <c:pt idx="1561">
                  <c:v>0.27414010623847263</c:v>
                </c:pt>
                <c:pt idx="1562">
                  <c:v>0.27441314031347536</c:v>
                </c:pt>
                <c:pt idx="1563">
                  <c:v>0.27468545620857726</c:v>
                </c:pt>
                <c:pt idx="1564">
                  <c:v>0.27495704313177549</c:v>
                </c:pt>
                <c:pt idx="1565">
                  <c:v>0.27522789023808625</c:v>
                </c:pt>
                <c:pt idx="1566">
                  <c:v>0.27549798662940211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Analysis!$X$1</c:f>
              <c:strCache>
                <c:ptCount val="1"/>
                <c:pt idx="0">
                  <c:v>Velocity [m/s]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Analysis!$V$2:$V$1568</c:f>
              <c:numCache>
                <c:formatCode>0.000</c:formatCode>
                <c:ptCount val="1567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  <c:pt idx="1502">
                  <c:v>1.502</c:v>
                </c:pt>
                <c:pt idx="1503">
                  <c:v>1.5029999999999999</c:v>
                </c:pt>
                <c:pt idx="1504">
                  <c:v>1.504</c:v>
                </c:pt>
                <c:pt idx="1505">
                  <c:v>1.5049999999999999</c:v>
                </c:pt>
                <c:pt idx="1506">
                  <c:v>1.506</c:v>
                </c:pt>
                <c:pt idx="1507">
                  <c:v>1.5069999999999999</c:v>
                </c:pt>
                <c:pt idx="1508">
                  <c:v>1.508</c:v>
                </c:pt>
                <c:pt idx="1509">
                  <c:v>1.5089999999999999</c:v>
                </c:pt>
                <c:pt idx="1510">
                  <c:v>1.51</c:v>
                </c:pt>
                <c:pt idx="1511">
                  <c:v>1.5109999999999999</c:v>
                </c:pt>
                <c:pt idx="1512">
                  <c:v>1.512</c:v>
                </c:pt>
                <c:pt idx="1513">
                  <c:v>1.5129999999999999</c:v>
                </c:pt>
                <c:pt idx="1514">
                  <c:v>1.514</c:v>
                </c:pt>
                <c:pt idx="1515">
                  <c:v>1.5149999999999999</c:v>
                </c:pt>
                <c:pt idx="1516">
                  <c:v>1.516</c:v>
                </c:pt>
                <c:pt idx="1517">
                  <c:v>1.5169999999999999</c:v>
                </c:pt>
                <c:pt idx="1518">
                  <c:v>1.518</c:v>
                </c:pt>
                <c:pt idx="1519">
                  <c:v>1.5189999999999999</c:v>
                </c:pt>
                <c:pt idx="1520">
                  <c:v>1.52</c:v>
                </c:pt>
                <c:pt idx="1521">
                  <c:v>1.5209999999999999</c:v>
                </c:pt>
                <c:pt idx="1522">
                  <c:v>1.522</c:v>
                </c:pt>
                <c:pt idx="1523">
                  <c:v>1.5229999999999999</c:v>
                </c:pt>
                <c:pt idx="1524">
                  <c:v>1.524</c:v>
                </c:pt>
                <c:pt idx="1525">
                  <c:v>1.5249999999999999</c:v>
                </c:pt>
                <c:pt idx="1526">
                  <c:v>1.526</c:v>
                </c:pt>
                <c:pt idx="1527">
                  <c:v>1.5269999999999999</c:v>
                </c:pt>
                <c:pt idx="1528">
                  <c:v>1.528</c:v>
                </c:pt>
                <c:pt idx="1529">
                  <c:v>1.5289999999999999</c:v>
                </c:pt>
                <c:pt idx="1530">
                  <c:v>1.53</c:v>
                </c:pt>
                <c:pt idx="1531">
                  <c:v>1.5309999999999999</c:v>
                </c:pt>
                <c:pt idx="1532">
                  <c:v>1.532</c:v>
                </c:pt>
                <c:pt idx="1533">
                  <c:v>1.5329999999999999</c:v>
                </c:pt>
                <c:pt idx="1534">
                  <c:v>1.534</c:v>
                </c:pt>
                <c:pt idx="1535">
                  <c:v>1.5349999999999999</c:v>
                </c:pt>
                <c:pt idx="1536">
                  <c:v>1.536</c:v>
                </c:pt>
                <c:pt idx="1537">
                  <c:v>1.5369999999999999</c:v>
                </c:pt>
                <c:pt idx="1538">
                  <c:v>1.538</c:v>
                </c:pt>
                <c:pt idx="1539">
                  <c:v>1.5389999999999999</c:v>
                </c:pt>
                <c:pt idx="1540">
                  <c:v>1.54</c:v>
                </c:pt>
                <c:pt idx="1541">
                  <c:v>1.5409999999999999</c:v>
                </c:pt>
                <c:pt idx="1542">
                  <c:v>1.542</c:v>
                </c:pt>
                <c:pt idx="1543">
                  <c:v>1.5429999999999999</c:v>
                </c:pt>
                <c:pt idx="1544">
                  <c:v>1.544</c:v>
                </c:pt>
                <c:pt idx="1545">
                  <c:v>1.5449999999999999</c:v>
                </c:pt>
                <c:pt idx="1546">
                  <c:v>1.546</c:v>
                </c:pt>
                <c:pt idx="1547">
                  <c:v>1.5469999999999999</c:v>
                </c:pt>
                <c:pt idx="1548">
                  <c:v>1.548</c:v>
                </c:pt>
                <c:pt idx="1549">
                  <c:v>1.5489999999999999</c:v>
                </c:pt>
                <c:pt idx="1550">
                  <c:v>1.55</c:v>
                </c:pt>
                <c:pt idx="1551">
                  <c:v>1.5509999999999999</c:v>
                </c:pt>
                <c:pt idx="1552">
                  <c:v>1.552</c:v>
                </c:pt>
                <c:pt idx="1553">
                  <c:v>1.5529999999999999</c:v>
                </c:pt>
                <c:pt idx="1554">
                  <c:v>1.554</c:v>
                </c:pt>
                <c:pt idx="1555">
                  <c:v>1.5549999999999999</c:v>
                </c:pt>
                <c:pt idx="1556">
                  <c:v>1.556</c:v>
                </c:pt>
                <c:pt idx="1557">
                  <c:v>1.5569999999999999</c:v>
                </c:pt>
                <c:pt idx="1558">
                  <c:v>1.5580000000000001</c:v>
                </c:pt>
                <c:pt idx="1559">
                  <c:v>1.5589999999999999</c:v>
                </c:pt>
                <c:pt idx="1560">
                  <c:v>1.56</c:v>
                </c:pt>
                <c:pt idx="1561">
                  <c:v>1.5609999999999999</c:v>
                </c:pt>
                <c:pt idx="1562">
                  <c:v>1.5620000000000001</c:v>
                </c:pt>
                <c:pt idx="1563">
                  <c:v>1.5629999999999999</c:v>
                </c:pt>
                <c:pt idx="1564">
                  <c:v>1.5640000000000001</c:v>
                </c:pt>
                <c:pt idx="1565">
                  <c:v>1.5649999999999999</c:v>
                </c:pt>
                <c:pt idx="1566">
                  <c:v>1.5660000000000001</c:v>
                </c:pt>
              </c:numCache>
            </c:numRef>
          </c:xVal>
          <c:yVal>
            <c:numRef>
              <c:f>Analysis!$X$2:$X$1568</c:f>
              <c:numCache>
                <c:formatCode>0.000</c:formatCode>
                <c:ptCount val="1567"/>
                <c:pt idx="0">
                  <c:v>3.9814341644159902E-2</c:v>
                </c:pt>
                <c:pt idx="1">
                  <c:v>3.9255811622763981E-2</c:v>
                </c:pt>
                <c:pt idx="2">
                  <c:v>3.8702766921592455E-2</c:v>
                </c:pt>
                <c:pt idx="3">
                  <c:v>3.8155174248325666E-2</c:v>
                </c:pt>
                <c:pt idx="4">
                  <c:v>3.7613000423629389E-2</c:v>
                </c:pt>
                <c:pt idx="5">
                  <c:v>3.7076212380993907E-2</c:v>
                </c:pt>
                <c:pt idx="6">
                  <c:v>3.654477716657302E-2</c:v>
                </c:pt>
                <c:pt idx="7">
                  <c:v>3.6018661939023068E-2</c:v>
                </c:pt>
                <c:pt idx="8">
                  <c:v>3.5497833969341988E-2</c:v>
                </c:pt>
                <c:pt idx="9">
                  <c:v>3.4982260640708342E-2</c:v>
                </c:pt>
                <c:pt idx="10">
                  <c:v>3.447190944832032E-2</c:v>
                </c:pt>
                <c:pt idx="11">
                  <c:v>3.3966747999234811E-2</c:v>
                </c:pt>
                <c:pt idx="12">
                  <c:v>3.3466744012206395E-2</c:v>
                </c:pt>
                <c:pt idx="13">
                  <c:v>3.2971865317526418E-2</c:v>
                </c:pt>
                <c:pt idx="14">
                  <c:v>3.2482079856861981E-2</c:v>
                </c:pt>
                <c:pt idx="15">
                  <c:v>3.1997355683095009E-2</c:v>
                </c:pt>
                <c:pt idx="16">
                  <c:v>3.1517660960161252E-2</c:v>
                </c:pt>
                <c:pt idx="17">
                  <c:v>3.1042963962889338E-2</c:v>
                </c:pt>
                <c:pt idx="18">
                  <c:v>3.057323307683979E-2</c:v>
                </c:pt>
                <c:pt idx="19">
                  <c:v>3.0108436798144074E-2</c:v>
                </c:pt>
                <c:pt idx="20">
                  <c:v>2.9648543733343607E-2</c:v>
                </c:pt>
                <c:pt idx="21">
                  <c:v>2.9193522599228822E-2</c:v>
                </c:pt>
                <c:pt idx="22">
                  <c:v>2.8743342222678166E-2</c:v>
                </c:pt>
                <c:pt idx="23">
                  <c:v>2.8297971540497145E-2</c:v>
                </c:pt>
                <c:pt idx="24">
                  <c:v>2.7857379599257368E-2</c:v>
                </c:pt>
                <c:pt idx="25">
                  <c:v>2.7421535555135559E-2</c:v>
                </c:pt>
                <c:pt idx="26">
                  <c:v>2.6990408673752603E-2</c:v>
                </c:pt>
                <c:pt idx="27">
                  <c:v>2.6563968330012566E-2</c:v>
                </c:pt>
                <c:pt idx="28">
                  <c:v>2.6142184007941736E-2</c:v>
                </c:pt>
                <c:pt idx="29">
                  <c:v>2.5725025300527653E-2</c:v>
                </c:pt>
                <c:pt idx="30">
                  <c:v>2.5312461909558145E-2</c:v>
                </c:pt>
                <c:pt idx="31">
                  <c:v>2.4904463645460326E-2</c:v>
                </c:pt>
                <c:pt idx="32">
                  <c:v>2.4501000427139694E-2</c:v>
                </c:pt>
                <c:pt idx="33">
                  <c:v>2.4102042281819093E-2</c:v>
                </c:pt>
                <c:pt idx="34">
                  <c:v>2.3707559344877803E-2</c:v>
                </c:pt>
                <c:pt idx="35">
                  <c:v>2.3317521859690514E-2</c:v>
                </c:pt>
                <c:pt idx="36">
                  <c:v>2.2931900177466418E-2</c:v>
                </c:pt>
                <c:pt idx="37">
                  <c:v>2.2550664757088192E-2</c:v>
                </c:pt>
                <c:pt idx="38">
                  <c:v>2.217378616495105E-2</c:v>
                </c:pt>
                <c:pt idx="39">
                  <c:v>2.1801235074801781E-2</c:v>
                </c:pt>
                <c:pt idx="40">
                  <c:v>2.1432982267577769E-2</c:v>
                </c:pt>
                <c:pt idx="41">
                  <c:v>2.1068998631246033E-2</c:v>
                </c:pt>
                <c:pt idx="42">
                  <c:v>2.0709255160642238E-2</c:v>
                </c:pt>
                <c:pt idx="43">
                  <c:v>2.0353722957309778E-2</c:v>
                </c:pt>
                <c:pt idx="44">
                  <c:v>2.0002373229338729E-2</c:v>
                </c:pt>
                <c:pt idx="45">
                  <c:v>1.9655177291204952E-2</c:v>
                </c:pt>
                <c:pt idx="46">
                  <c:v>1.9312106563609092E-2</c:v>
                </c:pt>
                <c:pt idx="47">
                  <c:v>1.8973132573315614E-2</c:v>
                </c:pt>
                <c:pt idx="48">
                  <c:v>1.8638226952991836E-2</c:v>
                </c:pt>
                <c:pt idx="49">
                  <c:v>1.8307361441046961E-2</c:v>
                </c:pt>
                <c:pt idx="50">
                  <c:v>1.7980507881471097E-2</c:v>
                </c:pt>
                <c:pt idx="51">
                  <c:v>1.7657638223674325E-2</c:v>
                </c:pt>
                <c:pt idx="52">
                  <c:v>1.7338724522325676E-2</c:v>
                </c:pt>
                <c:pt idx="53">
                  <c:v>1.7023738937192216E-2</c:v>
                </c:pt>
                <c:pt idx="54">
                  <c:v>1.6712653732978037E-2</c:v>
                </c:pt>
                <c:pt idx="55">
                  <c:v>1.6405441279163307E-2</c:v>
                </c:pt>
                <c:pt idx="56">
                  <c:v>1.6102074049843318E-2</c:v>
                </c:pt>
                <c:pt idx="57">
                  <c:v>1.5802524623567474E-2</c:v>
                </c:pt>
                <c:pt idx="58">
                  <c:v>1.5506765683178363E-2</c:v>
                </c:pt>
                <c:pt idx="59">
                  <c:v>1.5214770015650785E-2</c:v>
                </c:pt>
                <c:pt idx="60">
                  <c:v>1.4926510511930745E-2</c:v>
                </c:pt>
                <c:pt idx="61">
                  <c:v>1.4641960166774527E-2</c:v>
                </c:pt>
                <c:pt idx="62">
                  <c:v>1.4361092078587726E-2</c:v>
                </c:pt>
                <c:pt idx="63">
                  <c:v>1.4083879449264241E-2</c:v>
                </c:pt>
                <c:pt idx="64">
                  <c:v>1.3810295584025342E-2</c:v>
                </c:pt>
                <c:pt idx="65">
                  <c:v>1.3540313891258683E-2</c:v>
                </c:pt>
                <c:pt idx="66">
                  <c:v>1.3273907882357359E-2</c:v>
                </c:pt>
                <c:pt idx="67">
                  <c:v>1.3011051171558902E-2</c:v>
                </c:pt>
                <c:pt idx="68">
                  <c:v>1.2751717475784331E-2</c:v>
                </c:pt>
                <c:pt idx="69">
                  <c:v>1.2495880614477199E-2</c:v>
                </c:pt>
                <c:pt idx="70">
                  <c:v>1.2243514509442582E-2</c:v>
                </c:pt>
                <c:pt idx="71">
                  <c:v>1.199459318468617E-2</c:v>
                </c:pt>
                <c:pt idx="72">
                  <c:v>1.1749090766253242E-2</c:v>
                </c:pt>
                <c:pt idx="73">
                  <c:v>1.1506981482067729E-2</c:v>
                </c:pt>
                <c:pt idx="74">
                  <c:v>1.1268239661771238E-2</c:v>
                </c:pt>
                <c:pt idx="75">
                  <c:v>1.1032839736562085E-2</c:v>
                </c:pt>
                <c:pt idx="76">
                  <c:v>1.0800756239034329E-2</c:v>
                </c:pt>
                <c:pt idx="77">
                  <c:v>1.0571963803016799E-2</c:v>
                </c:pt>
                <c:pt idx="78">
                  <c:v>1.0346437163412124E-2</c:v>
                </c:pt>
                <c:pt idx="79">
                  <c:v>1.0124151156035766E-2</c:v>
                </c:pt>
                <c:pt idx="80">
                  <c:v>9.9050807174550608E-3</c:v>
                </c:pt>
                <c:pt idx="81">
                  <c:v>9.6892008848282474E-3</c:v>
                </c:pt>
                <c:pt idx="82">
                  <c:v>9.4764867957434773E-3</c:v>
                </c:pt>
                <c:pt idx="83">
                  <c:v>9.2669136880578797E-3</c:v>
                </c:pt>
                <c:pt idx="84">
                  <c:v>9.0604568997365575E-3</c:v>
                </c:pt>
                <c:pt idx="85">
                  <c:v>8.8570918686916786E-3</c:v>
                </c:pt>
                <c:pt idx="86">
                  <c:v>8.6567941326214266E-3</c:v>
                </c:pt>
                <c:pt idx="87">
                  <c:v>8.4595393288490819E-3</c:v>
                </c:pt>
                <c:pt idx="88">
                  <c:v>8.265303194162063E-3</c:v>
                </c:pt>
                <c:pt idx="89">
                  <c:v>8.0740615646509237E-3</c:v>
                </c:pt>
                <c:pt idx="90">
                  <c:v>7.8857903755484085E-3</c:v>
                </c:pt>
                <c:pt idx="91">
                  <c:v>7.7004656610684882E-3</c:v>
                </c:pt>
                <c:pt idx="92">
                  <c:v>7.5180635542453425E-3</c:v>
                </c:pt>
                <c:pt idx="93">
                  <c:v>7.3385602867724817E-3</c:v>
                </c:pt>
                <c:pt idx="94">
                  <c:v>7.1619321888416812E-3</c:v>
                </c:pt>
                <c:pt idx="95">
                  <c:v>6.9881556889820895E-3</c:v>
                </c:pt>
                <c:pt idx="96">
                  <c:v>6.8172073138992109E-3</c:v>
                </c:pt>
                <c:pt idx="97">
                  <c:v>6.6490636883139789E-3</c:v>
                </c:pt>
                <c:pt idx="98">
                  <c:v>6.4837015348017182E-3</c:v>
                </c:pt>
                <c:pt idx="99">
                  <c:v>6.3210976736312596E-3</c:v>
                </c:pt>
                <c:pt idx="100">
                  <c:v>6.1612290226039437E-3</c:v>
                </c:pt>
                <c:pt idx="101">
                  <c:v>6.0040725968926109E-3</c:v>
                </c:pt>
                <c:pt idx="102">
                  <c:v>5.8496055088806884E-3</c:v>
                </c:pt>
                <c:pt idx="103">
                  <c:v>5.69780496800118E-3</c:v>
                </c:pt>
                <c:pt idx="104">
                  <c:v>5.5486482805757256E-3</c:v>
                </c:pt>
                <c:pt idx="105">
                  <c:v>5.4021128496536397E-3</c:v>
                </c:pt>
                <c:pt idx="106">
                  <c:v>5.2581761748509079E-3</c:v>
                </c:pt>
                <c:pt idx="107">
                  <c:v>5.1168158521892465E-3</c:v>
                </c:pt>
                <c:pt idx="108">
                  <c:v>4.9780095739351202E-3</c:v>
                </c:pt>
                <c:pt idx="109">
                  <c:v>4.8417351284387802E-3</c:v>
                </c:pt>
                <c:pt idx="110">
                  <c:v>4.7079703999733102E-3</c:v>
                </c:pt>
                <c:pt idx="111">
                  <c:v>4.5766933685736297E-3</c:v>
                </c:pt>
                <c:pt idx="112">
                  <c:v>4.4478821098755186E-3</c:v>
                </c:pt>
                <c:pt idx="113">
                  <c:v>4.3215147949547256E-3</c:v>
                </c:pt>
                <c:pt idx="114">
                  <c:v>4.1975696901658741E-3</c:v>
                </c:pt>
                <c:pt idx="115">
                  <c:v>4.0760251569816261E-3</c:v>
                </c:pt>
                <c:pt idx="116">
                  <c:v>3.9568596518315957E-3</c:v>
                </c:pt>
                <c:pt idx="117">
                  <c:v>3.8400517259414915E-3</c:v>
                </c:pt>
                <c:pt idx="118">
                  <c:v>3.7255800251720719E-3</c:v>
                </c:pt>
                <c:pt idx="119">
                  <c:v>3.6134232898581628E-3</c:v>
                </c:pt>
                <c:pt idx="120">
                  <c:v>3.5035603546477723E-3</c:v>
                </c:pt>
                <c:pt idx="121">
                  <c:v>3.395970148341039E-3</c:v>
                </c:pt>
                <c:pt idx="122">
                  <c:v>3.2906316937293401E-3</c:v>
                </c:pt>
                <c:pt idx="123">
                  <c:v>3.1875241074342531E-3</c:v>
                </c:pt>
                <c:pt idx="124">
                  <c:v>3.0866265997466016E-3</c:v>
                </c:pt>
                <c:pt idx="125">
                  <c:v>2.9879184744655563E-3</c:v>
                </c:pt>
                <c:pt idx="126">
                  <c:v>2.8913791287375618E-3</c:v>
                </c:pt>
                <c:pt idx="127">
                  <c:v>2.7969880528954313E-3</c:v>
                </c:pt>
                <c:pt idx="128">
                  <c:v>2.7047248302973642E-3</c:v>
                </c:pt>
                <c:pt idx="129">
                  <c:v>2.6145691371660187E-3</c:v>
                </c:pt>
                <c:pt idx="130">
                  <c:v>2.5265007424274261E-3</c:v>
                </c:pt>
                <c:pt idx="131">
                  <c:v>2.4404995075501812E-3</c:v>
                </c:pt>
                <c:pt idx="132">
                  <c:v>2.3565453863843566E-3</c:v>
                </c:pt>
                <c:pt idx="133">
                  <c:v>2.2746184250005616E-3</c:v>
                </c:pt>
                <c:pt idx="134">
                  <c:v>2.1946987615290084E-3</c:v>
                </c:pt>
                <c:pt idx="135">
                  <c:v>2.1167666259984882E-3</c:v>
                </c:pt>
                <c:pt idx="136">
                  <c:v>2.0408023401754655E-3</c:v>
                </c:pt>
                <c:pt idx="137">
                  <c:v>1.9667863174030673E-3</c:v>
                </c:pt>
                <c:pt idx="138">
                  <c:v>1.8946990624401014E-3</c:v>
                </c:pt>
                <c:pt idx="139">
                  <c:v>1.8245211713001502E-3</c:v>
                </c:pt>
                <c:pt idx="140">
                  <c:v>1.7562333310905467E-3</c:v>
                </c:pt>
                <c:pt idx="141">
                  <c:v>1.6898163198514338E-3</c:v>
                </c:pt>
                <c:pt idx="142">
                  <c:v>1.6252510063947609E-3</c:v>
                </c:pt>
                <c:pt idx="143">
                  <c:v>1.5625183501433576E-3</c:v>
                </c:pt>
                <c:pt idx="144">
                  <c:v>1.5015994009699579E-3</c:v>
                </c:pt>
                <c:pt idx="145">
                  <c:v>1.4424752990362111E-3</c:v>
                </c:pt>
                <c:pt idx="146">
                  <c:v>1.3851272746317131E-3</c:v>
                </c:pt>
                <c:pt idx="147">
                  <c:v>1.329536648013073E-3</c:v>
                </c:pt>
                <c:pt idx="148">
                  <c:v>1.2756848292429165E-3</c:v>
                </c:pt>
                <c:pt idx="149">
                  <c:v>1.223553318028904E-3</c:v>
                </c:pt>
                <c:pt idx="150">
                  <c:v>1.1731237035627964E-3</c:v>
                </c:pt>
                <c:pt idx="151">
                  <c:v>1.1243776643595008E-3</c:v>
                </c:pt>
                <c:pt idx="152">
                  <c:v>1.0772969680960046E-3</c:v>
                </c:pt>
                <c:pt idx="153">
                  <c:v>1.0318634714505184E-3</c:v>
                </c:pt>
                <c:pt idx="154">
                  <c:v>9.880591199414937E-4</c:v>
                </c:pt>
                <c:pt idx="155">
                  <c:v>9.4586594776654986E-4</c:v>
                </c:pt>
                <c:pt idx="156">
                  <c:v>9.0526607764163797E-4</c:v>
                </c:pt>
                <c:pt idx="157">
                  <c:v>8.6624172064001664E-4</c:v>
                </c:pt>
                <c:pt idx="158">
                  <c:v>8.2877517603123507E-4</c:v>
                </c:pt>
                <c:pt idx="159">
                  <c:v>7.9284883112027554E-4</c:v>
                </c:pt>
                <c:pt idx="160">
                  <c:v>7.5844516108648785E-4</c:v>
                </c:pt>
                <c:pt idx="161">
                  <c:v>7.2554672882265553E-4</c:v>
                </c:pt>
                <c:pt idx="162">
                  <c:v>6.9413618477403433E-4</c:v>
                </c:pt>
                <c:pt idx="163">
                  <c:v>6.6419626677737681E-4</c:v>
                </c:pt>
                <c:pt idx="164">
                  <c:v>6.3570979989995696E-4</c:v>
                </c:pt>
                <c:pt idx="165">
                  <c:v>6.0865969627862254E-4</c:v>
                </c:pt>
                <c:pt idx="166">
                  <c:v>5.8302895495881274E-4</c:v>
                </c:pt>
                <c:pt idx="167">
                  <c:v>5.588006617335689E-4</c:v>
                </c:pt>
                <c:pt idx="168">
                  <c:v>5.359579889825869E-4</c:v>
                </c:pt>
                <c:pt idx="169">
                  <c:v>5.144841955113319E-4</c:v>
                </c:pt>
                <c:pt idx="170">
                  <c:v>4.9436262638986178E-4</c:v>
                </c:pt>
                <c:pt idx="171">
                  <c:v>4.7557671279207375E-4</c:v>
                </c:pt>
                <c:pt idx="172">
                  <c:v>4.5810997183461794E-4</c:v>
                </c:pt>
                <c:pt idx="173">
                  <c:v>4.4194600641595666E-4</c:v>
                </c:pt>
                <c:pt idx="174">
                  <c:v>4.2706850505539601E-4</c:v>
                </c:pt>
                <c:pt idx="175">
                  <c:v>4.134612417321451E-4</c:v>
                </c:pt>
                <c:pt idx="176">
                  <c:v>4.0110807572427132E-4</c:v>
                </c:pt>
                <c:pt idx="177">
                  <c:v>3.8999295144784979E-4</c:v>
                </c:pt>
                <c:pt idx="178">
                  <c:v>3.8009989829587698E-4</c:v>
                </c:pt>
                <c:pt idx="179">
                  <c:v>3.7141303047736468E-4</c:v>
                </c:pt>
                <c:pt idx="180">
                  <c:v>3.6391654685637848E-4</c:v>
                </c:pt>
                <c:pt idx="181">
                  <c:v>3.5759473079102072E-4</c:v>
                </c:pt>
                <c:pt idx="182">
                  <c:v>3.5243194997255228E-4</c:v>
                </c:pt>
                <c:pt idx="183">
                  <c:v>3.4841265626426449E-4</c:v>
                </c:pt>
                <c:pt idx="184">
                  <c:v>3.4552138554070494E-4</c:v>
                </c:pt>
                <c:pt idx="185">
                  <c:v>3.4374275752661193E-4</c:v>
                </c:pt>
                <c:pt idx="186">
                  <c:v>3.430614756358627E-4</c:v>
                </c:pt>
                <c:pt idx="187">
                  <c:v>3.4346232681067151E-4</c:v>
                </c:pt>
                <c:pt idx="188">
                  <c:v>3.4493018136051018E-4</c:v>
                </c:pt>
                <c:pt idx="189">
                  <c:v>3.4744999280122285E-4</c:v>
                </c:pt>
                <c:pt idx="190">
                  <c:v>3.5100679769391879E-4</c:v>
                </c:pt>
                <c:pt idx="191">
                  <c:v>3.5558571548415657E-4</c:v>
                </c:pt>
                <c:pt idx="192">
                  <c:v>3.6117194834092009E-4</c:v>
                </c:pt>
                <c:pt idx="193">
                  <c:v>3.6775078099556685E-4</c:v>
                </c:pt>
                <c:pt idx="194">
                  <c:v>3.7530758058101216E-4</c:v>
                </c:pt>
                <c:pt idx="195">
                  <c:v>3.8382779647063575E-4</c:v>
                </c:pt>
                <c:pt idx="196">
                  <c:v>3.9329696011739662E-4</c:v>
                </c:pt>
                <c:pt idx="197">
                  <c:v>4.0370068489273964E-4</c:v>
                </c:pt>
                <c:pt idx="198">
                  <c:v>4.1502466592587689E-4</c:v>
                </c:pt>
                <c:pt idx="199">
                  <c:v>4.2725467994254168E-4</c:v>
                </c:pt>
                <c:pt idx="200">
                  <c:v>4.4037658510415884E-4</c:v>
                </c:pt>
                <c:pt idx="201">
                  <c:v>4.543763208468346E-4</c:v>
                </c:pt>
                <c:pt idx="202">
                  <c:v>4.6923990772045759E-4</c:v>
                </c:pt>
                <c:pt idx="203">
                  <c:v>4.8495344722760542E-4</c:v>
                </c:pt>
                <c:pt idx="204">
                  <c:v>5.0150312166278438E-4</c:v>
                </c:pt>
                <c:pt idx="205">
                  <c:v>5.1887519395119736E-4</c:v>
                </c:pt>
                <c:pt idx="206">
                  <c:v>5.3705600748796961E-4</c:v>
                </c:pt>
                <c:pt idx="207">
                  <c:v>5.560319859770832E-4</c:v>
                </c:pt>
                <c:pt idx="208">
                  <c:v>5.7578963327047789E-4</c:v>
                </c:pt>
                <c:pt idx="209">
                  <c:v>5.9631553320705494E-4</c:v>
                </c:pt>
                <c:pt idx="210">
                  <c:v>6.175963494516809E-4</c:v>
                </c:pt>
                <c:pt idx="211">
                  <c:v>6.3961882533423303E-4</c:v>
                </c:pt>
                <c:pt idx="212">
                  <c:v>6.6236978368865856E-4</c:v>
                </c:pt>
                <c:pt idx="213">
                  <c:v>6.8583612669193689E-4</c:v>
                </c:pt>
                <c:pt idx="214">
                  <c:v>7.1000483570326373E-4</c:v>
                </c:pt>
                <c:pt idx="215">
                  <c:v>7.3486297110287452E-4</c:v>
                </c:pt>
                <c:pt idx="216">
                  <c:v>7.6039767213124249E-4</c:v>
                </c:pt>
                <c:pt idx="217">
                  <c:v>7.8659615672802691E-4</c:v>
                </c:pt>
                <c:pt idx="218">
                  <c:v>8.1344572137114629E-4</c:v>
                </c:pt>
                <c:pt idx="219">
                  <c:v>8.409337409157544E-4</c:v>
                </c:pt>
                <c:pt idx="220">
                  <c:v>8.6904766843336895E-4</c:v>
                </c:pt>
                <c:pt idx="221">
                  <c:v>8.9777503505079209E-4</c:v>
                </c:pt>
                <c:pt idx="222">
                  <c:v>9.2710344978916975E-4</c:v>
                </c:pt>
                <c:pt idx="223">
                  <c:v>9.5702059940307865E-4</c:v>
                </c:pt>
                <c:pt idx="224">
                  <c:v>9.8751424821961337E-4</c:v>
                </c:pt>
                <c:pt idx="225">
                  <c:v>1.0185722379771542E-3</c:v>
                </c:pt>
                <c:pt idx="226">
                  <c:v>1.0501824876647733E-3</c:v>
                </c:pt>
                <c:pt idx="227">
                  <c:v>1.0823329933608364E-3</c:v>
                </c:pt>
                <c:pt idx="228">
                  <c:v>1.1150118280725055E-3</c:v>
                </c:pt>
                <c:pt idx="229">
                  <c:v>1.1482071415743547E-3</c:v>
                </c:pt>
                <c:pt idx="230">
                  <c:v>1.181907160247693E-3</c:v>
                </c:pt>
                <c:pt idx="231">
                  <c:v>1.2161001869193597E-3</c:v>
                </c:pt>
                <c:pt idx="232">
                  <c:v>1.2507746007010059E-3</c:v>
                </c:pt>
                <c:pt idx="233">
                  <c:v>1.2859188568279459E-3</c:v>
                </c:pt>
                <c:pt idx="234">
                  <c:v>1.3215214864982297E-3</c:v>
                </c:pt>
                <c:pt idx="235">
                  <c:v>1.3575710967117308E-3</c:v>
                </c:pt>
                <c:pt idx="236">
                  <c:v>1.3940563701090244E-3</c:v>
                </c:pt>
                <c:pt idx="237">
                  <c:v>1.4309660648106418E-3</c:v>
                </c:pt>
                <c:pt idx="238">
                  <c:v>1.4682890142559898E-3</c:v>
                </c:pt>
                <c:pt idx="239">
                  <c:v>1.5060141270422725E-3</c:v>
                </c:pt>
                <c:pt idx="240">
                  <c:v>1.5441303867637299E-3</c:v>
                </c:pt>
                <c:pt idx="241">
                  <c:v>1.5826268518505174E-3</c:v>
                </c:pt>
                <c:pt idx="242">
                  <c:v>1.621492655407876E-3</c:v>
                </c:pt>
                <c:pt idx="243">
                  <c:v>1.6607170050549694E-3</c:v>
                </c:pt>
                <c:pt idx="244">
                  <c:v>1.7002891827640546E-3</c:v>
                </c:pt>
                <c:pt idx="245">
                  <c:v>1.7401985446995685E-3</c:v>
                </c:pt>
                <c:pt idx="246">
                  <c:v>1.7804345210569797E-3</c:v>
                </c:pt>
                <c:pt idx="247">
                  <c:v>1.820986615901958E-3</c:v>
                </c:pt>
                <c:pt idx="248">
                  <c:v>1.8618444070092818E-3</c:v>
                </c:pt>
                <c:pt idx="249">
                  <c:v>1.9029975457021467E-3</c:v>
                </c:pt>
                <c:pt idx="250">
                  <c:v>1.9444357566907947E-3</c:v>
                </c:pt>
                <c:pt idx="251">
                  <c:v>1.9861488379118511E-3</c:v>
                </c:pt>
                <c:pt idx="252">
                  <c:v>2.0281266603673145E-3</c:v>
                </c:pt>
                <c:pt idx="253">
                  <c:v>2.0703591679633523E-3</c:v>
                </c:pt>
                <c:pt idx="254">
                  <c:v>2.1128363773497486E-3</c:v>
                </c:pt>
                <c:pt idx="255">
                  <c:v>2.1555483777584775E-3</c:v>
                </c:pt>
                <c:pt idx="256">
                  <c:v>2.198485330843096E-3</c:v>
                </c:pt>
                <c:pt idx="257">
                  <c:v>2.2416374705176503E-3</c:v>
                </c:pt>
                <c:pt idx="258">
                  <c:v>2.2849951027956242E-3</c:v>
                </c:pt>
                <c:pt idx="259">
                  <c:v>2.3285486056289703E-3</c:v>
                </c:pt>
                <c:pt idx="260">
                  <c:v>2.3722884287474336E-3</c:v>
                </c:pt>
                <c:pt idx="261">
                  <c:v>2.4162050934971382E-3</c:v>
                </c:pt>
                <c:pt idx="262">
                  <c:v>2.4602891926800222E-3</c:v>
                </c:pt>
                <c:pt idx="263">
                  <c:v>2.504531390392549E-3</c:v>
                </c:pt>
                <c:pt idx="264">
                  <c:v>2.5489224218649201E-3</c:v>
                </c:pt>
                <c:pt idx="265">
                  <c:v>2.5934530933001201E-3</c:v>
                </c:pt>
                <c:pt idx="266">
                  <c:v>2.6381142817128792E-3</c:v>
                </c:pt>
                <c:pt idx="267">
                  <c:v>2.6828969347686485E-3</c:v>
                </c:pt>
                <c:pt idx="268">
                  <c:v>2.727792070622799E-3</c:v>
                </c:pt>
                <c:pt idx="269">
                  <c:v>2.7727907777594582E-3</c:v>
                </c:pt>
                <c:pt idx="270">
                  <c:v>2.8178842148308056E-3</c:v>
                </c:pt>
                <c:pt idx="271">
                  <c:v>2.8630636104957016E-3</c:v>
                </c:pt>
                <c:pt idx="272">
                  <c:v>2.9083202632592051E-3</c:v>
                </c:pt>
                <c:pt idx="273">
                  <c:v>2.9536455413111881E-3</c:v>
                </c:pt>
                <c:pt idx="274">
                  <c:v>2.9990308823656317E-3</c:v>
                </c:pt>
                <c:pt idx="275">
                  <c:v>3.044467793499421E-3</c:v>
                </c:pt>
                <c:pt idx="276">
                  <c:v>3.0899478509917797E-3</c:v>
                </c:pt>
                <c:pt idx="277">
                  <c:v>3.1354627001627736E-3</c:v>
                </c:pt>
                <c:pt idx="278">
                  <c:v>3.1810040552127314E-3</c:v>
                </c:pt>
                <c:pt idx="279">
                  <c:v>3.2265636990612342E-3</c:v>
                </c:pt>
                <c:pt idx="280">
                  <c:v>3.2721334831858559E-3</c:v>
                </c:pt>
                <c:pt idx="281">
                  <c:v>3.31770532746168E-3</c:v>
                </c:pt>
                <c:pt idx="282">
                  <c:v>3.3632712199997764E-3</c:v>
                </c:pt>
                <c:pt idx="283">
                  <c:v>3.4088232169866908E-3</c:v>
                </c:pt>
                <c:pt idx="284">
                  <c:v>3.4543534425232961E-3</c:v>
                </c:pt>
                <c:pt idx="285">
                  <c:v>3.4998540884638094E-3</c:v>
                </c:pt>
                <c:pt idx="286">
                  <c:v>3.545317414254727E-3</c:v>
                </c:pt>
                <c:pt idx="287">
                  <c:v>3.590735746774161E-3</c:v>
                </c:pt>
                <c:pt idx="288">
                  <c:v>3.6361014801706074E-3</c:v>
                </c:pt>
                <c:pt idx="289">
                  <c:v>3.6814070757019493E-3</c:v>
                </c:pt>
                <c:pt idx="290">
                  <c:v>3.7266450615747806E-3</c:v>
                </c:pt>
                <c:pt idx="291">
                  <c:v>3.7718080327830486E-3</c:v>
                </c:pt>
                <c:pt idx="292">
                  <c:v>3.8168886509475156E-3</c:v>
                </c:pt>
                <c:pt idx="293">
                  <c:v>3.8618796441543327E-3</c:v>
                </c:pt>
                <c:pt idx="294">
                  <c:v>3.9067738067943905E-3</c:v>
                </c:pt>
                <c:pt idx="295">
                  <c:v>3.9515639994023369E-3</c:v>
                </c:pt>
                <c:pt idx="296">
                  <c:v>3.9962431484954278E-3</c:v>
                </c:pt>
                <c:pt idx="297">
                  <c:v>4.0408042464127117E-3</c:v>
                </c:pt>
                <c:pt idx="298">
                  <c:v>4.0852403511540472E-3</c:v>
                </c:pt>
                <c:pt idx="299">
                  <c:v>4.1295445862189542E-3</c:v>
                </c:pt>
                <c:pt idx="300">
                  <c:v>4.1737101404459645E-3</c:v>
                </c:pt>
                <c:pt idx="301">
                  <c:v>4.217730267851362E-3</c:v>
                </c:pt>
                <c:pt idx="302">
                  <c:v>4.2615982874685057E-3</c:v>
                </c:pt>
                <c:pt idx="303">
                  <c:v>4.305307583186431E-3</c:v>
                </c:pt>
                <c:pt idx="304">
                  <c:v>4.3488516035892835E-3</c:v>
                </c:pt>
                <c:pt idx="305">
                  <c:v>4.3922238617952261E-3</c:v>
                </c:pt>
                <c:pt idx="306">
                  <c:v>4.4354179352953729E-3</c:v>
                </c:pt>
                <c:pt idx="307">
                  <c:v>4.4784274657930848E-3</c:v>
                </c:pt>
                <c:pt idx="308">
                  <c:v>4.5212461590425426E-3</c:v>
                </c:pt>
                <c:pt idx="309">
                  <c:v>4.5638677846881262E-3</c:v>
                </c:pt>
                <c:pt idx="310">
                  <c:v>4.6062861761036536E-3</c:v>
                </c:pt>
                <c:pt idx="311">
                  <c:v>4.6484952302306495E-3</c:v>
                </c:pt>
                <c:pt idx="312">
                  <c:v>4.6904889074183623E-3</c:v>
                </c:pt>
                <c:pt idx="313">
                  <c:v>4.7322612312618376E-3</c:v>
                </c:pt>
                <c:pt idx="314">
                  <c:v>4.773806288441769E-3</c:v>
                </c:pt>
                <c:pt idx="315">
                  <c:v>4.8151182285628771E-3</c:v>
                </c:pt>
                <c:pt idx="316">
                  <c:v>4.8561912639933993E-3</c:v>
                </c:pt>
                <c:pt idx="317">
                  <c:v>4.8970196697040239E-3</c:v>
                </c:pt>
                <c:pt idx="318">
                  <c:v>4.937597783106519E-3</c:v>
                </c:pt>
                <c:pt idx="319">
                  <c:v>4.9779200038935004E-3</c:v>
                </c:pt>
                <c:pt idx="320">
                  <c:v>5.0179807938767543E-3</c:v>
                </c:pt>
                <c:pt idx="321">
                  <c:v>5.0577746768267276E-3</c:v>
                </c:pt>
                <c:pt idx="322">
                  <c:v>5.097296238311351E-3</c:v>
                </c:pt>
                <c:pt idx="323">
                  <c:v>5.1365401255351398E-3</c:v>
                </c:pt>
                <c:pt idx="324">
                  <c:v>5.175501047178184E-3</c:v>
                </c:pt>
                <c:pt idx="325">
                  <c:v>5.2141737732352492E-3</c:v>
                </c:pt>
                <c:pt idx="326">
                  <c:v>5.2525531348547386E-3</c:v>
                </c:pt>
                <c:pt idx="327">
                  <c:v>5.2906340241776276E-3</c:v>
                </c:pt>
                <c:pt idx="328">
                  <c:v>5.3284113941769254E-3</c:v>
                </c:pt>
                <c:pt idx="329">
                  <c:v>5.3658802584961099E-3</c:v>
                </c:pt>
                <c:pt idx="330">
                  <c:v>5.4030356912885893E-3</c:v>
                </c:pt>
                <c:pt idx="331">
                  <c:v>5.4398728270564703E-3</c:v>
                </c:pt>
                <c:pt idx="332">
                  <c:v>5.476386860489936E-3</c:v>
                </c:pt>
                <c:pt idx="333">
                  <c:v>5.5125730463057368E-3</c:v>
                </c:pt>
                <c:pt idx="334">
                  <c:v>5.5484266990869571E-3</c:v>
                </c:pt>
                <c:pt idx="335">
                  <c:v>5.5839431931211728E-3</c:v>
                </c:pt>
                <c:pt idx="336">
                  <c:v>5.6191179622402179E-3</c:v>
                </c:pt>
                <c:pt idx="337">
                  <c:v>5.6539464996590363E-3</c:v>
                </c:pt>
                <c:pt idx="338">
                  <c:v>5.6884243578141716E-3</c:v>
                </c:pt>
                <c:pt idx="339">
                  <c:v>5.7225471482037563E-3</c:v>
                </c:pt>
                <c:pt idx="340">
                  <c:v>5.7563105412257246E-3</c:v>
                </c:pt>
                <c:pt idx="341">
                  <c:v>5.7897102660173019E-3</c:v>
                </c:pt>
                <c:pt idx="342">
                  <c:v>5.8227421102936341E-3</c:v>
                </c:pt>
                <c:pt idx="343">
                  <c:v>5.8554019201874433E-3</c:v>
                </c:pt>
                <c:pt idx="344">
                  <c:v>5.8876856000873515E-3</c:v>
                </c:pt>
                <c:pt idx="345">
                  <c:v>5.9195891124774261E-3</c:v>
                </c:pt>
                <c:pt idx="346">
                  <c:v>5.9511084777760306E-3</c:v>
                </c:pt>
                <c:pt idx="347">
                  <c:v>5.9822397741747038E-3</c:v>
                </c:pt>
                <c:pt idx="348">
                  <c:v>6.0129791374775379E-3</c:v>
                </c:pt>
                <c:pt idx="349">
                  <c:v>6.0433227609398635E-3</c:v>
                </c:pt>
                <c:pt idx="350">
                  <c:v>6.0732668951076554E-3</c:v>
                </c:pt>
                <c:pt idx="351">
                  <c:v>6.1028078476560513E-3</c:v>
                </c:pt>
                <c:pt idx="352">
                  <c:v>6.131941983228785E-3</c:v>
                </c:pt>
                <c:pt idx="353">
                  <c:v>6.1606657232773157E-3</c:v>
                </c:pt>
                <c:pt idx="354">
                  <c:v>6.1889755458992626E-3</c:v>
                </c:pt>
                <c:pt idx="355">
                  <c:v>6.216867985678283E-3</c:v>
                </c:pt>
                <c:pt idx="356">
                  <c:v>6.2443396335221737E-3</c:v>
                </c:pt>
                <c:pt idx="357">
                  <c:v>6.2713871365028054E-3</c:v>
                </c:pt>
                <c:pt idx="358">
                  <c:v>6.2980071976943622E-3</c:v>
                </c:pt>
                <c:pt idx="359">
                  <c:v>6.3241965760130817E-3</c:v>
                </c:pt>
                <c:pt idx="360">
                  <c:v>6.3499520860556061E-3</c:v>
                </c:pt>
                <c:pt idx="361">
                  <c:v>6.3752705979385552E-3</c:v>
                </c:pt>
                <c:pt idx="362">
                  <c:v>6.4001490371374051E-3</c:v>
                </c:pt>
                <c:pt idx="363">
                  <c:v>6.4245843843253117E-3</c:v>
                </c:pt>
                <c:pt idx="364">
                  <c:v>6.4485736752123504E-3</c:v>
                </c:pt>
                <c:pt idx="365">
                  <c:v>6.4721140003844227E-3</c:v>
                </c:pt>
                <c:pt idx="366">
                  <c:v>6.4952025051426346E-3</c:v>
                </c:pt>
                <c:pt idx="367">
                  <c:v>6.5178363893416483E-3</c:v>
                </c:pt>
                <c:pt idx="368">
                  <c:v>6.5400129072295046E-3</c:v>
                </c:pt>
                <c:pt idx="369">
                  <c:v>6.561729367286058E-3</c:v>
                </c:pt>
                <c:pt idx="370">
                  <c:v>6.5829831320622159E-3</c:v>
                </c:pt>
                <c:pt idx="371">
                  <c:v>6.603771618018929E-3</c:v>
                </c:pt>
                <c:pt idx="372">
                  <c:v>6.6240922953666806E-3</c:v>
                </c:pt>
                <c:pt idx="373">
                  <c:v>6.6439426879034216E-3</c:v>
                </c:pt>
                <c:pt idx="374">
                  <c:v>6.6633203728548654E-3</c:v>
                </c:pt>
                <c:pt idx="375">
                  <c:v>6.6822229807126723E-3</c:v>
                </c:pt>
                <c:pt idx="376">
                  <c:v>6.7006481950738009E-3</c:v>
                </c:pt>
                <c:pt idx="377">
                  <c:v>6.7185937524795805E-3</c:v>
                </c:pt>
                <c:pt idx="378">
                  <c:v>6.7360574422543687E-3</c:v>
                </c:pt>
                <c:pt idx="379">
                  <c:v>6.7530371063452624E-3</c:v>
                </c:pt>
                <c:pt idx="380">
                  <c:v>6.7695306391604218E-3</c:v>
                </c:pt>
                <c:pt idx="381">
                  <c:v>6.7855359874086155E-3</c:v>
                </c:pt>
                <c:pt idx="382">
                  <c:v>6.8010511499378493E-3</c:v>
                </c:pt>
                <c:pt idx="383">
                  <c:v>6.8160741775748282E-3</c:v>
                </c:pt>
                <c:pt idx="384">
                  <c:v>6.8306031729635855E-3</c:v>
                </c:pt>
                <c:pt idx="385">
                  <c:v>6.8446362904046945E-3</c:v>
                </c:pt>
                <c:pt idx="386">
                  <c:v>6.8581717356943697E-3</c:v>
                </c:pt>
                <c:pt idx="387">
                  <c:v>6.8712077659634566E-3</c:v>
                </c:pt>
                <c:pt idx="388">
                  <c:v>6.8837426895163104E-3</c:v>
                </c:pt>
                <c:pt idx="389">
                  <c:v>6.895774865670036E-3</c:v>
                </c:pt>
                <c:pt idx="390">
                  <c:v>6.9073027045933391E-3</c:v>
                </c:pt>
                <c:pt idx="391">
                  <c:v>6.9183246671455992E-3</c:v>
                </c:pt>
                <c:pt idx="392">
                  <c:v>6.9288392647164146E-3</c:v>
                </c:pt>
                <c:pt idx="393">
                  <c:v>6.938845059063399E-3</c:v>
                </c:pt>
                <c:pt idx="394">
                  <c:v>6.948340662152587E-3</c:v>
                </c:pt>
                <c:pt idx="395">
                  <c:v>6.9573247359967852E-3</c:v>
                </c:pt>
                <c:pt idx="396">
                  <c:v>6.9657959924943127E-3</c:v>
                </c:pt>
                <c:pt idx="397">
                  <c:v>6.9737531932689625E-3</c:v>
                </c:pt>
                <c:pt idx="398">
                  <c:v>6.9811951495077698E-3</c:v>
                </c:pt>
                <c:pt idx="399">
                  <c:v>6.9881207218015842E-3</c:v>
                </c:pt>
                <c:pt idx="400">
                  <c:v>6.9945288199825331E-3</c:v>
                </c:pt>
                <c:pt idx="401">
                  <c:v>7.000418402964205E-3</c:v>
                </c:pt>
                <c:pt idx="402">
                  <c:v>7.0057884785800009E-3</c:v>
                </c:pt>
                <c:pt idx="403">
                  <c:v>7.010638103422652E-3</c:v>
                </c:pt>
                <c:pt idx="404">
                  <c:v>7.0149663826829592E-3</c:v>
                </c:pt>
                <c:pt idx="405">
                  <c:v>7.018772469988728E-3</c:v>
                </c:pt>
                <c:pt idx="406">
                  <c:v>7.0220555672442023E-3</c:v>
                </c:pt>
                <c:pt idx="407">
                  <c:v>7.0248149244688321E-3</c:v>
                </c:pt>
                <c:pt idx="408">
                  <c:v>7.027049839636014E-3</c:v>
                </c:pt>
                <c:pt idx="409">
                  <c:v>7.0287596585127746E-3</c:v>
                </c:pt>
                <c:pt idx="410">
                  <c:v>7.0299437744983997E-3</c:v>
                </c:pt>
                <c:pt idx="411">
                  <c:v>7.0306016284634801E-3</c:v>
                </c:pt>
                <c:pt idx="412">
                  <c:v>7.030732708588984E-3</c:v>
                </c:pt>
                <c:pt idx="413">
                  <c:v>7.0303365502052198E-3</c:v>
                </c:pt>
                <c:pt idx="414">
                  <c:v>7.0294127356312977E-3</c:v>
                </c:pt>
                <c:pt idx="415">
                  <c:v>7.0279608940134256E-3</c:v>
                </c:pt>
                <c:pt idx="416">
                  <c:v>7.025980701164343E-3</c:v>
                </c:pt>
                <c:pt idx="417">
                  <c:v>7.0234718794027554E-3</c:v>
                </c:pt>
                <c:pt idx="418">
                  <c:v>7.02043419739138E-3</c:v>
                </c:pt>
                <c:pt idx="419">
                  <c:v>7.0168674699768799E-3</c:v>
                </c:pt>
                <c:pt idx="420">
                  <c:v>7.012771558028548E-3</c:v>
                </c:pt>
                <c:pt idx="421">
                  <c:v>7.0081463682773806E-3</c:v>
                </c:pt>
                <c:pt idx="422">
                  <c:v>7.0029918531547622E-3</c:v>
                </c:pt>
                <c:pt idx="423">
                  <c:v>6.9973080106322597E-3</c:v>
                </c:pt>
                <c:pt idx="424">
                  <c:v>6.9910948840599743E-3</c:v>
                </c:pt>
                <c:pt idx="425">
                  <c:v>6.9843525620056426E-3</c:v>
                </c:pt>
                <c:pt idx="426">
                  <c:v>6.9770811780943479E-3</c:v>
                </c:pt>
                <c:pt idx="427">
                  <c:v>6.9692809108465106E-3</c:v>
                </c:pt>
                <c:pt idx="428">
                  <c:v>6.9609519835175451E-3</c:v>
                </c:pt>
                <c:pt idx="429">
                  <c:v>6.9520946639370987E-3</c:v>
                </c:pt>
                <c:pt idx="430">
                  <c:v>6.9427092643475699E-3</c:v>
                </c:pt>
                <c:pt idx="431">
                  <c:v>6.9327961412434039E-3</c:v>
                </c:pt>
                <c:pt idx="432">
                  <c:v>6.9223556952096657E-3</c:v>
                </c:pt>
                <c:pt idx="433">
                  <c:v>6.911388370762224E-3</c:v>
                </c:pt>
                <c:pt idx="434">
                  <c:v>6.8998946561854083E-3</c:v>
                </c:pt>
                <c:pt idx="435">
                  <c:v>6.8878750833722205E-3</c:v>
                </c:pt>
                <c:pt idx="436">
                  <c:v>6.8753302276619924E-3</c:v>
                </c:pt>
                <c:pt idx="437">
                  <c:v>6.8622607076812073E-3</c:v>
                </c:pt>
                <c:pt idx="438">
                  <c:v>6.8486671851805195E-3</c:v>
                </c:pt>
                <c:pt idx="439">
                  <c:v>6.8345503648761033E-3</c:v>
                </c:pt>
                <c:pt idx="440">
                  <c:v>6.8199109942861727E-3</c:v>
                </c:pt>
                <c:pt idx="441">
                  <c:v>6.8047498635721085E-3</c:v>
                </c:pt>
                <c:pt idx="442">
                  <c:v>6.7890678053760325E-3</c:v>
                </c:pt>
                <c:pt idx="443">
                  <c:v>6.7728656946607416E-3</c:v>
                </c:pt>
                <c:pt idx="444">
                  <c:v>6.7561444485485858E-3</c:v>
                </c:pt>
                <c:pt idx="445">
                  <c:v>6.738905026159904E-3</c:v>
                </c:pt>
                <c:pt idx="446">
                  <c:v>6.7211484284529291E-3</c:v>
                </c:pt>
                <c:pt idx="447">
                  <c:v>6.7028756980623064E-3</c:v>
                </c:pt>
                <c:pt idx="448">
                  <c:v>6.6840879191379168E-3</c:v>
                </c:pt>
                <c:pt idx="449">
                  <c:v>6.6647862171845609E-3</c:v>
                </c:pt>
                <c:pt idx="450">
                  <c:v>6.6449717589003657E-3</c:v>
                </c:pt>
                <c:pt idx="451">
                  <c:v>6.6246457520163574E-3</c:v>
                </c:pt>
                <c:pt idx="452">
                  <c:v>6.6038094451350351E-3</c:v>
                </c:pt>
                <c:pt idx="453">
                  <c:v>6.5824641275693888E-3</c:v>
                </c:pt>
                <c:pt idx="454">
                  <c:v>6.5606111291825267E-3</c:v>
                </c:pt>
                <c:pt idx="455">
                  <c:v>6.5382518202260834E-3</c:v>
                </c:pt>
                <c:pt idx="456">
                  <c:v>6.5153876111797918E-3</c:v>
                </c:pt>
                <c:pt idx="457">
                  <c:v>6.492019952589502E-3</c:v>
                </c:pt>
                <c:pt idx="458">
                  <c:v>6.4681503349076977E-3</c:v>
                </c:pt>
                <c:pt idx="459">
                  <c:v>6.4437802883311815E-3</c:v>
                </c:pt>
                <c:pt idx="460">
                  <c:v>6.4189113826409808E-3</c:v>
                </c:pt>
                <c:pt idx="461">
                  <c:v>6.3935452270408102E-3</c:v>
                </c:pt>
                <c:pt idx="462">
                  <c:v>6.3676834699965892E-3</c:v>
                </c:pt>
                <c:pt idx="463">
                  <c:v>6.3413277990751263E-3</c:v>
                </c:pt>
                <c:pt idx="464">
                  <c:v>6.3144799407834698E-3</c:v>
                </c:pt>
                <c:pt idx="465">
                  <c:v>6.2871416604074262E-3</c:v>
                </c:pt>
                <c:pt idx="466">
                  <c:v>6.2593147618509107E-3</c:v>
                </c:pt>
                <c:pt idx="467">
                  <c:v>6.2310010874754088E-3</c:v>
                </c:pt>
                <c:pt idx="468">
                  <c:v>6.202202517937884E-3</c:v>
                </c:pt>
                <c:pt idx="469">
                  <c:v>6.1729209720311276E-3</c:v>
                </c:pt>
                <c:pt idx="470">
                  <c:v>6.1431584065221104E-3</c:v>
                </c:pt>
                <c:pt idx="471">
                  <c:v>6.1129168159903338E-3</c:v>
                </c:pt>
                <c:pt idx="472">
                  <c:v>6.0821982326683469E-3</c:v>
                </c:pt>
                <c:pt idx="473">
                  <c:v>6.0510047262799307E-3</c:v>
                </c:pt>
                <c:pt idx="474">
                  <c:v>6.0193384038786726E-3</c:v>
                </c:pt>
                <c:pt idx="475">
                  <c:v>5.9872014096884266E-3</c:v>
                </c:pt>
                <c:pt idx="476">
                  <c:v>5.9545959249407213E-3</c:v>
                </c:pt>
                <c:pt idx="477">
                  <c:v>5.9215241677148325E-3</c:v>
                </c:pt>
                <c:pt idx="478">
                  <c:v>5.8879883927764678E-3</c:v>
                </c:pt>
                <c:pt idx="479">
                  <c:v>5.8539908914168395E-3</c:v>
                </c:pt>
                <c:pt idx="480">
                  <c:v>5.8195339912916824E-3</c:v>
                </c:pt>
                <c:pt idx="481">
                  <c:v>5.784620056260327E-3</c:v>
                </c:pt>
                <c:pt idx="482">
                  <c:v>5.7492514862249391E-3</c:v>
                </c:pt>
                <c:pt idx="483">
                  <c:v>5.7134307169689827E-3</c:v>
                </c:pt>
                <c:pt idx="484">
                  <c:v>5.6771602199968477E-3</c:v>
                </c:pt>
                <c:pt idx="485">
                  <c:v>5.6404425023721463E-3</c:v>
                </c:pt>
                <c:pt idx="486">
                  <c:v>5.6032801065578411E-3</c:v>
                </c:pt>
                <c:pt idx="487">
                  <c:v>5.5656756102543184E-3</c:v>
                </c:pt>
                <c:pt idx="488">
                  <c:v>5.5276316262390171E-3</c:v>
                </c:pt>
                <c:pt idx="489">
                  <c:v>5.4891508022048355E-3</c:v>
                </c:pt>
                <c:pt idx="490">
                  <c:v>5.450235820599815E-3</c:v>
                </c:pt>
                <c:pt idx="491">
                  <c:v>5.4108893984656584E-3</c:v>
                </c:pt>
                <c:pt idx="492">
                  <c:v>5.3711142872774689E-3</c:v>
                </c:pt>
                <c:pt idx="493">
                  <c:v>5.330913272781547E-3</c:v>
                </c:pt>
                <c:pt idx="494">
                  <c:v>5.2902891748360728E-3</c:v>
                </c:pt>
                <c:pt idx="495">
                  <c:v>5.249244847248237E-3</c:v>
                </c:pt>
                <c:pt idx="496">
                  <c:v>5.2077831776151454E-3</c:v>
                </c:pt>
                <c:pt idx="497">
                  <c:v>5.1659070871617266E-3</c:v>
                </c:pt>
                <c:pt idx="498">
                  <c:v>5.1236195305798607E-3</c:v>
                </c:pt>
                <c:pt idx="499">
                  <c:v>5.0809234958675634E-3</c:v>
                </c:pt>
                <c:pt idx="500">
                  <c:v>5.0378220041683366E-3</c:v>
                </c:pt>
                <c:pt idx="501">
                  <c:v>4.9943181096095204E-3</c:v>
                </c:pt>
                <c:pt idx="502">
                  <c:v>4.9504148991420319E-3</c:v>
                </c:pt>
                <c:pt idx="503">
                  <c:v>4.9061154923789388E-3</c:v>
                </c:pt>
                <c:pt idx="504">
                  <c:v>4.8614230414342555E-3</c:v>
                </c:pt>
                <c:pt idx="505">
                  <c:v>4.8163407307629594E-3</c:v>
                </c:pt>
                <c:pt idx="506">
                  <c:v>4.7708717769986766E-3</c:v>
                </c:pt>
                <c:pt idx="507">
                  <c:v>4.7250194287944761E-3</c:v>
                </c:pt>
                <c:pt idx="508">
                  <c:v>4.6787869666597773E-3</c:v>
                </c:pt>
                <c:pt idx="509">
                  <c:v>4.6321777028009783E-3</c:v>
                </c:pt>
                <c:pt idx="510">
                  <c:v>4.5851949809600293E-3</c:v>
                </c:pt>
                <c:pt idx="511">
                  <c:v>4.5378421762530055E-3</c:v>
                </c:pt>
                <c:pt idx="512">
                  <c:v>4.490122695010014E-3</c:v>
                </c:pt>
                <c:pt idx="513">
                  <c:v>4.4420399746136555E-3</c:v>
                </c:pt>
                <c:pt idx="514">
                  <c:v>4.3935974833379868E-3</c:v>
                </c:pt>
                <c:pt idx="515">
                  <c:v>4.344798720187594E-3</c:v>
                </c:pt>
                <c:pt idx="516">
                  <c:v>4.2956472147372762E-3</c:v>
                </c:pt>
                <c:pt idx="517">
                  <c:v>4.2461465269696755E-3</c:v>
                </c:pt>
                <c:pt idx="518">
                  <c:v>4.1963002471161262E-3</c:v>
                </c:pt>
                <c:pt idx="519">
                  <c:v>4.1461119954943407E-3</c:v>
                </c:pt>
                <c:pt idx="520">
                  <c:v>4.0955854223477042E-3</c:v>
                </c:pt>
                <c:pt idx="521">
                  <c:v>4.0447242076844594E-3</c:v>
                </c:pt>
                <c:pt idx="522">
                  <c:v>3.9935320611169459E-3</c:v>
                </c:pt>
                <c:pt idx="523">
                  <c:v>3.9420127217003401E-3</c:v>
                </c:pt>
                <c:pt idx="524">
                  <c:v>3.8901699577718954E-3</c:v>
                </c:pt>
                <c:pt idx="525">
                  <c:v>3.8380075667890715E-3</c:v>
                </c:pt>
                <c:pt idx="526">
                  <c:v>3.7855293751708832E-3</c:v>
                </c:pt>
                <c:pt idx="527">
                  <c:v>3.7327392381331995E-3</c:v>
                </c:pt>
                <c:pt idx="528">
                  <c:v>3.6796410395322568E-3</c:v>
                </c:pt>
                <c:pt idx="529">
                  <c:v>3.626238691699514E-3</c:v>
                </c:pt>
                <c:pt idx="530">
                  <c:v>3.5725361352838339E-3</c:v>
                </c:pt>
                <c:pt idx="531">
                  <c:v>3.5185373390886135E-3</c:v>
                </c:pt>
                <c:pt idx="532">
                  <c:v>3.4642462999113569E-3</c:v>
                </c:pt>
                <c:pt idx="533">
                  <c:v>3.4096670423832479E-3</c:v>
                </c:pt>
                <c:pt idx="534">
                  <c:v>3.3548036188072797E-3</c:v>
                </c:pt>
                <c:pt idx="535">
                  <c:v>3.2996601089981606E-3</c:v>
                </c:pt>
                <c:pt idx="536">
                  <c:v>3.2442406201209986E-3</c:v>
                </c:pt>
                <c:pt idx="537">
                  <c:v>3.1885492865292089E-3</c:v>
                </c:pt>
                <c:pt idx="538">
                  <c:v>3.1325902696055855E-3</c:v>
                </c:pt>
                <c:pt idx="539">
                  <c:v>3.0763677576003748E-3</c:v>
                </c:pt>
                <c:pt idx="540">
                  <c:v>3.0198859654697388E-3</c:v>
                </c:pt>
                <c:pt idx="541">
                  <c:v>2.9631491347155495E-3</c:v>
                </c:pt>
                <c:pt idx="542">
                  <c:v>2.9061615332241844E-3</c:v>
                </c:pt>
                <c:pt idx="543">
                  <c:v>2.8489274551057667E-3</c:v>
                </c:pt>
                <c:pt idx="544">
                  <c:v>2.7914512205327383E-3</c:v>
                </c:pt>
                <c:pt idx="545">
                  <c:v>2.7337371755788778E-3</c:v>
                </c:pt>
                <c:pt idx="546">
                  <c:v>2.6757896920592064E-3</c:v>
                </c:pt>
                <c:pt idx="547">
                  <c:v>2.6176131673680617E-3</c:v>
                </c:pt>
                <c:pt idx="548">
                  <c:v>2.5592120243187258E-3</c:v>
                </c:pt>
                <c:pt idx="549">
                  <c:v>2.5005907109815553E-3</c:v>
                </c:pt>
                <c:pt idx="550">
                  <c:v>2.4417537005244419E-3</c:v>
                </c:pt>
                <c:pt idx="551">
                  <c:v>2.3827054910509418E-3</c:v>
                </c:pt>
                <c:pt idx="552">
                  <c:v>2.3234506054391826E-3</c:v>
                </c:pt>
                <c:pt idx="553">
                  <c:v>2.2639935911809919E-3</c:v>
                </c:pt>
                <c:pt idx="554">
                  <c:v>2.204339020221581E-3</c:v>
                </c:pt>
                <c:pt idx="555">
                  <c:v>2.1444914887974523E-3</c:v>
                </c:pt>
                <c:pt idx="556">
                  <c:v>2.0844556172770271E-3</c:v>
                </c:pt>
                <c:pt idx="557">
                  <c:v>2.0242360499977199E-3</c:v>
                </c:pt>
                <c:pt idx="558">
                  <c:v>1.9638374551066221E-3</c:v>
                </c:pt>
                <c:pt idx="559">
                  <c:v>1.9032645243981863E-3</c:v>
                </c:pt>
                <c:pt idx="560">
                  <c:v>1.8425219731546885E-3</c:v>
                </c:pt>
                <c:pt idx="561">
                  <c:v>1.7816145399842456E-3</c:v>
                </c:pt>
                <c:pt idx="562">
                  <c:v>1.7205469866601666E-3</c:v>
                </c:pt>
                <c:pt idx="563">
                  <c:v>1.6593240979591375E-3</c:v>
                </c:pt>
                <c:pt idx="564">
                  <c:v>1.5979506815029035E-3</c:v>
                </c:pt>
                <c:pt idx="565">
                  <c:v>1.5364315675930676E-3</c:v>
                </c:pt>
                <c:pt idx="566">
                  <c:v>1.4747716090544385E-3</c:v>
                </c:pt>
                <c:pt idx="567">
                  <c:v>1.4129756810715502E-3</c:v>
                </c:pt>
                <c:pt idx="568">
                  <c:v>1.3510486810275682E-3</c:v>
                </c:pt>
                <c:pt idx="569">
                  <c:v>1.2889955283451951E-3</c:v>
                </c:pt>
                <c:pt idx="570">
                  <c:v>1.2268211643234675E-3</c:v>
                </c:pt>
                <c:pt idx="571">
                  <c:v>1.1645305519784391E-3</c:v>
                </c:pt>
                <c:pt idx="572">
                  <c:v>1.1021286758815321E-3</c:v>
                </c:pt>
                <c:pt idx="573">
                  <c:v>1.0396205419987217E-3</c:v>
                </c:pt>
                <c:pt idx="574">
                  <c:v>9.7701117752905381E-4</c:v>
                </c:pt>
                <c:pt idx="575">
                  <c:v>9.1430563074510612E-4</c:v>
                </c:pt>
                <c:pt idx="576">
                  <c:v>8.5150897082989646E-4</c:v>
                </c:pt>
                <c:pt idx="577">
                  <c:v>7.8862628771767668E-4</c:v>
                </c:pt>
                <c:pt idx="578">
                  <c:v>7.2566269193195115E-4</c:v>
                </c:pt>
                <c:pt idx="579">
                  <c:v>6.6262331442593775E-4</c:v>
                </c:pt>
                <c:pt idx="580">
                  <c:v>5.9951330641947603E-4</c:v>
                </c:pt>
                <c:pt idx="581">
                  <c:v>5.3633783923904416E-4</c:v>
                </c:pt>
                <c:pt idx="582">
                  <c:v>4.7310210415827531E-4</c:v>
                </c:pt>
                <c:pt idx="583">
                  <c:v>4.0981131223403328E-4</c:v>
                </c:pt>
                <c:pt idx="584">
                  <c:v>3.464706941477616E-4</c:v>
                </c:pt>
                <c:pt idx="585">
                  <c:v>2.8308550004383509E-4</c:v>
                </c:pt>
                <c:pt idx="586">
                  <c:v>2.1966099936857747E-4</c:v>
                </c:pt>
                <c:pt idx="587">
                  <c:v>1.562024807085019E-4</c:v>
                </c:pt>
                <c:pt idx="588">
                  <c:v>9.2715251631327045E-5</c:v>
                </c:pt>
                <c:pt idx="589">
                  <c:v>2.9204638522552229E-5</c:v>
                </c:pt>
                <c:pt idx="590">
                  <c:v>-3.4324013573526491E-5</c:v>
                </c:pt>
                <c:pt idx="591">
                  <c:v>-9.7865341115631332E-5</c:v>
                </c:pt>
                <c:pt idx="592">
                  <c:v>-1.6141396222698473E-4</c:v>
                </c:pt>
                <c:pt idx="593">
                  <c:v>-2.2496447685451532E-4</c:v>
                </c:pt>
                <c:pt idx="594">
                  <c:v>-2.8851146693250479E-4</c:v>
                </c:pt>
                <c:pt idx="595">
                  <c:v>-3.520494965407947E-4</c:v>
                </c:pt>
                <c:pt idx="596">
                  <c:v>-4.1557311206732311E-4</c:v>
                </c:pt>
                <c:pt idx="597">
                  <c:v>-4.7907684236932896E-4</c:v>
                </c:pt>
                <c:pt idx="598">
                  <c:v>-5.4255519893311316E-4</c:v>
                </c:pt>
                <c:pt idx="599">
                  <c:v>-6.0600267603602015E-4</c:v>
                </c:pt>
                <c:pt idx="600">
                  <c:v>-6.6941375090692062E-4</c:v>
                </c:pt>
                <c:pt idx="601">
                  <c:v>-7.3278288388747143E-4</c:v>
                </c:pt>
                <c:pt idx="602">
                  <c:v>-7.9610451859243175E-4</c:v>
                </c:pt>
                <c:pt idx="603">
                  <c:v>-8.5937308207131163E-4</c:v>
                </c:pt>
                <c:pt idx="604">
                  <c:v>-9.2258298496979835E-4</c:v>
                </c:pt>
                <c:pt idx="605">
                  <c:v>-9.8572862168973957E-4</c:v>
                </c:pt>
                <c:pt idx="606">
                  <c:v>-1.0488043705493486E-3</c:v>
                </c:pt>
                <c:pt idx="607">
                  <c:v>-1.111804593947073E-3</c:v>
                </c:pt>
                <c:pt idx="608">
                  <c:v>-1.174723638519358E-3</c:v>
                </c:pt>
                <c:pt idx="609">
                  <c:v>-1.2375558353039037E-3</c:v>
                </c:pt>
                <c:pt idx="610">
                  <c:v>-1.3002954998992608E-3</c:v>
                </c:pt>
                <c:pt idx="611">
                  <c:v>-1.3629369326263671E-3</c:v>
                </c:pt>
                <c:pt idx="612">
                  <c:v>-1.4254744186890864E-3</c:v>
                </c:pt>
                <c:pt idx="613">
                  <c:v>-1.4879022283365226E-3</c:v>
                </c:pt>
                <c:pt idx="614">
                  <c:v>-1.5502146170221151E-3</c:v>
                </c:pt>
                <c:pt idx="615">
                  <c:v>-1.6124058255659532E-3</c:v>
                </c:pt>
                <c:pt idx="616">
                  <c:v>-1.6744700803144261E-3</c:v>
                </c:pt>
                <c:pt idx="617">
                  <c:v>-1.7364015933038698E-3</c:v>
                </c:pt>
                <c:pt idx="618">
                  <c:v>-1.7981945624171644E-3</c:v>
                </c:pt>
                <c:pt idx="619">
                  <c:v>-1.8598431715492122E-3</c:v>
                </c:pt>
                <c:pt idx="620">
                  <c:v>-1.9213415907651452E-3</c:v>
                </c:pt>
                <c:pt idx="621">
                  <c:v>-1.9826839764626389E-3</c:v>
                </c:pt>
                <c:pt idx="622">
                  <c:v>-2.0438644715317852E-3</c:v>
                </c:pt>
                <c:pt idx="623">
                  <c:v>-2.1048772055162965E-3</c:v>
                </c:pt>
                <c:pt idx="624">
                  <c:v>-2.1657162947755978E-3</c:v>
                </c:pt>
                <c:pt idx="625">
                  <c:v>-2.2263758426446997E-3</c:v>
                </c:pt>
                <c:pt idx="626">
                  <c:v>-2.2868499395949579E-3</c:v>
                </c:pt>
                <c:pt idx="627">
                  <c:v>-2.3471326633965547E-3</c:v>
                </c:pt>
                <c:pt idx="628">
                  <c:v>-2.4072180792767614E-3</c:v>
                </c:pt>
                <c:pt idx="629">
                  <c:v>-2.467100240084695E-3</c:v>
                </c:pt>
                <c:pt idx="630">
                  <c:v>-2.5267731864485263E-3</c:v>
                </c:pt>
                <c:pt idx="631">
                  <c:v>-2.5862309469386821E-3</c:v>
                </c:pt>
                <c:pt idx="632">
                  <c:v>-2.6454675382286061E-3</c:v>
                </c:pt>
                <c:pt idx="633">
                  <c:v>-2.7044769652545195E-3</c:v>
                </c:pt>
                <c:pt idx="634">
                  <c:v>-2.7632532213772917E-3</c:v>
                </c:pt>
                <c:pt idx="635">
                  <c:v>-2.8217902885447552E-3</c:v>
                </c:pt>
                <c:pt idx="636">
                  <c:v>-2.8800821374495231E-3</c:v>
                </c:pt>
                <c:pt idx="637">
                  <c:v>-2.9381227276924701E-3</c:v>
                </c:pt>
                <c:pt idx="638">
                  <c:v>-2.9959060079427155E-3</c:v>
                </c:pt>
                <c:pt idx="639">
                  <c:v>-3.0534259160992713E-3</c:v>
                </c:pt>
                <c:pt idx="640">
                  <c:v>-3.1106763794505818E-3</c:v>
                </c:pt>
                <c:pt idx="641">
                  <c:v>-3.1676513148373928E-3</c:v>
                </c:pt>
                <c:pt idx="642">
                  <c:v>-3.224344628812402E-3</c:v>
                </c:pt>
                <c:pt idx="643">
                  <c:v>-3.2807502178017964E-3</c:v>
                </c:pt>
                <c:pt idx="644">
                  <c:v>-3.3368619682653464E-3</c:v>
                </c:pt>
                <c:pt idx="645">
                  <c:v>-3.3926737568587759E-3</c:v>
                </c:pt>
                <c:pt idx="646">
                  <c:v>-3.448179450593801E-3</c:v>
                </c:pt>
                <c:pt idx="647">
                  <c:v>-3.5033729069987793E-3</c:v>
                </c:pt>
                <c:pt idx="648">
                  <c:v>-3.5582479742813575E-3</c:v>
                </c:pt>
                <c:pt idx="649">
                  <c:v>-3.6127984914871222E-3</c:v>
                </c:pt>
                <c:pt idx="650">
                  <c:v>-3.667018288662692E-3</c:v>
                </c:pt>
                <c:pt idx="651">
                  <c:v>-3.720901187014812E-3</c:v>
                </c:pt>
                <c:pt idx="652">
                  <c:v>-3.7744409990725578E-3</c:v>
                </c:pt>
                <c:pt idx="653">
                  <c:v>-3.8276315288485394E-3</c:v>
                </c:pt>
                <c:pt idx="654">
                  <c:v>-3.8804665719988293E-3</c:v>
                </c:pt>
                <c:pt idx="655">
                  <c:v>-3.9329399159837783E-3</c:v>
                </c:pt>
                <c:pt idx="656">
                  <c:v>-3.9850453402306626E-3</c:v>
                </c:pt>
                <c:pt idx="657">
                  <c:v>-4.0367766162930016E-3</c:v>
                </c:pt>
                <c:pt idx="658">
                  <c:v>-4.0881275080132048E-3</c:v>
                </c:pt>
                <c:pt idx="659">
                  <c:v>-4.1390917716807793E-3</c:v>
                </c:pt>
                <c:pt idx="660">
                  <c:v>-4.1896631561956429E-3</c:v>
                </c:pt>
                <c:pt idx="661">
                  <c:v>-4.2398354032291072E-3</c:v>
                </c:pt>
                <c:pt idx="662">
                  <c:v>-4.2896022473836379E-3</c:v>
                </c:pt>
                <c:pt idx="663">
                  <c:v>-4.3389574163540043E-3</c:v>
                </c:pt>
                <c:pt idx="664">
                  <c:v>-4.387894631088983E-3</c:v>
                </c:pt>
                <c:pt idx="665">
                  <c:v>-4.4364076059522292E-3</c:v>
                </c:pt>
                <c:pt idx="666">
                  <c:v>-4.4844900488829262E-3</c:v>
                </c:pt>
                <c:pt idx="667">
                  <c:v>-4.5321356615555461E-3</c:v>
                </c:pt>
                <c:pt idx="668">
                  <c:v>-4.5793381395438301E-3</c:v>
                </c:pt>
                <c:pt idx="669">
                  <c:v>-4.6260911724789952E-3</c:v>
                </c:pt>
                <c:pt idx="670">
                  <c:v>-4.6723884442116045E-3</c:v>
                </c:pt>
                <c:pt idx="671">
                  <c:v>-4.7182236329737712E-3</c:v>
                </c:pt>
                <c:pt idx="672">
                  <c:v>-4.7635904115370872E-3</c:v>
                </c:pt>
                <c:pt idx="673">
                  <c:v>-4.8084824473768814E-3</c:v>
                </c:pt>
                <c:pt idx="674">
                  <c:v>-4.852893402831425E-3</c:v>
                </c:pt>
                <c:pt idx="675">
                  <c:v>-4.8968169352635801E-3</c:v>
                </c:pt>
                <c:pt idx="676">
                  <c:v>-4.9402466972208944E-3</c:v>
                </c:pt>
                <c:pt idx="677">
                  <c:v>-4.983176336597249E-3</c:v>
                </c:pt>
                <c:pt idx="678">
                  <c:v>-5.0255994967939518E-3</c:v>
                </c:pt>
                <c:pt idx="679">
                  <c:v>-5.0675098168798324E-3</c:v>
                </c:pt>
                <c:pt idx="680">
                  <c:v>-5.108900931754444E-3</c:v>
                </c:pt>
                <c:pt idx="681">
                  <c:v>-5.1497664723054379E-3</c:v>
                </c:pt>
                <c:pt idx="682">
                  <c:v>-5.190100065572488E-3</c:v>
                </c:pt>
                <c:pt idx="683">
                  <c:v>-5.2298953349076069E-3</c:v>
                </c:pt>
                <c:pt idx="684">
                  <c:v>-5.26914590013524E-3</c:v>
                </c:pt>
                <c:pt idx="685">
                  <c:v>-5.3078453777139142E-3</c:v>
                </c:pt>
                <c:pt idx="686">
                  <c:v>-5.3459873808962208E-3</c:v>
                </c:pt>
                <c:pt idx="687">
                  <c:v>-5.3835655198931284E-3</c:v>
                </c:pt>
                <c:pt idx="688">
                  <c:v>-5.4205734020299143E-3</c:v>
                </c:pt>
                <c:pt idx="689">
                  <c:v>-5.4570046319112539E-3</c:v>
                </c:pt>
                <c:pt idx="690">
                  <c:v>-5.4928528115792061E-3</c:v>
                </c:pt>
                <c:pt idx="691">
                  <c:v>-5.5281115406770817E-3</c:v>
                </c:pt>
                <c:pt idx="692">
                  <c:v>-5.5627744166079282E-3</c:v>
                </c:pt>
                <c:pt idx="693">
                  <c:v>-5.5968350346972881E-3</c:v>
                </c:pt>
                <c:pt idx="694">
                  <c:v>-5.6302869883522941E-3</c:v>
                </c:pt>
                <c:pt idx="695">
                  <c:v>-5.6631238692248717E-3</c:v>
                </c:pt>
                <c:pt idx="696">
                  <c:v>-5.6953392673709455E-3</c:v>
                </c:pt>
                <c:pt idx="697">
                  <c:v>-5.7269267714119762E-3</c:v>
                </c:pt>
                <c:pt idx="698">
                  <c:v>-5.757879968696332E-3</c:v>
                </c:pt>
                <c:pt idx="699">
                  <c:v>-5.7881924454586606E-3</c:v>
                </c:pt>
                <c:pt idx="700">
                  <c:v>-5.8178577869849799E-3</c:v>
                </c:pt>
                <c:pt idx="701">
                  <c:v>-5.8468695777677757E-3</c:v>
                </c:pt>
                <c:pt idx="702">
                  <c:v>-5.875221401670315E-3</c:v>
                </c:pt>
                <c:pt idx="703">
                  <c:v>-5.9029068420895156E-3</c:v>
                </c:pt>
                <c:pt idx="704">
                  <c:v>-5.9299194821124876E-3</c:v>
                </c:pt>
                <c:pt idx="705">
                  <c:v>-5.9562529046800691E-3</c:v>
                </c:pt>
                <c:pt idx="706">
                  <c:v>-5.9819006927480309E-3</c:v>
                </c:pt>
                <c:pt idx="707">
                  <c:v>-6.0068564294468926E-3</c:v>
                </c:pt>
                <c:pt idx="708">
                  <c:v>-6.0311136982437383E-3</c:v>
                </c:pt>
                <c:pt idx="709">
                  <c:v>-6.0546660831016438E-3</c:v>
                </c:pt>
                <c:pt idx="710">
                  <c:v>-6.0775071686443236E-3</c:v>
                </c:pt>
                <c:pt idx="711">
                  <c:v>-6.0996305403117831E-3</c:v>
                </c:pt>
                <c:pt idx="712">
                  <c:v>-6.1210297845271863E-3</c:v>
                </c:pt>
                <c:pt idx="713">
                  <c:v>-6.1416984888516199E-3</c:v>
                </c:pt>
                <c:pt idx="714">
                  <c:v>-6.161630242149628E-3</c:v>
                </c:pt>
                <c:pt idx="715">
                  <c:v>-6.1808186347499725E-3</c:v>
                </c:pt>
                <c:pt idx="716">
                  <c:v>-6.1992572586032288E-3</c:v>
                </c:pt>
                <c:pt idx="717">
                  <c:v>-6.216939707446266E-3</c:v>
                </c:pt>
                <c:pt idx="718">
                  <c:v>-6.2338595769612301E-3</c:v>
                </c:pt>
                <c:pt idx="719">
                  <c:v>-6.2500104649386365E-3</c:v>
                </c:pt>
                <c:pt idx="720">
                  <c:v>-6.2653859714339108E-3</c:v>
                </c:pt>
                <c:pt idx="721">
                  <c:v>-6.2799796989342557E-3</c:v>
                </c:pt>
                <c:pt idx="722">
                  <c:v>-6.2937852525154145E-3</c:v>
                </c:pt>
                <c:pt idx="723">
                  <c:v>-6.3067962400027641E-3</c:v>
                </c:pt>
                <c:pt idx="724">
                  <c:v>-6.3190062721356285E-3</c:v>
                </c:pt>
                <c:pt idx="725">
                  <c:v>-6.3304089627246526E-3</c:v>
                </c:pt>
                <c:pt idx="726">
                  <c:v>-6.3409979288147275E-3</c:v>
                </c:pt>
                <c:pt idx="727">
                  <c:v>-6.3507667908448626E-3</c:v>
                </c:pt>
                <c:pt idx="728">
                  <c:v>-6.3597091728092789E-3</c:v>
                </c:pt>
                <c:pt idx="729">
                  <c:v>-6.36781870242039E-3</c:v>
                </c:pt>
                <c:pt idx="730">
                  <c:v>-6.3750890112665645E-3</c:v>
                </c:pt>
                <c:pt idx="731">
                  <c:v>-6.381513734975329E-3</c:v>
                </c:pt>
                <c:pt idx="732">
                  <c:v>-6.3870865133729068E-3</c:v>
                </c:pt>
                <c:pt idx="733">
                  <c:v>-6.3918009906483095E-3</c:v>
                </c:pt>
                <c:pt idx="734">
                  <c:v>-6.395650815509156E-3</c:v>
                </c:pt>
                <c:pt idx="735">
                  <c:v>-6.3986296413461527E-3</c:v>
                </c:pt>
                <c:pt idx="736">
                  <c:v>-6.4007311263945196E-3</c:v>
                </c:pt>
                <c:pt idx="737">
                  <c:v>-6.4019489338926414E-3</c:v>
                </c:pt>
                <c:pt idx="738">
                  <c:v>-6.4022767322448257E-3</c:v>
                </c:pt>
                <c:pt idx="739">
                  <c:v>-6.4017081951810648E-3</c:v>
                </c:pt>
                <c:pt idx="740">
                  <c:v>-6.4002370019193497E-3</c:v>
                </c:pt>
                <c:pt idx="741">
                  <c:v>-6.3978568373252095E-3</c:v>
                </c:pt>
                <c:pt idx="742">
                  <c:v>-6.3945613920735819E-3</c:v>
                </c:pt>
                <c:pt idx="743">
                  <c:v>-6.3903443628086296E-3</c:v>
                </c:pt>
                <c:pt idx="744">
                  <c:v>-6.3851994523066655E-3</c:v>
                </c:pt>
                <c:pt idx="745">
                  <c:v>-6.3791203696369134E-3</c:v>
                </c:pt>
                <c:pt idx="746">
                  <c:v>-6.3721008303194923E-3</c:v>
                </c:pt>
                <c:pt idx="747">
                  <c:v>-6.3641345564892857E-3</c:v>
                </c:pt>
                <c:pt idx="748">
                  <c:v>-6.3552152770579226E-3</c:v>
                </c:pt>
                <c:pt idx="749">
                  <c:v>-6.3453367278700976E-3</c:v>
                </c:pt>
                <c:pt idx="750">
                  <c:v>-6.3344926518684383E-3</c:v>
                </c:pt>
                <c:pt idx="751">
                  <c:v>-6.3226767992544883E-3</c:v>
                </c:pt>
                <c:pt idx="752">
                  <c:v>-6.3098829276485233E-3</c:v>
                </c:pt>
                <c:pt idx="753">
                  <c:v>-6.2961048022487018E-3</c:v>
                </c:pt>
                <c:pt idx="754">
                  <c:v>-6.2813361959951561E-3</c:v>
                </c:pt>
                <c:pt idx="755">
                  <c:v>-6.2655708897310855E-3</c:v>
                </c:pt>
                <c:pt idx="756">
                  <c:v>-6.2488026723606302E-3</c:v>
                </c:pt>
                <c:pt idx="757">
                  <c:v>-6.2310253410121849E-3</c:v>
                </c:pt>
                <c:pt idx="758">
                  <c:v>-6.2122327011978271E-3</c:v>
                </c:pt>
                <c:pt idx="759">
                  <c:v>-6.1924185669772966E-3</c:v>
                </c:pt>
                <c:pt idx="760">
                  <c:v>-6.1715767611152036E-3</c:v>
                </c:pt>
                <c:pt idx="761">
                  <c:v>-6.1497011152441758E-3</c:v>
                </c:pt>
                <c:pt idx="762">
                  <c:v>-6.1267854700262289E-3</c:v>
                </c:pt>
                <c:pt idx="763">
                  <c:v>-6.1028236753108631E-3</c:v>
                </c:pt>
                <c:pt idx="764">
                  <c:v>-6.0778095903008186E-3</c:v>
                </c:pt>
                <c:pt idx="765">
                  <c:v>-6.0517370837072856E-3</c:v>
                </c:pt>
                <c:pt idx="766">
                  <c:v>-6.024600033915882E-3</c:v>
                </c:pt>
                <c:pt idx="767">
                  <c:v>-5.9963923291447493E-3</c:v>
                </c:pt>
                <c:pt idx="768">
                  <c:v>-5.9671078676072006E-3</c:v>
                </c:pt>
                <c:pt idx="769">
                  <c:v>-5.9367405576709262E-3</c:v>
                </c:pt>
                <c:pt idx="770">
                  <c:v>-5.9052843180200307E-3</c:v>
                </c:pt>
                <c:pt idx="771">
                  <c:v>-5.872733077815738E-3</c:v>
                </c:pt>
                <c:pt idx="772">
                  <c:v>-5.8390807768582617E-3</c:v>
                </c:pt>
                <c:pt idx="773">
                  <c:v>-5.8043213657461221E-3</c:v>
                </c:pt>
                <c:pt idx="774">
                  <c:v>-5.7684488060382386E-3</c:v>
                </c:pt>
                <c:pt idx="775">
                  <c:v>-5.7314570704150233E-3</c:v>
                </c:pt>
                <c:pt idx="776">
                  <c:v>-5.6933401428391414E-3</c:v>
                </c:pt>
                <c:pt idx="777">
                  <c:v>-5.6540920187146057E-3</c:v>
                </c:pt>
                <c:pt idx="778">
                  <c:v>-5.613706705051312E-3</c:v>
                </c:pt>
                <c:pt idx="779">
                  <c:v>-5.5721782206239676E-3</c:v>
                </c:pt>
                <c:pt idx="780">
                  <c:v>-5.5295005961319074E-3</c:v>
                </c:pt>
                <c:pt idx="781">
                  <c:v>-5.4856678743627416E-3</c:v>
                </c:pt>
                <c:pt idx="782">
                  <c:v>-5.4406741103516718E-3</c:v>
                </c:pt>
                <c:pt idx="783">
                  <c:v>-5.3945133715413637E-3</c:v>
                </c:pt>
                <c:pt idx="784">
                  <c:v>-5.3471797379459271E-3</c:v>
                </c:pt>
                <c:pt idx="785">
                  <c:v>-5.2986673023112316E-3</c:v>
                </c:pt>
                <c:pt idx="786">
                  <c:v>-5.2489701702715594E-3</c:v>
                </c:pt>
                <c:pt idx="787">
                  <c:v>-5.1980824605165829E-3</c:v>
                </c:pt>
                <c:pt idx="788">
                  <c:v>-5.1459983049494049E-3</c:v>
                </c:pt>
                <c:pt idx="789">
                  <c:v>-5.0927118488457088E-3</c:v>
                </c:pt>
                <c:pt idx="790">
                  <c:v>-5.0382172510205145E-3</c:v>
                </c:pt>
                <c:pt idx="791">
                  <c:v>-4.9825086839823882E-3</c:v>
                </c:pt>
                <c:pt idx="792">
                  <c:v>-4.9255803340981993E-3</c:v>
                </c:pt>
                <c:pt idx="793">
                  <c:v>-4.8674264017533261E-3</c:v>
                </c:pt>
                <c:pt idx="794">
                  <c:v>-4.8080411015133037E-3</c:v>
                </c:pt>
                <c:pt idx="795">
                  <c:v>-4.7474186622846956E-3</c:v>
                </c:pt>
                <c:pt idx="796">
                  <c:v>-4.6855533274729674E-3</c:v>
                </c:pt>
                <c:pt idx="797">
                  <c:v>-4.6224393551480766E-3</c:v>
                </c:pt>
                <c:pt idx="798">
                  <c:v>-4.5580710182022907E-3</c:v>
                </c:pt>
                <c:pt idx="799">
                  <c:v>-4.492442604513612E-3</c:v>
                </c:pt>
                <c:pt idx="800">
                  <c:v>-4.4255484171048728E-3</c:v>
                </c:pt>
                <c:pt idx="801">
                  <c:v>-4.3573827743038293E-3</c:v>
                </c:pt>
                <c:pt idx="802">
                  <c:v>-4.2879400099073636E-3</c:v>
                </c:pt>
                <c:pt idx="803">
                  <c:v>-4.2172144733389136E-3</c:v>
                </c:pt>
                <c:pt idx="804">
                  <c:v>-4.1452005298122305E-3</c:v>
                </c:pt>
                <c:pt idx="805">
                  <c:v>-4.0718925604919173E-3</c:v>
                </c:pt>
                <c:pt idx="806">
                  <c:v>-3.997284962650581E-3</c:v>
                </c:pt>
                <c:pt idx="807">
                  <c:v>-3.9213721498364204E-3</c:v>
                </c:pt>
                <c:pt idx="808">
                  <c:v>-3.8441485520286575E-3</c:v>
                </c:pt>
                <c:pt idx="809">
                  <c:v>-3.7656086158024057E-3</c:v>
                </c:pt>
                <c:pt idx="810">
                  <c:v>-3.6857468044849892E-3</c:v>
                </c:pt>
                <c:pt idx="811">
                  <c:v>-3.6045575983223652E-3</c:v>
                </c:pt>
                <c:pt idx="812">
                  <c:v>-3.5220354946354435E-3</c:v>
                </c:pt>
                <c:pt idx="813">
                  <c:v>-3.4381750079846771E-3</c:v>
                </c:pt>
                <c:pt idx="814">
                  <c:v>-3.3529706703279358E-3</c:v>
                </c:pt>
                <c:pt idx="815">
                  <c:v>-3.2664170311845972E-3</c:v>
                </c:pt>
                <c:pt idx="816">
                  <c:v>-3.1785086577929764E-3</c:v>
                </c:pt>
                <c:pt idx="817">
                  <c:v>-3.0892401352744722E-3</c:v>
                </c:pt>
                <c:pt idx="818">
                  <c:v>-2.9986060667923295E-3</c:v>
                </c:pt>
                <c:pt idx="819">
                  <c:v>-2.9066010737145084E-3</c:v>
                </c:pt>
                <c:pt idx="820">
                  <c:v>-2.8132197957728908E-3</c:v>
                </c:pt>
                <c:pt idx="821">
                  <c:v>-2.7184568912261495E-3</c:v>
                </c:pt>
                <c:pt idx="822">
                  <c:v>-2.6223070370165122E-3</c:v>
                </c:pt>
                <c:pt idx="823">
                  <c:v>-2.5247649289377935E-3</c:v>
                </c:pt>
                <c:pt idx="824">
                  <c:v>-2.4258252817898826E-3</c:v>
                </c:pt>
                <c:pt idx="825">
                  <c:v>-2.3254828295432781E-3</c:v>
                </c:pt>
                <c:pt idx="826">
                  <c:v>-2.2237323254981831E-3</c:v>
                </c:pt>
                <c:pt idx="827">
                  <c:v>-2.1205685424468199E-3</c:v>
                </c:pt>
                <c:pt idx="828">
                  <c:v>-2.0159862728325248E-3</c:v>
                </c:pt>
                <c:pt idx="829">
                  <c:v>-1.9099803289140613E-3</c:v>
                </c:pt>
                <c:pt idx="830">
                  <c:v>-1.8025455429238266E-3</c:v>
                </c:pt>
                <c:pt idx="831">
                  <c:v>-1.6936767672290562E-3</c:v>
                </c:pt>
                <c:pt idx="832">
                  <c:v>-1.5833688744936389E-3</c:v>
                </c:pt>
                <c:pt idx="833">
                  <c:v>-1.4716167578379333E-3</c:v>
                </c:pt>
                <c:pt idx="834">
                  <c:v>-1.3584153310028588E-3</c:v>
                </c:pt>
                <c:pt idx="835">
                  <c:v>-1.2437595285056599E-3</c:v>
                </c:pt>
                <c:pt idx="836">
                  <c:v>-1.1276443058046634E-3</c:v>
                </c:pt>
                <c:pt idx="837">
                  <c:v>-1.0100646394610377E-3</c:v>
                </c:pt>
                <c:pt idx="838">
                  <c:v>-8.9101552729600048E-4</c:v>
                </c:pt>
                <c:pt idx="839">
                  <c:v>-7.7049198855457662E-4</c:v>
                </c:pt>
                <c:pt idx="840">
                  <c:v>-6.4848906406613643E-4</c:v>
                </c:pt>
                <c:pt idx="841">
                  <c:v>-5.2500181640399018E-4</c:v>
                </c:pt>
                <c:pt idx="842">
                  <c:v>-4.0002533004875745E-4</c:v>
                </c:pt>
                <c:pt idx="843">
                  <c:v>-2.7355471154779515E-4</c:v>
                </c:pt>
                <c:pt idx="844">
                  <c:v>-1.4558508967562472E-4</c:v>
                </c:pt>
                <c:pt idx="845">
                  <c:v>-1.6111615597134976E-5</c:v>
                </c:pt>
                <c:pt idx="846">
                  <c:v>1.1487053697576549E-4</c:v>
                </c:pt>
                <c:pt idx="847">
                  <c:v>2.4736617161805891E-4</c:v>
                </c:pt>
                <c:pt idx="848">
                  <c:v>3.8138006903296745E-4</c:v>
                </c:pt>
                <c:pt idx="849">
                  <c:v>5.1691698689097093E-4</c:v>
                </c:pt>
                <c:pt idx="850">
                  <c:v>6.5398165966999017E-4</c:v>
                </c:pt>
                <c:pt idx="851">
                  <c:v>7.9257879849223972E-4</c:v>
                </c:pt>
                <c:pt idx="852">
                  <c:v>9.3271309096479987E-4</c:v>
                </c:pt>
                <c:pt idx="853">
                  <c:v>1.074389201017413E-3</c:v>
                </c:pt>
                <c:pt idx="854">
                  <c:v>1.217611768744388E-3</c:v>
                </c:pt>
                <c:pt idx="855">
                  <c:v>1.3623854102366231E-3</c:v>
                </c:pt>
                <c:pt idx="856">
                  <c:v>1.5087147174312823E-3</c:v>
                </c:pt>
                <c:pt idx="857">
                  <c:v>1.6566042579409315E-3</c:v>
                </c:pt>
                <c:pt idx="858">
                  <c:v>1.8060585748985516E-3</c:v>
                </c:pt>
                <c:pt idx="859">
                  <c:v>1.9570821867955016E-3</c:v>
                </c:pt>
                <c:pt idx="860">
                  <c:v>2.1096795873150401E-3</c:v>
                </c:pt>
                <c:pt idx="861">
                  <c:v>2.2638552451833341E-3</c:v>
                </c:pt>
                <c:pt idx="862">
                  <c:v>2.4196136039950425E-3</c:v>
                </c:pt>
                <c:pt idx="863">
                  <c:v>2.5769590820601054E-3</c:v>
                </c:pt>
                <c:pt idx="864">
                  <c:v>2.7358960722435391E-3</c:v>
                </c:pt>
                <c:pt idx="865">
                  <c:v>2.8964289417995684E-3</c:v>
                </c:pt>
                <c:pt idx="866">
                  <c:v>3.0585620322149745E-3</c:v>
                </c:pt>
                <c:pt idx="867">
                  <c:v>3.2222996590434497E-3</c:v>
                </c:pt>
                <c:pt idx="868">
                  <c:v>3.3876461117511095E-3</c:v>
                </c:pt>
                <c:pt idx="869">
                  <c:v>3.5546056535513473E-3</c:v>
                </c:pt>
                <c:pt idx="870">
                  <c:v>3.7231825212398553E-3</c:v>
                </c:pt>
                <c:pt idx="871">
                  <c:v>3.8933809250452991E-3</c:v>
                </c:pt>
                <c:pt idx="872">
                  <c:v>4.065205048454569E-3</c:v>
                </c:pt>
                <c:pt idx="873">
                  <c:v>4.2386590480650091E-3</c:v>
                </c:pt>
                <c:pt idx="874">
                  <c:v>4.4137470534132209E-3</c:v>
                </c:pt>
                <c:pt idx="875">
                  <c:v>4.5904731668159685E-3</c:v>
                </c:pt>
                <c:pt idx="876">
                  <c:v>4.7688414632154133E-3</c:v>
                </c:pt>
                <c:pt idx="877">
                  <c:v>4.9488559900130805E-3</c:v>
                </c:pt>
                <c:pt idx="878">
                  <c:v>5.1305207669069333E-3</c:v>
                </c:pt>
                <c:pt idx="879">
                  <c:v>5.3138397857361644E-3</c:v>
                </c:pt>
                <c:pt idx="880">
                  <c:v>5.4988170103136627E-3</c:v>
                </c:pt>
                <c:pt idx="881">
                  <c:v>5.685456376272581E-3</c:v>
                </c:pt>
                <c:pt idx="882">
                  <c:v>5.873761790899025E-3</c:v>
                </c:pt>
                <c:pt idx="883">
                  <c:v>6.0637371329737358E-3</c:v>
                </c:pt>
                <c:pt idx="884">
                  <c:v>6.2553862526107742E-3</c:v>
                </c:pt>
                <c:pt idx="885">
                  <c:v>6.4487129710965388E-3</c:v>
                </c:pt>
                <c:pt idx="886">
                  <c:v>6.6437210807299488E-3</c:v>
                </c:pt>
                <c:pt idx="887">
                  <c:v>6.8404143446595192E-3</c:v>
                </c:pt>
                <c:pt idx="888">
                  <c:v>7.0387964967223784E-3</c:v>
                </c:pt>
                <c:pt idx="889">
                  <c:v>7.2388712412847292E-3</c:v>
                </c:pt>
                <c:pt idx="890">
                  <c:v>7.4406422530817543E-3</c:v>
                </c:pt>
                <c:pt idx="891">
                  <c:v>7.6441131770534146E-3</c:v>
                </c:pt>
                <c:pt idx="892">
                  <c:v>7.8492876281847437E-3</c:v>
                </c:pt>
                <c:pt idx="893">
                  <c:v>8.0561691913488068E-3</c:v>
                </c:pt>
                <c:pt idx="894">
                  <c:v>8.264761421138557E-3</c:v>
                </c:pt>
                <c:pt idx="895">
                  <c:v>8.4750678417117378E-3</c:v>
                </c:pt>
                <c:pt idx="896">
                  <c:v>8.6870919466264587E-3</c:v>
                </c:pt>
                <c:pt idx="897">
                  <c:v>8.9008371986832105E-3</c:v>
                </c:pt>
                <c:pt idx="898">
                  <c:v>9.1163070297605522E-3</c:v>
                </c:pt>
                <c:pt idx="899">
                  <c:v>9.3335048406575707E-3</c:v>
                </c:pt>
                <c:pt idx="900">
                  <c:v>9.5524340009303446E-3</c:v>
                </c:pt>
                <c:pt idx="901">
                  <c:v>9.773097848731073E-3</c:v>
                </c:pt>
                <c:pt idx="902">
                  <c:v>9.9954996906493135E-3</c:v>
                </c:pt>
                <c:pt idx="903">
                  <c:v>1.0219642801549779E-2</c:v>
                </c:pt>
                <c:pt idx="904">
                  <c:v>1.0445530424409245E-2</c:v>
                </c:pt>
                <c:pt idx="905">
                  <c:v>1.0673165770156791E-2</c:v>
                </c:pt>
                <c:pt idx="906">
                  <c:v>1.0902552017518809E-2</c:v>
                </c:pt>
                <c:pt idx="907">
                  <c:v>1.1133692312847256E-2</c:v>
                </c:pt>
                <c:pt idx="908">
                  <c:v>1.1366589769965886E-2</c:v>
                </c:pt>
                <c:pt idx="909">
                  <c:v>1.1601247470009825E-2</c:v>
                </c:pt>
                <c:pt idx="910">
                  <c:v>1.1837668461258256E-2</c:v>
                </c:pt>
                <c:pt idx="911">
                  <c:v>1.2075855758982103E-2</c:v>
                </c:pt>
                <c:pt idx="912">
                  <c:v>1.2315812345273604E-2</c:v>
                </c:pt>
                <c:pt idx="913">
                  <c:v>1.2557541168896104E-2</c:v>
                </c:pt>
                <c:pt idx="914">
                  <c:v>1.2801045145109415E-2</c:v>
                </c:pt>
                <c:pt idx="915">
                  <c:v>1.3046327155526484E-2</c:v>
                </c:pt>
                <c:pt idx="916">
                  <c:v>1.3293390047933097E-2</c:v>
                </c:pt>
                <c:pt idx="917">
                  <c:v>1.354223663614277E-2</c:v>
                </c:pt>
                <c:pt idx="918">
                  <c:v>1.3792869699828327E-2</c:v>
                </c:pt>
                <c:pt idx="919">
                  <c:v>1.4045291984359255E-2</c:v>
                </c:pt>
                <c:pt idx="920">
                  <c:v>1.4299506200646052E-2</c:v>
                </c:pt>
                <c:pt idx="921">
                  <c:v>1.4555515024975797E-2</c:v>
                </c:pt>
                <c:pt idx="922">
                  <c:v>1.4813321098853506E-2</c:v>
                </c:pt>
                <c:pt idx="923">
                  <c:v>1.5072927028837925E-2</c:v>
                </c:pt>
                <c:pt idx="924">
                  <c:v>1.5334335386382993E-2</c:v>
                </c:pt>
                <c:pt idx="925">
                  <c:v>1.5597548707676302E-2</c:v>
                </c:pt>
                <c:pt idx="926">
                  <c:v>1.5862569493479119E-2</c:v>
                </c:pt>
                <c:pt idx="927">
                  <c:v>1.6129400208963286E-2</c:v>
                </c:pt>
                <c:pt idx="928">
                  <c:v>1.6398043283551912E-2</c:v>
                </c:pt>
                <c:pt idx="929">
                  <c:v>1.6668501110756385E-2</c:v>
                </c:pt>
                <c:pt idx="930">
                  <c:v>1.6940776048020613E-2</c:v>
                </c:pt>
                <c:pt idx="931">
                  <c:v>1.7214870416552154E-2</c:v>
                </c:pt>
                <c:pt idx="932">
                  <c:v>1.7490786501166679E-2</c:v>
                </c:pt>
                <c:pt idx="933">
                  <c:v>1.7768526550128207E-2</c:v>
                </c:pt>
                <c:pt idx="934">
                  <c:v>1.8048092774983017E-2</c:v>
                </c:pt>
                <c:pt idx="935">
                  <c:v>1.832948735040122E-2</c:v>
                </c:pt>
                <c:pt idx="936">
                  <c:v>1.8612712414016776E-2</c:v>
                </c:pt>
                <c:pt idx="937">
                  <c:v>1.8897770066267063E-2</c:v>
                </c:pt>
                <c:pt idx="938">
                  <c:v>1.9184662370227458E-2</c:v>
                </c:pt>
                <c:pt idx="939">
                  <c:v>1.9473391351457238E-2</c:v>
                </c:pt>
                <c:pt idx="940">
                  <c:v>1.9763958997832821E-2</c:v>
                </c:pt>
                <c:pt idx="941">
                  <c:v>2.0056367259385234E-2</c:v>
                </c:pt>
                <c:pt idx="942">
                  <c:v>2.0350618048148451E-2</c:v>
                </c:pt>
                <c:pt idx="943">
                  <c:v>2.0646713237990534E-2</c:v>
                </c:pt>
                <c:pt idx="944">
                  <c:v>2.0944654664453645E-2</c:v>
                </c:pt>
                <c:pt idx="945">
                  <c:v>2.1244444124596064E-2</c:v>
                </c:pt>
                <c:pt idx="946">
                  <c:v>2.1546083376828319E-2</c:v>
                </c:pt>
                <c:pt idx="947">
                  <c:v>2.1849574140752982E-2</c:v>
                </c:pt>
                <c:pt idx="948">
                  <c:v>2.2154918097003796E-2</c:v>
                </c:pt>
                <c:pt idx="949">
                  <c:v>2.2462116887087914E-2</c:v>
                </c:pt>
                <c:pt idx="950">
                  <c:v>2.2771172113217254E-2</c:v>
                </c:pt>
                <c:pt idx="951">
                  <c:v>2.3082085338154847E-2</c:v>
                </c:pt>
                <c:pt idx="952">
                  <c:v>2.3394858085052407E-2</c:v>
                </c:pt>
                <c:pt idx="953">
                  <c:v>2.3709491837285469E-2</c:v>
                </c:pt>
                <c:pt idx="954">
                  <c:v>2.4025988038296954E-2</c:v>
                </c:pt>
                <c:pt idx="955">
                  <c:v>2.4344348091432967E-2</c:v>
                </c:pt>
                <c:pt idx="956">
                  <c:v>2.4664573359785148E-2</c:v>
                </c:pt>
                <c:pt idx="957">
                  <c:v>2.4986665166025136E-2</c:v>
                </c:pt>
                <c:pt idx="958">
                  <c:v>2.5310624792249915E-2</c:v>
                </c:pt>
                <c:pt idx="959">
                  <c:v>2.5636453479813394E-2</c:v>
                </c:pt>
                <c:pt idx="960">
                  <c:v>2.596415242917164E-2</c:v>
                </c:pt>
                <c:pt idx="961">
                  <c:v>2.6293722799718013E-2</c:v>
                </c:pt>
                <c:pt idx="962">
                  <c:v>2.6625165709626732E-2</c:v>
                </c:pt>
                <c:pt idx="963">
                  <c:v>2.6958482235684679E-2</c:v>
                </c:pt>
                <c:pt idx="964">
                  <c:v>2.7293673413136411E-2</c:v>
                </c:pt>
                <c:pt idx="965">
                  <c:v>2.7630740235523067E-2</c:v>
                </c:pt>
                <c:pt idx="966">
                  <c:v>2.7969683654517054E-2</c:v>
                </c:pt>
                <c:pt idx="967">
                  <c:v>2.831050457976695E-2</c:v>
                </c:pt>
                <c:pt idx="968">
                  <c:v>2.8653203878727974E-2</c:v>
                </c:pt>
                <c:pt idx="969">
                  <c:v>2.899778237651144E-2</c:v>
                </c:pt>
                <c:pt idx="970">
                  <c:v>2.9344240855717442E-2</c:v>
                </c:pt>
                <c:pt idx="971">
                  <c:v>2.9692580056273989E-2</c:v>
                </c:pt>
                <c:pt idx="972">
                  <c:v>3.0042800675278793E-2</c:v>
                </c:pt>
                <c:pt idx="973">
                  <c:v>3.0394903366835958E-2</c:v>
                </c:pt>
                <c:pt idx="974">
                  <c:v>3.0748888741894333E-2</c:v>
                </c:pt>
                <c:pt idx="975">
                  <c:v>3.1104757368091297E-2</c:v>
                </c:pt>
                <c:pt idx="976">
                  <c:v>3.1462509769587012E-2</c:v>
                </c:pt>
                <c:pt idx="977">
                  <c:v>3.1822146426902211E-2</c:v>
                </c:pt>
                <c:pt idx="978">
                  <c:v>3.2183667776763882E-2</c:v>
                </c:pt>
                <c:pt idx="979">
                  <c:v>3.2547074211939954E-2</c:v>
                </c:pt>
                <c:pt idx="980">
                  <c:v>3.2912366081073098E-2</c:v>
                </c:pt>
                <c:pt idx="981">
                  <c:v>3.3279543688535175E-2</c:v>
                </c:pt>
                <c:pt idx="982">
                  <c:v>3.364860729424738E-2</c:v>
                </c:pt>
                <c:pt idx="983">
                  <c:v>3.4019557113534694E-2</c:v>
                </c:pt>
                <c:pt idx="984">
                  <c:v>3.4392393316956128E-2</c:v>
                </c:pt>
                <c:pt idx="985">
                  <c:v>3.4767116030144742E-2</c:v>
                </c:pt>
                <c:pt idx="986">
                  <c:v>3.5143725333649657E-2</c:v>
                </c:pt>
                <c:pt idx="987">
                  <c:v>3.5522221262774413E-2</c:v>
                </c:pt>
                <c:pt idx="988">
                  <c:v>3.5902603807417645E-2</c:v>
                </c:pt>
                <c:pt idx="989">
                  <c:v>3.6284872911900669E-2</c:v>
                </c:pt>
                <c:pt idx="990">
                  <c:v>3.666902847482393E-2</c:v>
                </c:pt>
                <c:pt idx="991">
                  <c:v>3.7055070348895248E-2</c:v>
                </c:pt>
                <c:pt idx="992">
                  <c:v>3.744299834077084E-2</c:v>
                </c:pt>
                <c:pt idx="993">
                  <c:v>3.7832812210894663E-2</c:v>
                </c:pt>
                <c:pt idx="994">
                  <c:v>3.8224511673337104E-2</c:v>
                </c:pt>
                <c:pt idx="995">
                  <c:v>3.8618096395635883E-2</c:v>
                </c:pt>
                <c:pt idx="996">
                  <c:v>3.9013565998633294E-2</c:v>
                </c:pt>
                <c:pt idx="997">
                  <c:v>3.941092005631356E-2</c:v>
                </c:pt>
                <c:pt idx="998">
                  <c:v>3.9810158095644622E-2</c:v>
                </c:pt>
                <c:pt idx="999">
                  <c:v>4.0211279596419271E-2</c:v>
                </c:pt>
                <c:pt idx="1000">
                  <c:v>4.0614283991088164E-2</c:v>
                </c:pt>
                <c:pt idx="1001">
                  <c:v>4.1019170664603623E-2</c:v>
                </c:pt>
                <c:pt idx="1002">
                  <c:v>4.1425938954254761E-2</c:v>
                </c:pt>
                <c:pt idx="1003">
                  <c:v>4.1834588149511499E-2</c:v>
                </c:pt>
                <c:pt idx="1004">
                  <c:v>4.2245117491860364E-2</c:v>
                </c:pt>
                <c:pt idx="1005">
                  <c:v>4.2657526174642059E-2</c:v>
                </c:pt>
                <c:pt idx="1006">
                  <c:v>4.3071813342896927E-2</c:v>
                </c:pt>
                <c:pt idx="1007">
                  <c:v>4.348797809319286E-2</c:v>
                </c:pt>
                <c:pt idx="1008">
                  <c:v>4.3906019473477866E-2</c:v>
                </c:pt>
                <c:pt idx="1009">
                  <c:v>4.4325936482907426E-2</c:v>
                </c:pt>
                <c:pt idx="1010">
                  <c:v>4.4747728071691285E-2</c:v>
                </c:pt>
                <c:pt idx="1011">
                  <c:v>4.5171393140927808E-2</c:v>
                </c:pt>
                <c:pt idx="1012">
                  <c:v>4.5596930542443216E-2</c:v>
                </c:pt>
                <c:pt idx="1013">
                  <c:v>4.6024339078639821E-2</c:v>
                </c:pt>
                <c:pt idx="1014">
                  <c:v>4.6453617502317503E-2</c:v>
                </c:pt>
                <c:pt idx="1015">
                  <c:v>4.6884764516527379E-2</c:v>
                </c:pt>
                <c:pt idx="1016">
                  <c:v>4.7317778774408382E-2</c:v>
                </c:pt>
                <c:pt idx="1017">
                  <c:v>4.7752658879018618E-2</c:v>
                </c:pt>
                <c:pt idx="1018">
                  <c:v>4.8189403383183484E-2</c:v>
                </c:pt>
                <c:pt idx="1019">
                  <c:v>4.8628010789330912E-2</c:v>
                </c:pt>
                <c:pt idx="1020">
                  <c:v>4.9068479549328393E-2</c:v>
                </c:pt>
                <c:pt idx="1021">
                  <c:v>4.9510808064324875E-2</c:v>
                </c:pt>
                <c:pt idx="1022">
                  <c:v>4.9954994684592226E-2</c:v>
                </c:pt>
                <c:pt idx="1023">
                  <c:v>5.0401037709356146E-2</c:v>
                </c:pt>
                <c:pt idx="1024">
                  <c:v>5.0848935386641182E-2</c:v>
                </c:pt>
                <c:pt idx="1025">
                  <c:v>5.1298685913114629E-2</c:v>
                </c:pt>
                <c:pt idx="1026">
                  <c:v>5.1750287433910226E-2</c:v>
                </c:pt>
                <c:pt idx="1027">
                  <c:v>5.2203738042483495E-2</c:v>
                </c:pt>
                <c:pt idx="1028">
                  <c:v>5.2659035780440767E-2</c:v>
                </c:pt>
                <c:pt idx="1029">
                  <c:v>5.3116178637382418E-2</c:v>
                </c:pt>
                <c:pt idx="1030">
                  <c:v>5.3575164550739442E-2</c:v>
                </c:pt>
                <c:pt idx="1031">
                  <c:v>5.4035991405617247E-2</c:v>
                </c:pt>
                <c:pt idx="1032">
                  <c:v>5.4498657034626453E-2</c:v>
                </c:pt>
                <c:pt idx="1033">
                  <c:v>5.4963159217729464E-2</c:v>
                </c:pt>
                <c:pt idx="1034">
                  <c:v>5.5429495682080145E-2</c:v>
                </c:pt>
                <c:pt idx="1035">
                  <c:v>5.5897664101852519E-2</c:v>
                </c:pt>
                <c:pt idx="1036">
                  <c:v>5.6367662098090222E-2</c:v>
                </c:pt>
                <c:pt idx="1037">
                  <c:v>5.6839487238543519E-2</c:v>
                </c:pt>
                <c:pt idx="1038">
                  <c:v>5.7313137037504992E-2</c:v>
                </c:pt>
                <c:pt idx="1039">
                  <c:v>5.7788608955648781E-2</c:v>
                </c:pt>
                <c:pt idx="1040">
                  <c:v>5.8265900399878258E-2</c:v>
                </c:pt>
                <c:pt idx="1041">
                  <c:v>5.874500872314762E-2</c:v>
                </c:pt>
                <c:pt idx="1042">
                  <c:v>5.9225931224321994E-2</c:v>
                </c:pt>
                <c:pt idx="1043">
                  <c:v>5.9708665147997809E-2</c:v>
                </c:pt>
                <c:pt idx="1044">
                  <c:v>6.0193207684354468E-2</c:v>
                </c:pt>
                <c:pt idx="1045">
                  <c:v>6.0679555968986144E-2</c:v>
                </c:pt>
                <c:pt idx="1046">
                  <c:v>6.1167707082748136E-2</c:v>
                </c:pt>
                <c:pt idx="1047">
                  <c:v>6.1657658051584997E-2</c:v>
                </c:pt>
                <c:pt idx="1048">
                  <c:v>6.2149405846380436E-2</c:v>
                </c:pt>
                <c:pt idx="1049">
                  <c:v>6.264294738278689E-2</c:v>
                </c:pt>
                <c:pt idx="1050">
                  <c:v>6.313827952107412E-2</c:v>
                </c:pt>
                <c:pt idx="1051">
                  <c:v>6.3635399065965964E-2</c:v>
                </c:pt>
                <c:pt idx="1052">
                  <c:v>6.4134302766469392E-2</c:v>
                </c:pt>
                <c:pt idx="1053">
                  <c:v>6.4634987315724063E-2</c:v>
                </c:pt>
                <c:pt idx="1054">
                  <c:v>6.5137449350838456E-2</c:v>
                </c:pt>
                <c:pt idx="1055">
                  <c:v>6.5641685452732662E-2</c:v>
                </c:pt>
                <c:pt idx="1056">
                  <c:v>6.6147692145967857E-2</c:v>
                </c:pt>
                <c:pt idx="1057">
                  <c:v>6.6655465898595306E-2</c:v>
                </c:pt>
                <c:pt idx="1058">
                  <c:v>6.7165003121984063E-2</c:v>
                </c:pt>
                <c:pt idx="1059">
                  <c:v>6.767630017067941E-2</c:v>
                </c:pt>
                <c:pt idx="1060">
                  <c:v>6.8189353342217235E-2</c:v>
                </c:pt>
                <c:pt idx="1061">
                  <c:v>6.8704158876983917E-2</c:v>
                </c:pt>
                <c:pt idx="1062">
                  <c:v>6.9220712958041802E-2</c:v>
                </c:pt>
                <c:pt idx="1063">
                  <c:v>6.9739011710972992E-2</c:v>
                </c:pt>
                <c:pt idx="1064">
                  <c:v>7.0259051203724804E-2</c:v>
                </c:pt>
                <c:pt idx="1065">
                  <c:v>7.078082744643524E-2</c:v>
                </c:pt>
                <c:pt idx="1066">
                  <c:v>7.1304336391283335E-2</c:v>
                </c:pt>
                <c:pt idx="1067">
                  <c:v>7.1829573932323171E-2</c:v>
                </c:pt>
                <c:pt idx="1068">
                  <c:v>7.2356535905325786E-2</c:v>
                </c:pt>
                <c:pt idx="1069">
                  <c:v>7.2885218087614195E-2</c:v>
                </c:pt>
                <c:pt idx="1070">
                  <c:v>7.3415616197904404E-2</c:v>
                </c:pt>
                <c:pt idx="1071">
                  <c:v>7.3947725896149202E-2</c:v>
                </c:pt>
                <c:pt idx="1072">
                  <c:v>7.4481542783365856E-2</c:v>
                </c:pt>
                <c:pt idx="1073">
                  <c:v>7.5017062401485562E-2</c:v>
                </c:pt>
                <c:pt idx="1074">
                  <c:v>7.5554280233190024E-2</c:v>
                </c:pt>
                <c:pt idx="1075">
                  <c:v>7.6093191701745361E-2</c:v>
                </c:pt>
                <c:pt idx="1076">
                  <c:v>7.6633792170850229E-2</c:v>
                </c:pt>
                <c:pt idx="1077">
                  <c:v>7.7176076944468514E-2</c:v>
                </c:pt>
                <c:pt idx="1078">
                  <c:v>7.7720041266665013E-2</c:v>
                </c:pt>
                <c:pt idx="1079">
                  <c:v>7.8265680321454673E-2</c:v>
                </c:pt>
                <c:pt idx="1080">
                  <c:v>7.8812989232633385E-2</c:v>
                </c:pt>
                <c:pt idx="1081">
                  <c:v>7.9361963063620006E-2</c:v>
                </c:pt>
                <c:pt idx="1082">
                  <c:v>7.9912596817292042E-2</c:v>
                </c:pt>
                <c:pt idx="1083">
                  <c:v>8.0464885435835992E-2</c:v>
                </c:pt>
                <c:pt idx="1084">
                  <c:v>8.1018823800568379E-2</c:v>
                </c:pt>
                <c:pt idx="1085">
                  <c:v>8.15744067317902E-2</c:v>
                </c:pt>
                <c:pt idx="1086">
                  <c:v>8.2131628988618616E-2</c:v>
                </c:pt>
                <c:pt idx="1087">
                  <c:v>8.2690485268829078E-2</c:v>
                </c:pt>
                <c:pt idx="1088">
                  <c:v>8.325097020868924E-2</c:v>
                </c:pt>
                <c:pt idx="1089">
                  <c:v>8.3813078382804079E-2</c:v>
                </c:pt>
                <c:pt idx="1090">
                  <c:v>8.4376804303951586E-2</c:v>
                </c:pt>
                <c:pt idx="1091">
                  <c:v>8.4942142422925554E-2</c:v>
                </c:pt>
                <c:pt idx="1092">
                  <c:v>8.5509087128367273E-2</c:v>
                </c:pt>
                <c:pt idx="1093">
                  <c:v>8.6077632746612759E-2</c:v>
                </c:pt>
                <c:pt idx="1094">
                  <c:v>8.6647773541527112E-2</c:v>
                </c:pt>
                <c:pt idx="1095">
                  <c:v>8.7219503714340313E-2</c:v>
                </c:pt>
                <c:pt idx="1096">
                  <c:v>8.7792817403496676E-2</c:v>
                </c:pt>
                <c:pt idx="1097">
                  <c:v>8.8367708684481877E-2</c:v>
                </c:pt>
                <c:pt idx="1098">
                  <c:v>8.8944171569674629E-2</c:v>
                </c:pt>
                <c:pt idx="1099">
                  <c:v>8.9522200008172709E-2</c:v>
                </c:pt>
                <c:pt idx="1100">
                  <c:v>9.0101787885637524E-2</c:v>
                </c:pt>
                <c:pt idx="1101">
                  <c:v>9.0682929024142683E-2</c:v>
                </c:pt>
                <c:pt idx="1102">
                  <c:v>9.1265617181994579E-2</c:v>
                </c:pt>
                <c:pt idx="1103">
                  <c:v>9.1849846053580625E-2</c:v>
                </c:pt>
                <c:pt idx="1104">
                  <c:v>9.2435609269218261E-2</c:v>
                </c:pt>
                <c:pt idx="1105">
                  <c:v>9.3022900394974434E-2</c:v>
                </c:pt>
                <c:pt idx="1106">
                  <c:v>9.3611712932515051E-2</c:v>
                </c:pt>
                <c:pt idx="1107">
                  <c:v>9.4202040318952768E-2</c:v>
                </c:pt>
                <c:pt idx="1108">
                  <c:v>9.4793875926666243E-2</c:v>
                </c:pt>
                <c:pt idx="1109">
                  <c:v>9.5387213063154036E-2</c:v>
                </c:pt>
                <c:pt idx="1110">
                  <c:v>9.5982044970870289E-2</c:v>
                </c:pt>
                <c:pt idx="1111">
                  <c:v>9.6578364827063085E-2</c:v>
                </c:pt>
                <c:pt idx="1112">
                  <c:v>9.7176165743605686E-2</c:v>
                </c:pt>
                <c:pt idx="1113">
                  <c:v>9.7775440766852767E-2</c:v>
                </c:pt>
                <c:pt idx="1114">
                  <c:v>9.8376182877463664E-2</c:v>
                </c:pt>
                <c:pt idx="1115">
                  <c:v>9.8978384990251161E-2</c:v>
                </c:pt>
                <c:pt idx="1116">
                  <c:v>9.9582039954014073E-2</c:v>
                </c:pt>
                <c:pt idx="1117">
                  <c:v>0.10018714055137748</c:v>
                </c:pt>
                <c:pt idx="1118">
                  <c:v>0.1007936794986373</c:v>
                </c:pt>
                <c:pt idx="1119">
                  <c:v>0.10140164944559329</c:v>
                </c:pt>
                <c:pt idx="1120">
                  <c:v>0.10201104297538791</c:v>
                </c:pt>
                <c:pt idx="1121">
                  <c:v>0.10262185260435178</c:v>
                </c:pt>
                <c:pt idx="1122">
                  <c:v>0.10323407078183769</c:v>
                </c:pt>
                <c:pt idx="1123">
                  <c:v>0.10384768989005735</c:v>
                </c:pt>
                <c:pt idx="1124">
                  <c:v>0.10446270224392287</c:v>
                </c:pt>
                <c:pt idx="1125">
                  <c:v>0.10507910009089053</c:v>
                </c:pt>
                <c:pt idx="1126">
                  <c:v>0.10569687561079125</c:v>
                </c:pt>
                <c:pt idx="1127">
                  <c:v>0.10631602091567996</c:v>
                </c:pt>
                <c:pt idx="1128">
                  <c:v>0.10693652804966539</c:v>
                </c:pt>
                <c:pt idx="1129">
                  <c:v>0.10755838898874895</c:v>
                </c:pt>
                <c:pt idx="1130">
                  <c:v>0.10818159564066857</c:v>
                </c:pt>
                <c:pt idx="1131">
                  <c:v>0.10880613984474366</c:v>
                </c:pt>
                <c:pt idx="1132">
                  <c:v>0.10943201337169464</c:v>
                </c:pt>
                <c:pt idx="1133">
                  <c:v>0.11005920792350835</c:v>
                </c:pt>
                <c:pt idx="1134">
                  <c:v>0.11068771513325074</c:v>
                </c:pt>
                <c:pt idx="1135">
                  <c:v>0.1113175265649208</c:v>
                </c:pt>
                <c:pt idx="1136">
                  <c:v>0.11194863371329203</c:v>
                </c:pt>
                <c:pt idx="1137">
                  <c:v>0.11258102800374228</c:v>
                </c:pt>
                <c:pt idx="1138">
                  <c:v>0.11321470079209675</c:v>
                </c:pt>
                <c:pt idx="1139">
                  <c:v>0.11384964336446671</c:v>
                </c:pt>
                <c:pt idx="1140">
                  <c:v>0.11448584693709432</c:v>
                </c:pt>
                <c:pt idx="1141">
                  <c:v>0.11512330265617768</c:v>
                </c:pt>
                <c:pt idx="1142">
                  <c:v>0.11576200159772213</c:v>
                </c:pt>
                <c:pt idx="1143">
                  <c:v>0.11640193476738039</c:v>
                </c:pt>
                <c:pt idx="1144">
                  <c:v>0.11704309310027675</c:v>
                </c:pt>
                <c:pt idx="1145">
                  <c:v>0.11768546746086575</c:v>
                </c:pt>
                <c:pt idx="1146">
                  <c:v>0.11832904864275776</c:v>
                </c:pt>
                <c:pt idx="1147">
                  <c:v>0.11897382736855858</c:v>
                </c:pt>
                <c:pt idx="1148">
                  <c:v>0.11961979428971684</c:v>
                </c:pt>
                <c:pt idx="1149">
                  <c:v>0.12026693998635965</c:v>
                </c:pt>
                <c:pt idx="1150">
                  <c:v>0.12091525496711966</c:v>
                </c:pt>
                <c:pt idx="1151">
                  <c:v>0.12156472966899115</c:v>
                </c:pt>
                <c:pt idx="1152">
                  <c:v>0.12221535445716938</c:v>
                </c:pt>
                <c:pt idx="1153">
                  <c:v>0.12286711962486499</c:v>
                </c:pt>
                <c:pt idx="1154">
                  <c:v>0.12352001539317872</c:v>
                </c:pt>
                <c:pt idx="1155">
                  <c:v>0.12417403191090828</c:v>
                </c:pt>
                <c:pt idx="1156">
                  <c:v>0.12482915925440988</c:v>
                </c:pt>
                <c:pt idx="1157">
                  <c:v>0.12548538742742724</c:v>
                </c:pt>
                <c:pt idx="1158">
                  <c:v>0.12614270636092842</c:v>
                </c:pt>
                <c:pt idx="1159">
                  <c:v>0.12680110591295349</c:v>
                </c:pt>
                <c:pt idx="1160">
                  <c:v>0.12746057586844364</c:v>
                </c:pt>
                <c:pt idx="1161">
                  <c:v>0.12812110593908846</c:v>
                </c:pt>
                <c:pt idx="1162">
                  <c:v>0.12878268576315891</c:v>
                </c:pt>
                <c:pt idx="1163">
                  <c:v>0.12944530490535591</c:v>
                </c:pt>
                <c:pt idx="1164">
                  <c:v>0.1301089528566354</c:v>
                </c:pt>
                <c:pt idx="1165">
                  <c:v>0.1307736190340564</c:v>
                </c:pt>
                <c:pt idx="1166">
                  <c:v>0.13143929278061731</c:v>
                </c:pt>
                <c:pt idx="1167">
                  <c:v>0.13210596336510086</c:v>
                </c:pt>
                <c:pt idx="1168">
                  <c:v>0.13277361998190076</c:v>
                </c:pt>
                <c:pt idx="1169">
                  <c:v>0.13344225175087734</c:v>
                </c:pt>
                <c:pt idx="1170">
                  <c:v>0.13411184771717602</c:v>
                </c:pt>
                <c:pt idx="1171">
                  <c:v>0.13478239685109009</c:v>
                </c:pt>
                <c:pt idx="1172">
                  <c:v>0.13545388804787331</c:v>
                </c:pt>
                <c:pt idx="1173">
                  <c:v>0.13612631012760582</c:v>
                </c:pt>
                <c:pt idx="1174">
                  <c:v>0.13679965183501167</c:v>
                </c:pt>
                <c:pt idx="1175">
                  <c:v>0.1374739018393141</c:v>
                </c:pt>
                <c:pt idx="1176">
                  <c:v>0.13814904873405723</c:v>
                </c:pt>
                <c:pt idx="1177">
                  <c:v>0.13882508103696348</c:v>
                </c:pt>
                <c:pt idx="1178">
                  <c:v>0.13950198718976095</c:v>
                </c:pt>
                <c:pt idx="1179">
                  <c:v>0.14017975555802134</c:v>
                </c:pt>
                <c:pt idx="1180">
                  <c:v>0.14085837443101337</c:v>
                </c:pt>
                <c:pt idx="1181">
                  <c:v>0.14153783202152029</c:v>
                </c:pt>
                <c:pt idx="1182">
                  <c:v>0.14221811646569596</c:v>
                </c:pt>
                <c:pt idx="1183">
                  <c:v>0.14289921582289525</c:v>
                </c:pt>
                <c:pt idx="1184">
                  <c:v>0.14358111807551868</c:v>
                </c:pt>
                <c:pt idx="1185">
                  <c:v>0.14426381112885303</c:v>
                </c:pt>
                <c:pt idx="1186">
                  <c:v>0.14494728281089256</c:v>
                </c:pt>
                <c:pt idx="1187">
                  <c:v>0.1456315208722018</c:v>
                </c:pt>
                <c:pt idx="1188">
                  <c:v>0.14631651298574247</c:v>
                </c:pt>
                <c:pt idx="1189">
                  <c:v>0.14700224674671805</c:v>
                </c:pt>
                <c:pt idx="1190">
                  <c:v>0.1476887096723957</c:v>
                </c:pt>
                <c:pt idx="1191">
                  <c:v>0.14837588920197567</c:v>
                </c:pt>
                <c:pt idx="1192">
                  <c:v>0.14906377269640228</c:v>
                </c:pt>
                <c:pt idx="1193">
                  <c:v>0.149752347438216</c:v>
                </c:pt>
                <c:pt idx="1194">
                  <c:v>0.15044160063139514</c:v>
                </c:pt>
                <c:pt idx="1195">
                  <c:v>0.15113151940118266</c:v>
                </c:pt>
                <c:pt idx="1196">
                  <c:v>0.15182209079393974</c:v>
                </c:pt>
                <c:pt idx="1197">
                  <c:v>0.15251330177697256</c:v>
                </c:pt>
                <c:pt idx="1198">
                  <c:v>0.15320513923838133</c:v>
                </c:pt>
                <c:pt idx="1199">
                  <c:v>0.15389758998688977</c:v>
                </c:pt>
                <c:pt idx="1200">
                  <c:v>0.1545906407516914</c:v>
                </c:pt>
                <c:pt idx="1201">
                  <c:v>0.15528427818228799</c:v>
                </c:pt>
                <c:pt idx="1202">
                  <c:v>0.15597848884832258</c:v>
                </c:pt>
                <c:pt idx="1203">
                  <c:v>0.15667325923942901</c:v>
                </c:pt>
                <c:pt idx="1204">
                  <c:v>0.15736857576505406</c:v>
                </c:pt>
                <c:pt idx="1205">
                  <c:v>0.15806442475431751</c:v>
                </c:pt>
                <c:pt idx="1206">
                  <c:v>0.15876079245583732</c:v>
                </c:pt>
                <c:pt idx="1207">
                  <c:v>0.159457665037572</c:v>
                </c:pt>
                <c:pt idx="1208">
                  <c:v>0.16015502858665356</c:v>
                </c:pt>
                <c:pt idx="1209">
                  <c:v>0.16085286910924104</c:v>
                </c:pt>
                <c:pt idx="1210">
                  <c:v>0.16155117253034915</c:v>
                </c:pt>
                <c:pt idx="1211">
                  <c:v>0.16224992469369151</c:v>
                </c:pt>
                <c:pt idx="1212">
                  <c:v>0.16294911136150905</c:v>
                </c:pt>
                <c:pt idx="1213">
                  <c:v>0.16364871821442387</c:v>
                </c:pt>
                <c:pt idx="1214">
                  <c:v>0.16434873085127324</c:v>
                </c:pt>
                <c:pt idx="1215">
                  <c:v>0.1650491347889427</c:v>
                </c:pt>
                <c:pt idx="1216">
                  <c:v>0.16574991546221321</c:v>
                </c:pt>
                <c:pt idx="1217">
                  <c:v>0.16645105822359421</c:v>
                </c:pt>
                <c:pt idx="1218">
                  <c:v>0.16715254834316642</c:v>
                </c:pt>
                <c:pt idx="1219">
                  <c:v>0.1678543710084193</c:v>
                </c:pt>
                <c:pt idx="1220">
                  <c:v>0.16855651132408592</c:v>
                </c:pt>
                <c:pt idx="1221">
                  <c:v>0.16925895431200136</c:v>
                </c:pt>
                <c:pt idx="1222">
                  <c:v>0.16996168491090349</c:v>
                </c:pt>
                <c:pt idx="1223">
                  <c:v>0.17066468797631976</c:v>
                </c:pt>
                <c:pt idx="1224">
                  <c:v>0.17136794828035765</c:v>
                </c:pt>
                <c:pt idx="1225">
                  <c:v>0.17207145051159103</c:v>
                </c:pt>
                <c:pt idx="1226">
                  <c:v>0.17277517927485589</c:v>
                </c:pt>
                <c:pt idx="1227">
                  <c:v>0.17347911909112237</c:v>
                </c:pt>
                <c:pt idx="1228">
                  <c:v>0.17418325439732088</c:v>
                </c:pt>
                <c:pt idx="1229">
                  <c:v>0.17488756954617371</c:v>
                </c:pt>
                <c:pt idx="1230">
                  <c:v>0.17559204880604121</c:v>
                </c:pt>
                <c:pt idx="1231">
                  <c:v>0.17629667636076943</c:v>
                </c:pt>
                <c:pt idx="1232">
                  <c:v>0.17700143630951795</c:v>
                </c:pt>
                <c:pt idx="1233">
                  <c:v>0.17770631266659379</c:v>
                </c:pt>
                <c:pt idx="1234">
                  <c:v>0.17841128936130482</c:v>
                </c:pt>
                <c:pt idx="1235">
                  <c:v>0.17911635023779995</c:v>
                </c:pt>
                <c:pt idx="1236">
                  <c:v>0.17982147905488524</c:v>
                </c:pt>
                <c:pt idx="1237">
                  <c:v>0.18052665948588889</c:v>
                </c:pt>
                <c:pt idx="1238">
                  <c:v>0.1812318751184864</c:v>
                </c:pt>
                <c:pt idx="1239">
                  <c:v>0.18193710945454203</c:v>
                </c:pt>
                <c:pt idx="1240">
                  <c:v>0.18264234590995224</c:v>
                </c:pt>
                <c:pt idx="1241">
                  <c:v>0.18334756781447739</c:v>
                </c:pt>
                <c:pt idx="1242">
                  <c:v>0.18405275841158378</c:v>
                </c:pt>
                <c:pt idx="1243">
                  <c:v>0.18475790085828728</c:v>
                </c:pt>
                <c:pt idx="1244">
                  <c:v>0.18546297822498373</c:v>
                </c:pt>
                <c:pt idx="1245">
                  <c:v>0.1861679734952997</c:v>
                </c:pt>
                <c:pt idx="1246">
                  <c:v>0.18687286956591856</c:v>
                </c:pt>
                <c:pt idx="1247">
                  <c:v>0.18757764924642809</c:v>
                </c:pt>
                <c:pt idx="1248">
                  <c:v>0.18828229525915777</c:v>
                </c:pt>
                <c:pt idx="1249">
                  <c:v>0.18898679023901402</c:v>
                </c:pt>
                <c:pt idx="1250">
                  <c:v>0.1896911167333222</c:v>
                </c:pt>
                <c:pt idx="1251">
                  <c:v>0.19039525720166953</c:v>
                </c:pt>
                <c:pt idx="1252">
                  <c:v>0.19109919401574108</c:v>
                </c:pt>
                <c:pt idx="1253">
                  <c:v>0.19180290945914694</c:v>
                </c:pt>
                <c:pt idx="1254">
                  <c:v>0.19250638572728465</c:v>
                </c:pt>
                <c:pt idx="1255">
                  <c:v>0.19320960492716346</c:v>
                </c:pt>
                <c:pt idx="1256">
                  <c:v>0.19391254907724134</c:v>
                </c:pt>
                <c:pt idx="1257">
                  <c:v>0.19461520010726932</c:v>
                </c:pt>
                <c:pt idx="1258">
                  <c:v>0.19531753985813563</c:v>
                </c:pt>
                <c:pt idx="1259">
                  <c:v>0.19601955008168817</c:v>
                </c:pt>
                <c:pt idx="1260">
                  <c:v>0.19672121244059329</c:v>
                </c:pt>
                <c:pt idx="1261">
                  <c:v>0.19742250850816259</c:v>
                </c:pt>
                <c:pt idx="1262">
                  <c:v>0.1981234197681975</c:v>
                </c:pt>
                <c:pt idx="1263">
                  <c:v>0.19882392761481707</c:v>
                </c:pt>
                <c:pt idx="1264">
                  <c:v>0.19952401335231632</c:v>
                </c:pt>
                <c:pt idx="1265">
                  <c:v>0.20022365819499013</c:v>
                </c:pt>
                <c:pt idx="1266">
                  <c:v>0.20092284326697388</c:v>
                </c:pt>
                <c:pt idx="1267">
                  <c:v>0.20162154960209336</c:v>
                </c:pt>
                <c:pt idx="1268">
                  <c:v>0.20231975814368811</c:v>
                </c:pt>
                <c:pt idx="1269">
                  <c:v>0.20301744974445859</c:v>
                </c:pt>
                <c:pt idx="1270">
                  <c:v>0.20371460516631171</c:v>
                </c:pt>
                <c:pt idx="1271">
                  <c:v>0.20441120508018576</c:v>
                </c:pt>
                <c:pt idx="1272">
                  <c:v>0.20510723006590129</c:v>
                </c:pt>
                <c:pt idx="1273">
                  <c:v>0.20580266061199062</c:v>
                </c:pt>
                <c:pt idx="1274">
                  <c:v>0.2064974771155518</c:v>
                </c:pt>
                <c:pt idx="1275">
                  <c:v>0.20719165988206537</c:v>
                </c:pt>
                <c:pt idx="1276">
                  <c:v>0.20788518912525358</c:v>
                </c:pt>
                <c:pt idx="1277">
                  <c:v>0.2085780449669056</c:v>
                </c:pt>
                <c:pt idx="1278">
                  <c:v>0.20927020743672733</c:v>
                </c:pt>
                <c:pt idx="1279">
                  <c:v>0.20996165647217538</c:v>
                </c:pt>
                <c:pt idx="1280">
                  <c:v>0.21065237191829536</c:v>
                </c:pt>
                <c:pt idx="1281">
                  <c:v>0.21134233352755774</c:v>
                </c:pt>
                <c:pt idx="1282">
                  <c:v>0.21203152095970904</c:v>
                </c:pt>
                <c:pt idx="1283">
                  <c:v>0.21271991378159397</c:v>
                </c:pt>
                <c:pt idx="1284">
                  <c:v>0.21340749146700935</c:v>
                </c:pt>
                <c:pt idx="1285">
                  <c:v>0.21409423339653724</c:v>
                </c:pt>
                <c:pt idx="1286">
                  <c:v>0.21478011885737705</c:v>
                </c:pt>
                <c:pt idx="1287">
                  <c:v>0.21546512704320167</c:v>
                </c:pt>
                <c:pt idx="1288">
                  <c:v>0.21614923705397807</c:v>
                </c:pt>
                <c:pt idx="1289">
                  <c:v>0.2168324278958145</c:v>
                </c:pt>
                <c:pt idx="1290">
                  <c:v>0.217514678480806</c:v>
                </c:pt>
                <c:pt idx="1291">
                  <c:v>0.21819596762686036</c:v>
                </c:pt>
                <c:pt idx="1292">
                  <c:v>0.21887627405754498</c:v>
                </c:pt>
                <c:pt idx="1293">
                  <c:v>0.21955557640193027</c:v>
                </c:pt>
                <c:pt idx="1294">
                  <c:v>0.22023385319441427</c:v>
                </c:pt>
                <c:pt idx="1295">
                  <c:v>0.22091108287457176</c:v>
                </c:pt>
                <c:pt idx="1296">
                  <c:v>0.2215872437869997</c:v>
                </c:pt>
                <c:pt idx="1297">
                  <c:v>0.22226231418114231</c:v>
                </c:pt>
                <c:pt idx="1298">
                  <c:v>0.22293627221113735</c:v>
                </c:pt>
                <c:pt idx="1299">
                  <c:v>0.22360909593565106</c:v>
                </c:pt>
                <c:pt idx="1300">
                  <c:v>0.22428076331772409</c:v>
                </c:pt>
                <c:pt idx="1301">
                  <c:v>0.22495125222460868</c:v>
                </c:pt>
                <c:pt idx="1302">
                  <c:v>0.22562054042759952</c:v>
                </c:pt>
                <c:pt idx="1303">
                  <c:v>0.22628860560188638</c:v>
                </c:pt>
                <c:pt idx="1304">
                  <c:v>0.22695542532637561</c:v>
                </c:pt>
                <c:pt idx="1305">
                  <c:v>0.22762097708354803</c:v>
                </c:pt>
                <c:pt idx="1306">
                  <c:v>0.22828523825929017</c:v>
                </c:pt>
                <c:pt idx="1307">
                  <c:v>0.22894818614272019</c:v>
                </c:pt>
                <c:pt idx="1308">
                  <c:v>0.2296097979260511</c:v>
                </c:pt>
                <c:pt idx="1309">
                  <c:v>0.23027005070441767</c:v>
                </c:pt>
                <c:pt idx="1310">
                  <c:v>0.23092892147570368</c:v>
                </c:pt>
                <c:pt idx="1311">
                  <c:v>0.23158638714040938</c:v>
                </c:pt>
                <c:pt idx="1312">
                  <c:v>0.23224242450146096</c:v>
                </c:pt>
                <c:pt idx="1313">
                  <c:v>0.23289701026406853</c:v>
                </c:pt>
                <c:pt idx="1314">
                  <c:v>0.23355012103555564</c:v>
                </c:pt>
                <c:pt idx="1315">
                  <c:v>0.23420173332520203</c:v>
                </c:pt>
                <c:pt idx="1316">
                  <c:v>0.23485182354408821</c:v>
                </c:pt>
                <c:pt idx="1317">
                  <c:v>0.23550036800492682</c:v>
                </c:pt>
                <c:pt idx="1318">
                  <c:v>0.23614734292189257</c:v>
                </c:pt>
                <c:pt idx="1319">
                  <c:v>0.23679272441048874</c:v>
                </c:pt>
                <c:pt idx="1320">
                  <c:v>0.23743648848736201</c:v>
                </c:pt>
                <c:pt idx="1321">
                  <c:v>0.23807861107014897</c:v>
                </c:pt>
                <c:pt idx="1322">
                  <c:v>0.23871906797731438</c:v>
                </c:pt>
                <c:pt idx="1323">
                  <c:v>0.23935783492799226</c:v>
                </c:pt>
                <c:pt idx="1324">
                  <c:v>0.23999488754182599</c:v>
                </c:pt>
                <c:pt idx="1325">
                  <c:v>0.24063020133880933</c:v>
                </c:pt>
                <c:pt idx="1326">
                  <c:v>0.24126375173910433</c:v>
                </c:pt>
                <c:pt idx="1327">
                  <c:v>0.24189551406291979</c:v>
                </c:pt>
                <c:pt idx="1328">
                  <c:v>0.24252546353031004</c:v>
                </c:pt>
                <c:pt idx="1329">
                  <c:v>0.24315357526104334</c:v>
                </c:pt>
                <c:pt idx="1330">
                  <c:v>0.24377982427442371</c:v>
                </c:pt>
                <c:pt idx="1331">
                  <c:v>0.24440418548913836</c:v>
                </c:pt>
                <c:pt idx="1332">
                  <c:v>0.24502663372308711</c:v>
                </c:pt>
                <c:pt idx="1333">
                  <c:v>0.24564714369324472</c:v>
                </c:pt>
                <c:pt idx="1334">
                  <c:v>0.24626569001546197</c:v>
                </c:pt>
                <c:pt idx="1335">
                  <c:v>0.2468822472043414</c:v>
                </c:pt>
                <c:pt idx="1336">
                  <c:v>0.24749678967305924</c:v>
                </c:pt>
                <c:pt idx="1337">
                  <c:v>0.24810929173320176</c:v>
                </c:pt>
                <c:pt idx="1338">
                  <c:v>0.24871972759461561</c:v>
                </c:pt>
                <c:pt idx="1339">
                  <c:v>0.24932807136522764</c:v>
                </c:pt>
                <c:pt idx="1340">
                  <c:v>0.24993429705091344</c:v>
                </c:pt>
                <c:pt idx="1341">
                  <c:v>0.25053837855530375</c:v>
                </c:pt>
                <c:pt idx="1342">
                  <c:v>0.2511402896796458</c:v>
                </c:pt>
                <c:pt idx="1343">
                  <c:v>0.25174000412264447</c:v>
                </c:pt>
                <c:pt idx="1344">
                  <c:v>0.252337495480281</c:v>
                </c:pt>
                <c:pt idx="1345">
                  <c:v>0.25293273724566129</c:v>
                </c:pt>
                <c:pt idx="1346">
                  <c:v>0.2535257028088706</c:v>
                </c:pt>
                <c:pt idx="1347">
                  <c:v>0.25411636545678778</c:v>
                </c:pt>
                <c:pt idx="1348">
                  <c:v>0.25470469837293913</c:v>
                </c:pt>
                <c:pt idx="1349">
                  <c:v>0.25529067463733418</c:v>
                </c:pt>
                <c:pt idx="1350">
                  <c:v>0.25587426722630408</c:v>
                </c:pt>
                <c:pt idx="1351">
                  <c:v>0.25645544901233991</c:v>
                </c:pt>
                <c:pt idx="1352">
                  <c:v>0.25703419276393996</c:v>
                </c:pt>
                <c:pt idx="1353">
                  <c:v>0.25761047114543573</c:v>
                </c:pt>
                <c:pt idx="1354">
                  <c:v>0.25818425671683515</c:v>
                </c:pt>
                <c:pt idx="1355">
                  <c:v>0.25875552193366697</c:v>
                </c:pt>
                <c:pt idx="1356">
                  <c:v>0.25932423914681507</c:v>
                </c:pt>
                <c:pt idx="1357">
                  <c:v>0.25989038060235964</c:v>
                </c:pt>
                <c:pt idx="1358">
                  <c:v>0.26045391844141547</c:v>
                </c:pt>
                <c:pt idx="1359">
                  <c:v>0.26101482469996679</c:v>
                </c:pt>
                <c:pt idx="1360">
                  <c:v>0.26157307130870916</c:v>
                </c:pt>
                <c:pt idx="1361">
                  <c:v>0.26212863009290116</c:v>
                </c:pt>
                <c:pt idx="1362">
                  <c:v>0.26268147277218673</c:v>
                </c:pt>
                <c:pt idx="1363">
                  <c:v>0.26323157096043009</c:v>
                </c:pt>
                <c:pt idx="1364">
                  <c:v>0.26377889616557587</c:v>
                </c:pt>
                <c:pt idx="1365">
                  <c:v>0.26432341978946322</c:v>
                </c:pt>
                <c:pt idx="1366">
                  <c:v>0.26486511312769928</c:v>
                </c:pt>
                <c:pt idx="1367">
                  <c:v>0.26540394736945322</c:v>
                </c:pt>
                <c:pt idx="1368">
                  <c:v>0.26593989359732745</c:v>
                </c:pt>
                <c:pt idx="1369">
                  <c:v>0.26647292278720042</c:v>
                </c:pt>
                <c:pt idx="1370">
                  <c:v>0.2670030058080321</c:v>
                </c:pt>
                <c:pt idx="1371">
                  <c:v>0.26753011342174599</c:v>
                </c:pt>
                <c:pt idx="1372">
                  <c:v>0.26805421628302967</c:v>
                </c:pt>
                <c:pt idx="1373">
                  <c:v>0.26857528493919164</c:v>
                </c:pt>
                <c:pt idx="1374">
                  <c:v>0.26909328983000896</c:v>
                </c:pt>
                <c:pt idx="1375">
                  <c:v>0.26960820128755242</c:v>
                </c:pt>
                <c:pt idx="1376">
                  <c:v>0.27011998953602762</c:v>
                </c:pt>
                <c:pt idx="1377">
                  <c:v>0.2706286246916137</c:v>
                </c:pt>
                <c:pt idx="1378">
                  <c:v>0.27113407676231532</c:v>
                </c:pt>
                <c:pt idx="1379">
                  <c:v>0.27163631564777985</c:v>
                </c:pt>
                <c:pt idx="1380">
                  <c:v>0.27213531113915529</c:v>
                </c:pt>
                <c:pt idx="1381">
                  <c:v>0.27263103291891849</c:v>
                </c:pt>
                <c:pt idx="1382">
                  <c:v>0.27312345056071058</c:v>
                </c:pt>
                <c:pt idx="1383">
                  <c:v>0.27361253352919795</c:v>
                </c:pt>
                <c:pt idx="1384">
                  <c:v>0.27409825117988768</c:v>
                </c:pt>
                <c:pt idx="1385">
                  <c:v>0.27458057275897202</c:v>
                </c:pt>
                <c:pt idx="1386">
                  <c:v>0.27505946740317394</c:v>
                </c:pt>
                <c:pt idx="1387">
                  <c:v>0.27553490413958631</c:v>
                </c:pt>
                <c:pt idx="1388">
                  <c:v>0.27600685188550417</c:v>
                </c:pt>
                <c:pt idx="1389">
                  <c:v>0.27647527944825639</c:v>
                </c:pt>
                <c:pt idx="1390">
                  <c:v>0.27694015552508205</c:v>
                </c:pt>
                <c:pt idx="1391">
                  <c:v>0.27740144870290878</c:v>
                </c:pt>
                <c:pt idx="1392">
                  <c:v>0.27785912745825608</c:v>
                </c:pt>
                <c:pt idx="1393">
                  <c:v>0.27831316015702751</c:v>
                </c:pt>
                <c:pt idx="1394">
                  <c:v>0.27876351505435965</c:v>
                </c:pt>
                <c:pt idx="1395">
                  <c:v>0.27921016029448892</c:v>
                </c:pt>
                <c:pt idx="1396">
                  <c:v>0.27965306391055528</c:v>
                </c:pt>
                <c:pt idx="1397">
                  <c:v>0.28009219382445744</c:v>
                </c:pt>
                <c:pt idx="1398">
                  <c:v>0.28052751784668778</c:v>
                </c:pt>
                <c:pt idx="1399">
                  <c:v>0.28095900367617205</c:v>
                </c:pt>
                <c:pt idx="1400">
                  <c:v>0.2813866189001199</c:v>
                </c:pt>
                <c:pt idx="1401">
                  <c:v>0.28181033099384772</c:v>
                </c:pt>
                <c:pt idx="1402">
                  <c:v>0.28223010732061443</c:v>
                </c:pt>
                <c:pt idx="1403">
                  <c:v>0.28264591513148735</c:v>
                </c:pt>
                <c:pt idx="1404">
                  <c:v>0.28305772156515568</c:v>
                </c:pt>
                <c:pt idx="1405">
                  <c:v>0.2834654936477618</c:v>
                </c:pt>
                <c:pt idx="1406">
                  <c:v>0.28386919829279028</c:v>
                </c:pt>
                <c:pt idx="1407">
                  <c:v>0.28426880230083568</c:v>
                </c:pt>
                <c:pt idx="1408">
                  <c:v>0.28466427235950725</c:v>
                </c:pt>
                <c:pt idx="1409">
                  <c:v>0.28505557504322249</c:v>
                </c:pt>
                <c:pt idx="1410">
                  <c:v>0.2854426768130704</c:v>
                </c:pt>
                <c:pt idx="1411">
                  <c:v>0.28582554401663834</c:v>
                </c:pt>
                <c:pt idx="1412">
                  <c:v>0.28620414288785928</c:v>
                </c:pt>
                <c:pt idx="1413">
                  <c:v>0.28657843954684475</c:v>
                </c:pt>
                <c:pt idx="1414">
                  <c:v>0.28694839999973393</c:v>
                </c:pt>
                <c:pt idx="1415">
                  <c:v>0.28731399013851239</c:v>
                </c:pt>
                <c:pt idx="1416">
                  <c:v>0.28767517574086748</c:v>
                </c:pt>
                <c:pt idx="1417">
                  <c:v>0.28803192247003689</c:v>
                </c:pt>
                <c:pt idx="1418">
                  <c:v>0.28838419587462544</c:v>
                </c:pt>
                <c:pt idx="1419">
                  <c:v>0.28873196138843765</c:v>
                </c:pt>
                <c:pt idx="1420">
                  <c:v>0.28907518433035978</c:v>
                </c:pt>
                <c:pt idx="1421">
                  <c:v>0.28941382990415637</c:v>
                </c:pt>
                <c:pt idx="1422">
                  <c:v>0.28974786319833173</c:v>
                </c:pt>
                <c:pt idx="1423">
                  <c:v>0.29007724918593986</c:v>
                </c:pt>
                <c:pt idx="1424">
                  <c:v>0.29040195272447705</c:v>
                </c:pt>
                <c:pt idx="1425">
                  <c:v>0.29072193855566925</c:v>
                </c:pt>
                <c:pt idx="1426">
                  <c:v>0.29103717130533763</c:v>
                </c:pt>
                <c:pt idx="1427">
                  <c:v>0.29134761548323124</c:v>
                </c:pt>
                <c:pt idx="1428">
                  <c:v>0.29165323548286187</c:v>
                </c:pt>
                <c:pt idx="1429">
                  <c:v>0.29195399558133978</c:v>
                </c:pt>
                <c:pt idx="1430">
                  <c:v>0.2922498599392413</c:v>
                </c:pt>
                <c:pt idx="1431">
                  <c:v>0.29254079260040727</c:v>
                </c:pt>
                <c:pt idx="1432">
                  <c:v>0.29282675749180981</c:v>
                </c:pt>
                <c:pt idx="1433">
                  <c:v>0.29310771842337996</c:v>
                </c:pt>
                <c:pt idx="1434">
                  <c:v>0.29338363908784887</c:v>
                </c:pt>
                <c:pt idx="1435">
                  <c:v>0.29365448306059544</c:v>
                </c:pt>
                <c:pt idx="1436">
                  <c:v>0.29392021379946492</c:v>
                </c:pt>
                <c:pt idx="1437">
                  <c:v>0.29418079464461483</c:v>
                </c:pt>
                <c:pt idx="1438">
                  <c:v>0.29443618881839956</c:v>
                </c:pt>
                <c:pt idx="1439">
                  <c:v>0.29468635942512172</c:v>
                </c:pt>
                <c:pt idx="1440">
                  <c:v>0.29493126945094333</c:v>
                </c:pt>
                <c:pt idx="1441">
                  <c:v>0.29517088176369216</c:v>
                </c:pt>
                <c:pt idx="1442">
                  <c:v>0.2954051591127162</c:v>
                </c:pt>
                <c:pt idx="1443">
                  <c:v>0.29563406412870469</c:v>
                </c:pt>
                <c:pt idx="1444">
                  <c:v>0.29585755932355556</c:v>
                </c:pt>
                <c:pt idx="1445">
                  <c:v>0.2960756070901796</c:v>
                </c:pt>
                <c:pt idx="1446">
                  <c:v>0.29628816970236466</c:v>
                </c:pt>
                <c:pt idx="1447">
                  <c:v>0.29649520931460599</c:v>
                </c:pt>
                <c:pt idx="1448">
                  <c:v>0.29669668796194199</c:v>
                </c:pt>
                <c:pt idx="1449">
                  <c:v>0.29689256755980581</c:v>
                </c:pt>
                <c:pt idx="1450">
                  <c:v>0.29708280990384689</c:v>
                </c:pt>
                <c:pt idx="1451">
                  <c:v>0.29726737666978081</c:v>
                </c:pt>
                <c:pt idx="1452">
                  <c:v>0.29744622941323579</c:v>
                </c:pt>
                <c:pt idx="1453">
                  <c:v>0.29761932956957277</c:v>
                </c:pt>
                <c:pt idx="1454">
                  <c:v>0.29778663845372894</c:v>
                </c:pt>
                <c:pt idx="1455">
                  <c:v>0.2979481172600858</c:v>
                </c:pt>
                <c:pt idx="1456">
                  <c:v>0.29810372706225613</c:v>
                </c:pt>
                <c:pt idx="1457">
                  <c:v>0.29825342881296318</c:v>
                </c:pt>
                <c:pt idx="1458">
                  <c:v>0.2983971833438675</c:v>
                </c:pt>
                <c:pt idx="1459">
                  <c:v>0.29853495136541414</c:v>
                </c:pt>
                <c:pt idx="1460">
                  <c:v>0.2986666934666507</c:v>
                </c:pt>
                <c:pt idx="1461">
                  <c:v>0.29879237011508392</c:v>
                </c:pt>
                <c:pt idx="1462">
                  <c:v>0.29891194165651952</c:v>
                </c:pt>
                <c:pt idx="1463">
                  <c:v>0.29902536831488685</c:v>
                </c:pt>
                <c:pt idx="1464">
                  <c:v>0.29913261019209775</c:v>
                </c:pt>
                <c:pt idx="1465">
                  <c:v>0.2992336272678538</c:v>
                </c:pt>
                <c:pt idx="1466">
                  <c:v>0.29932837939954066</c:v>
                </c:pt>
                <c:pt idx="1467">
                  <c:v>0.29941682632200423</c:v>
                </c:pt>
                <c:pt idx="1468">
                  <c:v>0.29949892764742098</c:v>
                </c:pt>
                <c:pt idx="1469">
                  <c:v>0.29957464286515584</c:v>
                </c:pt>
                <c:pt idx="1470">
                  <c:v>0.29964393134155359</c:v>
                </c:pt>
                <c:pt idx="1471">
                  <c:v>0.29970675231981941</c:v>
                </c:pt>
                <c:pt idx="1472">
                  <c:v>0.29976306491983656</c:v>
                </c:pt>
                <c:pt idx="1473">
                  <c:v>0.29981282813801319</c:v>
                </c:pt>
                <c:pt idx="1474">
                  <c:v>0.29985600084711989</c:v>
                </c:pt>
                <c:pt idx="1475">
                  <c:v>0.29989254179612274</c:v>
                </c:pt>
                <c:pt idx="1476">
                  <c:v>0.29992240961003674</c:v>
                </c:pt>
                <c:pt idx="1477">
                  <c:v>0.29994556278975354</c:v>
                </c:pt>
                <c:pt idx="1478">
                  <c:v>0.29996195971187894</c:v>
                </c:pt>
                <c:pt idx="1479">
                  <c:v>0.29997155862857089</c:v>
                </c:pt>
                <c:pt idx="1480">
                  <c:v>0.29997431766741217</c:v>
                </c:pt>
                <c:pt idx="1481">
                  <c:v>0.29997019483118087</c:v>
                </c:pt>
                <c:pt idx="1482">
                  <c:v>0.29995914799775542</c:v>
                </c:pt>
                <c:pt idx="1483">
                  <c:v>0.29994113491991564</c:v>
                </c:pt>
                <c:pt idx="1484">
                  <c:v>0.29991611322520245</c:v>
                </c:pt>
                <c:pt idx="1485">
                  <c:v>0.29988404041574995</c:v>
                </c:pt>
                <c:pt idx="1486">
                  <c:v>0.29984487386810604</c:v>
                </c:pt>
                <c:pt idx="1487">
                  <c:v>0.29979857083310629</c:v>
                </c:pt>
                <c:pt idx="1488">
                  <c:v>0.29974508843568753</c:v>
                </c:pt>
                <c:pt idx="1489">
                  <c:v>0.29968438367472577</c:v>
                </c:pt>
                <c:pt idx="1490">
                  <c:v>0.29961641342290007</c:v>
                </c:pt>
                <c:pt idx="1491">
                  <c:v>0.29954113442650471</c:v>
                </c:pt>
                <c:pt idx="1492">
                  <c:v>0.29945850330529916</c:v>
                </c:pt>
                <c:pt idx="1493">
                  <c:v>0.29936847655235094</c:v>
                </c:pt>
                <c:pt idx="1494">
                  <c:v>0.29927101053386856</c:v>
                </c:pt>
                <c:pt idx="1495">
                  <c:v>0.29916606148903196</c:v>
                </c:pt>
                <c:pt idx="1496">
                  <c:v>0.29905358552985845</c:v>
                </c:pt>
                <c:pt idx="1497">
                  <c:v>0.29893353864102107</c:v>
                </c:pt>
                <c:pt idx="1498">
                  <c:v>0.2988058766796779</c:v>
                </c:pt>
                <c:pt idx="1499">
                  <c:v>0.29867055537534898</c:v>
                </c:pt>
                <c:pt idx="1500">
                  <c:v>0.29852753032970419</c:v>
                </c:pt>
                <c:pt idx="1501">
                  <c:v>0.29837675701644434</c:v>
                </c:pt>
                <c:pt idx="1502">
                  <c:v>0.29821819078113715</c:v>
                </c:pt>
                <c:pt idx="1503">
                  <c:v>0.29805178684101424</c:v>
                </c:pt>
                <c:pt idx="1504">
                  <c:v>0.29787750028485577</c:v>
                </c:pt>
                <c:pt idx="1505">
                  <c:v>0.29769528607283152</c:v>
                </c:pt>
                <c:pt idx="1506">
                  <c:v>0.29750509903628825</c:v>
                </c:pt>
                <c:pt idx="1507">
                  <c:v>0.29730689387765702</c:v>
                </c:pt>
                <c:pt idx="1508">
                  <c:v>0.29710062517022634</c:v>
                </c:pt>
                <c:pt idx="1509">
                  <c:v>0.29688624735803032</c:v>
                </c:pt>
                <c:pt idx="1510">
                  <c:v>0.29666371475567016</c:v>
                </c:pt>
                <c:pt idx="1511">
                  <c:v>0.29643298154814451</c:v>
                </c:pt>
                <c:pt idx="1512">
                  <c:v>0.29619400179071981</c:v>
                </c:pt>
                <c:pt idx="1513">
                  <c:v>0.29594672940871097</c:v>
                </c:pt>
                <c:pt idx="1514">
                  <c:v>0.29569111819738775</c:v>
                </c:pt>
                <c:pt idx="1515">
                  <c:v>0.29542712182176839</c:v>
                </c:pt>
                <c:pt idx="1516">
                  <c:v>0.29515469381647269</c:v>
                </c:pt>
                <c:pt idx="1517">
                  <c:v>0.29487378758555954</c:v>
                </c:pt>
                <c:pt idx="1518">
                  <c:v>0.2945843564023724</c:v>
                </c:pt>
                <c:pt idx="1519">
                  <c:v>0.29428635340937409</c:v>
                </c:pt>
                <c:pt idx="1520">
                  <c:v>0.29397973161797625</c:v>
                </c:pt>
                <c:pt idx="1521">
                  <c:v>0.29366444390839813</c:v>
                </c:pt>
                <c:pt idx="1522">
                  <c:v>0.2933404430294872</c:v>
                </c:pt>
                <c:pt idx="1523">
                  <c:v>0.29300768159856289</c:v>
                </c:pt>
                <c:pt idx="1524">
                  <c:v>0.29266611210126431</c:v>
                </c:pt>
                <c:pt idx="1525">
                  <c:v>0.29231568689138926</c:v>
                </c:pt>
                <c:pt idx="1526">
                  <c:v>0.2919563581907117</c:v>
                </c:pt>
                <c:pt idx="1527">
                  <c:v>0.29158807808884063</c:v>
                </c:pt>
                <c:pt idx="1528">
                  <c:v>0.29121079854306825</c:v>
                </c:pt>
                <c:pt idx="1529">
                  <c:v>0.29082447137818607</c:v>
                </c:pt>
                <c:pt idx="1530">
                  <c:v>0.29042904828632415</c:v>
                </c:pt>
                <c:pt idx="1531">
                  <c:v>0.29002448082681714</c:v>
                </c:pt>
                <c:pt idx="1532">
                  <c:v>0.28961072042600572</c:v>
                </c:pt>
                <c:pt idx="1533">
                  <c:v>0.28918771837711915</c:v>
                </c:pt>
                <c:pt idx="1534">
                  <c:v>0.28875542584006791</c:v>
                </c:pt>
                <c:pt idx="1535">
                  <c:v>0.28831379384132388</c:v>
                </c:pt>
                <c:pt idx="1536">
                  <c:v>0.2878627732737214</c:v>
                </c:pt>
                <c:pt idx="1537">
                  <c:v>0.28740231489633644</c:v>
                </c:pt>
                <c:pt idx="1538">
                  <c:v>0.28693236933429306</c:v>
                </c:pt>
                <c:pt idx="1539">
                  <c:v>0.28645288707862032</c:v>
                </c:pt>
                <c:pt idx="1540">
                  <c:v>0.2859638184860756</c:v>
                </c:pt>
                <c:pt idx="1541">
                  <c:v>0.28546511377900879</c:v>
                </c:pt>
                <c:pt idx="1542">
                  <c:v>0.28495672304516201</c:v>
                </c:pt>
                <c:pt idx="1543">
                  <c:v>0.28443859623756634</c:v>
                </c:pt>
                <c:pt idx="1544">
                  <c:v>0.28391068317431406</c:v>
                </c:pt>
                <c:pt idx="1545">
                  <c:v>0.28337293353845389</c:v>
                </c:pt>
                <c:pt idx="1546">
                  <c:v>0.28282529687779473</c:v>
                </c:pt>
                <c:pt idx="1547">
                  <c:v>0.28226772260476357</c:v>
                </c:pt>
                <c:pt idx="1548">
                  <c:v>0.28170015999622872</c:v>
                </c:pt>
                <c:pt idx="1549">
                  <c:v>0.28112255819335336</c:v>
                </c:pt>
                <c:pt idx="1550">
                  <c:v>0.28053486620144236</c:v>
                </c:pt>
                <c:pt idx="1551">
                  <c:v>0.27993703288974131</c:v>
                </c:pt>
                <c:pt idx="1552">
                  <c:v>0.27932900699131352</c:v>
                </c:pt>
                <c:pt idx="1553">
                  <c:v>0.27871073710288913</c:v>
                </c:pt>
                <c:pt idx="1554">
                  <c:v>0.27808217168464838</c:v>
                </c:pt>
                <c:pt idx="1555">
                  <c:v>0.27744325906011241</c:v>
                </c:pt>
                <c:pt idx="1556">
                  <c:v>0.27679394741597713</c:v>
                </c:pt>
                <c:pt idx="1557">
                  <c:v>0.27613418480190538</c:v>
                </c:pt>
                <c:pt idx="1558">
                  <c:v>0.27546391913044171</c:v>
                </c:pt>
                <c:pt idx="1559">
                  <c:v>0.27478309817677532</c:v>
                </c:pt>
                <c:pt idx="1560">
                  <c:v>0.27409166957864101</c:v>
                </c:pt>
                <c:pt idx="1561">
                  <c:v>0.27338958083611292</c:v>
                </c:pt>
                <c:pt idx="1562">
                  <c:v>0.27267677931147177</c:v>
                </c:pt>
                <c:pt idx="1563">
                  <c:v>0.2719532122290344</c:v>
                </c:pt>
                <c:pt idx="1564">
                  <c:v>0.27121882667497615</c:v>
                </c:pt>
                <c:pt idx="1565">
                  <c:v>0.27047356959721808</c:v>
                </c:pt>
                <c:pt idx="1566">
                  <c:v>0.26971738780520754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Analysis!$Y$1</c:f>
              <c:strCache>
                <c:ptCount val="1"/>
                <c:pt idx="0">
                  <c:v>Acceleration [m/s^2]</c:v>
                </c:pt>
              </c:strCache>
            </c:strRef>
          </c:tx>
          <c:spPr>
            <a:ln w="158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Analysis!$V$2:$V$1568</c:f>
              <c:numCache>
                <c:formatCode>0.000</c:formatCode>
                <c:ptCount val="1567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  <c:pt idx="1502">
                  <c:v>1.502</c:v>
                </c:pt>
                <c:pt idx="1503">
                  <c:v>1.5029999999999999</c:v>
                </c:pt>
                <c:pt idx="1504">
                  <c:v>1.504</c:v>
                </c:pt>
                <c:pt idx="1505">
                  <c:v>1.5049999999999999</c:v>
                </c:pt>
                <c:pt idx="1506">
                  <c:v>1.506</c:v>
                </c:pt>
                <c:pt idx="1507">
                  <c:v>1.5069999999999999</c:v>
                </c:pt>
                <c:pt idx="1508">
                  <c:v>1.508</c:v>
                </c:pt>
                <c:pt idx="1509">
                  <c:v>1.5089999999999999</c:v>
                </c:pt>
                <c:pt idx="1510">
                  <c:v>1.51</c:v>
                </c:pt>
                <c:pt idx="1511">
                  <c:v>1.5109999999999999</c:v>
                </c:pt>
                <c:pt idx="1512">
                  <c:v>1.512</c:v>
                </c:pt>
                <c:pt idx="1513">
                  <c:v>1.5129999999999999</c:v>
                </c:pt>
                <c:pt idx="1514">
                  <c:v>1.514</c:v>
                </c:pt>
                <c:pt idx="1515">
                  <c:v>1.5149999999999999</c:v>
                </c:pt>
                <c:pt idx="1516">
                  <c:v>1.516</c:v>
                </c:pt>
                <c:pt idx="1517">
                  <c:v>1.5169999999999999</c:v>
                </c:pt>
                <c:pt idx="1518">
                  <c:v>1.518</c:v>
                </c:pt>
                <c:pt idx="1519">
                  <c:v>1.5189999999999999</c:v>
                </c:pt>
                <c:pt idx="1520">
                  <c:v>1.52</c:v>
                </c:pt>
                <c:pt idx="1521">
                  <c:v>1.5209999999999999</c:v>
                </c:pt>
                <c:pt idx="1522">
                  <c:v>1.522</c:v>
                </c:pt>
                <c:pt idx="1523">
                  <c:v>1.5229999999999999</c:v>
                </c:pt>
                <c:pt idx="1524">
                  <c:v>1.524</c:v>
                </c:pt>
                <c:pt idx="1525">
                  <c:v>1.5249999999999999</c:v>
                </c:pt>
                <c:pt idx="1526">
                  <c:v>1.526</c:v>
                </c:pt>
                <c:pt idx="1527">
                  <c:v>1.5269999999999999</c:v>
                </c:pt>
                <c:pt idx="1528">
                  <c:v>1.528</c:v>
                </c:pt>
                <c:pt idx="1529">
                  <c:v>1.5289999999999999</c:v>
                </c:pt>
                <c:pt idx="1530">
                  <c:v>1.53</c:v>
                </c:pt>
                <c:pt idx="1531">
                  <c:v>1.5309999999999999</c:v>
                </c:pt>
                <c:pt idx="1532">
                  <c:v>1.532</c:v>
                </c:pt>
                <c:pt idx="1533">
                  <c:v>1.5329999999999999</c:v>
                </c:pt>
                <c:pt idx="1534">
                  <c:v>1.534</c:v>
                </c:pt>
                <c:pt idx="1535">
                  <c:v>1.5349999999999999</c:v>
                </c:pt>
                <c:pt idx="1536">
                  <c:v>1.536</c:v>
                </c:pt>
                <c:pt idx="1537">
                  <c:v>1.5369999999999999</c:v>
                </c:pt>
                <c:pt idx="1538">
                  <c:v>1.538</c:v>
                </c:pt>
                <c:pt idx="1539">
                  <c:v>1.5389999999999999</c:v>
                </c:pt>
                <c:pt idx="1540">
                  <c:v>1.54</c:v>
                </c:pt>
                <c:pt idx="1541">
                  <c:v>1.5409999999999999</c:v>
                </c:pt>
                <c:pt idx="1542">
                  <c:v>1.542</c:v>
                </c:pt>
                <c:pt idx="1543">
                  <c:v>1.5429999999999999</c:v>
                </c:pt>
                <c:pt idx="1544">
                  <c:v>1.544</c:v>
                </c:pt>
                <c:pt idx="1545">
                  <c:v>1.5449999999999999</c:v>
                </c:pt>
                <c:pt idx="1546">
                  <c:v>1.546</c:v>
                </c:pt>
                <c:pt idx="1547">
                  <c:v>1.5469999999999999</c:v>
                </c:pt>
                <c:pt idx="1548">
                  <c:v>1.548</c:v>
                </c:pt>
                <c:pt idx="1549">
                  <c:v>1.5489999999999999</c:v>
                </c:pt>
                <c:pt idx="1550">
                  <c:v>1.55</c:v>
                </c:pt>
                <c:pt idx="1551">
                  <c:v>1.5509999999999999</c:v>
                </c:pt>
                <c:pt idx="1552">
                  <c:v>1.552</c:v>
                </c:pt>
                <c:pt idx="1553">
                  <c:v>1.5529999999999999</c:v>
                </c:pt>
                <c:pt idx="1554">
                  <c:v>1.554</c:v>
                </c:pt>
                <c:pt idx="1555">
                  <c:v>1.5549999999999999</c:v>
                </c:pt>
                <c:pt idx="1556">
                  <c:v>1.556</c:v>
                </c:pt>
                <c:pt idx="1557">
                  <c:v>1.5569999999999999</c:v>
                </c:pt>
                <c:pt idx="1558">
                  <c:v>1.5580000000000001</c:v>
                </c:pt>
                <c:pt idx="1559">
                  <c:v>1.5589999999999999</c:v>
                </c:pt>
                <c:pt idx="1560">
                  <c:v>1.56</c:v>
                </c:pt>
                <c:pt idx="1561">
                  <c:v>1.5609999999999999</c:v>
                </c:pt>
                <c:pt idx="1562">
                  <c:v>1.5620000000000001</c:v>
                </c:pt>
                <c:pt idx="1563">
                  <c:v>1.5629999999999999</c:v>
                </c:pt>
                <c:pt idx="1564">
                  <c:v>1.5640000000000001</c:v>
                </c:pt>
                <c:pt idx="1565">
                  <c:v>1.5649999999999999</c:v>
                </c:pt>
                <c:pt idx="1566">
                  <c:v>1.5660000000000001</c:v>
                </c:pt>
              </c:numCache>
            </c:numRef>
          </c:xVal>
          <c:yVal>
            <c:numRef>
              <c:f>Analysis!$Y$2:$Y$1568</c:f>
              <c:numCache>
                <c:formatCode>0.000</c:formatCode>
                <c:ptCount val="1567"/>
                <c:pt idx="0">
                  <c:v>-0.56128380722657401</c:v>
                </c:pt>
                <c:pt idx="1">
                  <c:v>-0.55578180314027403</c:v>
                </c:pt>
                <c:pt idx="2">
                  <c:v>-0.55031314792003128</c:v>
                </c:pt>
                <c:pt idx="3">
                  <c:v>-0.54487772849990335</c:v>
                </c:pt>
                <c:pt idx="4">
                  <c:v>-0.53947543197491643</c:v>
                </c:pt>
                <c:pt idx="5">
                  <c:v>-0.53410614560106473</c:v>
                </c:pt>
                <c:pt idx="6">
                  <c:v>-0.52876975679531113</c:v>
                </c:pt>
                <c:pt idx="7">
                  <c:v>-0.52346615313558653</c:v>
                </c:pt>
                <c:pt idx="8">
                  <c:v>-0.5181952223607903</c:v>
                </c:pt>
                <c:pt idx="9">
                  <c:v>-0.51295685237079003</c:v>
                </c:pt>
                <c:pt idx="10">
                  <c:v>-0.50775093122642145</c:v>
                </c:pt>
                <c:pt idx="11">
                  <c:v>-0.5025773471494891</c:v>
                </c:pt>
                <c:pt idx="12">
                  <c:v>-0.49743598852276527</c:v>
                </c:pt>
                <c:pt idx="13">
                  <c:v>-0.49232674388999098</c:v>
                </c:pt>
                <c:pt idx="14">
                  <c:v>-0.48724950195587519</c:v>
                </c:pt>
                <c:pt idx="15">
                  <c:v>-0.48220415158609548</c:v>
                </c:pt>
                <c:pt idx="16">
                  <c:v>-0.47719058180729756</c:v>
                </c:pt>
                <c:pt idx="17">
                  <c:v>-0.47220868180709558</c:v>
                </c:pt>
                <c:pt idx="18">
                  <c:v>-0.46725834093407181</c:v>
                </c:pt>
                <c:pt idx="19">
                  <c:v>-0.46233944869777699</c:v>
                </c:pt>
                <c:pt idx="20">
                  <c:v>-0.45745189476873005</c:v>
                </c:pt>
                <c:pt idx="21">
                  <c:v>-0.45259556897841835</c:v>
                </c:pt>
                <c:pt idx="22">
                  <c:v>-0.44777036131929754</c:v>
                </c:pt>
                <c:pt idx="23">
                  <c:v>-0.44297616194479145</c:v>
                </c:pt>
                <c:pt idx="24">
                  <c:v>-0.43821286116929231</c:v>
                </c:pt>
                <c:pt idx="25">
                  <c:v>-0.43348034946816072</c:v>
                </c:pt>
                <c:pt idx="26">
                  <c:v>-0.42877851747772538</c:v>
                </c:pt>
                <c:pt idx="27">
                  <c:v>-0.42410725599528354</c:v>
                </c:pt>
                <c:pt idx="28">
                  <c:v>-0.41946645597910059</c:v>
                </c:pt>
                <c:pt idx="29">
                  <c:v>-0.41485600854841037</c:v>
                </c:pt>
                <c:pt idx="30">
                  <c:v>-0.41027580498341487</c:v>
                </c:pt>
                <c:pt idx="31">
                  <c:v>-0.4057257367252845</c:v>
                </c:pt>
                <c:pt idx="32">
                  <c:v>-0.40120569537615791</c:v>
                </c:pt>
                <c:pt idx="33">
                  <c:v>-0.39671557269914209</c:v>
                </c:pt>
                <c:pt idx="34">
                  <c:v>-0.39225526061831234</c:v>
                </c:pt>
                <c:pt idx="35">
                  <c:v>-0.38782465121871224</c:v>
                </c:pt>
                <c:pt idx="36">
                  <c:v>-0.38342363674635382</c:v>
                </c:pt>
                <c:pt idx="37">
                  <c:v>-0.37905210960821711</c:v>
                </c:pt>
                <c:pt idx="38">
                  <c:v>-0.37470996237225074</c:v>
                </c:pt>
                <c:pt idx="39">
                  <c:v>-0.37039708776737157</c:v>
                </c:pt>
                <c:pt idx="40">
                  <c:v>-0.36611337868346461</c:v>
                </c:pt>
                <c:pt idx="41">
                  <c:v>-0.36185872817138343</c:v>
                </c:pt>
                <c:pt idx="42">
                  <c:v>-0.35763302944294972</c:v>
                </c:pt>
                <c:pt idx="43">
                  <c:v>-0.35343617587095361</c:v>
                </c:pt>
                <c:pt idx="44">
                  <c:v>-0.34926806098915336</c:v>
                </c:pt>
                <c:pt idx="45">
                  <c:v>-0.34512857849227568</c:v>
                </c:pt>
                <c:pt idx="46">
                  <c:v>-0.34101762223601562</c:v>
                </c:pt>
                <c:pt idx="47">
                  <c:v>-0.33693508623703639</c:v>
                </c:pt>
                <c:pt idx="48">
                  <c:v>-0.33288086467296962</c:v>
                </c:pt>
                <c:pt idx="49">
                  <c:v>-0.3288548518824152</c:v>
                </c:pt>
                <c:pt idx="50">
                  <c:v>-0.32485694236494145</c:v>
                </c:pt>
                <c:pt idx="51">
                  <c:v>-0.32088703078108466</c:v>
                </c:pt>
                <c:pt idx="52">
                  <c:v>-0.31694501195234986</c:v>
                </c:pt>
                <c:pt idx="53">
                  <c:v>-0.31303078086121011</c:v>
                </c:pt>
                <c:pt idx="54">
                  <c:v>-0.3091442326511068</c:v>
                </c:pt>
                <c:pt idx="55">
                  <c:v>-0.30528526262644973</c:v>
                </c:pt>
                <c:pt idx="56">
                  <c:v>-0.30145376625261699</c:v>
                </c:pt>
                <c:pt idx="57">
                  <c:v>-0.29764963915595488</c:v>
                </c:pt>
                <c:pt idx="58">
                  <c:v>-0.29387277712377818</c:v>
                </c:pt>
                <c:pt idx="59">
                  <c:v>-0.29012307610436971</c:v>
                </c:pt>
                <c:pt idx="60">
                  <c:v>-0.28640043220698086</c:v>
                </c:pt>
                <c:pt idx="61">
                  <c:v>-0.28270474170183119</c:v>
                </c:pt>
                <c:pt idx="62">
                  <c:v>-0.27903590102010856</c:v>
                </c:pt>
                <c:pt idx="63">
                  <c:v>-0.27539380675396924</c:v>
                </c:pt>
                <c:pt idx="64">
                  <c:v>-0.27177835565653768</c:v>
                </c:pt>
                <c:pt idx="65">
                  <c:v>-0.2681894446419068</c:v>
                </c:pt>
                <c:pt idx="66">
                  <c:v>-0.26462697078513769</c:v>
                </c:pt>
                <c:pt idx="67">
                  <c:v>-0.26109083132225974</c:v>
                </c:pt>
                <c:pt idx="68">
                  <c:v>-0.25758092365027069</c:v>
                </c:pt>
                <c:pt idx="69">
                  <c:v>-0.25409714532713668</c:v>
                </c:pt>
                <c:pt idx="70">
                  <c:v>-0.25063939407179192</c:v>
                </c:pt>
                <c:pt idx="71">
                  <c:v>-0.24720756776413932</c:v>
                </c:pt>
                <c:pt idx="72">
                  <c:v>-0.24380156444504963</c:v>
                </c:pt>
                <c:pt idx="73">
                  <c:v>-0.24042128231636217</c:v>
                </c:pt>
                <c:pt idx="74">
                  <c:v>-0.2370666197408845</c:v>
                </c:pt>
                <c:pt idx="75">
                  <c:v>-0.23373747524239263</c:v>
                </c:pt>
                <c:pt idx="76">
                  <c:v>-0.23043374750563078</c:v>
                </c:pt>
                <c:pt idx="77">
                  <c:v>-0.22715533537631133</c:v>
                </c:pt>
                <c:pt idx="78">
                  <c:v>-0.22390213786111512</c:v>
                </c:pt>
                <c:pt idx="79">
                  <c:v>-0.22067405412769131</c:v>
                </c:pt>
                <c:pt idx="80">
                  <c:v>-0.21747098350465732</c:v>
                </c:pt>
                <c:pt idx="81">
                  <c:v>-0.21429282548159889</c:v>
                </c:pt>
                <c:pt idx="82">
                  <c:v>-0.21113947970907021</c:v>
                </c:pt>
                <c:pt idx="83">
                  <c:v>-0.20801084599859337</c:v>
                </c:pt>
                <c:pt idx="84">
                  <c:v>-0.20490682432265916</c:v>
                </c:pt>
                <c:pt idx="85">
                  <c:v>-0.20182731481472654</c:v>
                </c:pt>
                <c:pt idx="86">
                  <c:v>-0.19877221776922288</c:v>
                </c:pt>
                <c:pt idx="87">
                  <c:v>-0.19574143364154362</c:v>
                </c:pt>
                <c:pt idx="88">
                  <c:v>-0.19273486304805265</c:v>
                </c:pt>
                <c:pt idx="89">
                  <c:v>-0.18975240676608229</c:v>
                </c:pt>
                <c:pt idx="90">
                  <c:v>-0.18679396573393298</c:v>
                </c:pt>
                <c:pt idx="91">
                  <c:v>-0.18385944105087354</c:v>
                </c:pt>
                <c:pt idx="92">
                  <c:v>-0.18094873397714106</c:v>
                </c:pt>
                <c:pt idx="93">
                  <c:v>-0.17806174593394097</c:v>
                </c:pt>
                <c:pt idx="94">
                  <c:v>-0.17519837850344699</c:v>
                </c:pt>
                <c:pt idx="95">
                  <c:v>-0.17235853342880125</c:v>
                </c:pt>
                <c:pt idx="96">
                  <c:v>-0.169542112614114</c:v>
                </c:pt>
                <c:pt idx="97">
                  <c:v>-0.16674901812446397</c:v>
                </c:pt>
                <c:pt idx="98">
                  <c:v>-0.16397915218589809</c:v>
                </c:pt>
                <c:pt idx="99">
                  <c:v>-0.16123241718543163</c:v>
                </c:pt>
                <c:pt idx="100">
                  <c:v>-0.15850871567104829</c:v>
                </c:pt>
                <c:pt idx="101">
                  <c:v>-0.15580795035169975</c:v>
                </c:pt>
                <c:pt idx="102">
                  <c:v>-0.15313002409730625</c:v>
                </c:pt>
                <c:pt idx="103">
                  <c:v>-0.15047483993875632</c:v>
                </c:pt>
                <c:pt idx="104">
                  <c:v>-0.14784230106790697</c:v>
                </c:pt>
                <c:pt idx="105">
                  <c:v>-0.14523231083758292</c:v>
                </c:pt>
                <c:pt idx="106">
                  <c:v>-0.14264477276157794</c:v>
                </c:pt>
                <c:pt idx="107">
                  <c:v>-0.14007959051465352</c:v>
                </c:pt>
                <c:pt idx="108">
                  <c:v>-0.13753666793253982</c:v>
                </c:pt>
                <c:pt idx="109">
                  <c:v>-0.13501590901193511</c:v>
                </c:pt>
                <c:pt idx="110">
                  <c:v>-0.13251721791050619</c:v>
                </c:pt>
                <c:pt idx="111">
                  <c:v>-0.13004049894688785</c:v>
                </c:pt>
                <c:pt idx="112">
                  <c:v>-0.12758565660068349</c:v>
                </c:pt>
                <c:pt idx="113">
                  <c:v>-0.1251525955124646</c:v>
                </c:pt>
                <c:pt idx="114">
                  <c:v>-0.12274122048377106</c:v>
                </c:pt>
                <c:pt idx="115">
                  <c:v>-0.12035143647711111</c:v>
                </c:pt>
                <c:pt idx="116">
                  <c:v>-0.11798314861596138</c:v>
                </c:pt>
                <c:pt idx="117">
                  <c:v>-0.1156362621847663</c:v>
                </c:pt>
                <c:pt idx="118">
                  <c:v>-0.11331068262893929</c:v>
                </c:pt>
                <c:pt idx="119">
                  <c:v>-0.11100631555486157</c:v>
                </c:pt>
                <c:pt idx="120">
                  <c:v>-0.10872306672988319</c:v>
                </c:pt>
                <c:pt idx="121">
                  <c:v>-0.10646084208232176</c:v>
                </c:pt>
                <c:pt idx="122">
                  <c:v>-0.10421954770146391</c:v>
                </c:pt>
                <c:pt idx="123">
                  <c:v>-0.10199908983756417</c:v>
                </c:pt>
                <c:pt idx="124">
                  <c:v>-9.9799374901845539E-2</c:v>
                </c:pt>
                <c:pt idx="125">
                  <c:v>-9.7620309466499244E-2</c:v>
                </c:pt>
                <c:pt idx="126">
                  <c:v>-9.5461800264684871E-2</c:v>
                </c:pt>
                <c:pt idx="127">
                  <c:v>-9.332375419053035E-2</c:v>
                </c:pt>
                <c:pt idx="128">
                  <c:v>-9.1206078299131743E-2</c:v>
                </c:pt>
                <c:pt idx="129">
                  <c:v>-8.9108679806553626E-2</c:v>
                </c:pt>
                <c:pt idx="130">
                  <c:v>-8.7031466089828868E-2</c:v>
                </c:pt>
                <c:pt idx="131">
                  <c:v>-8.4974344686958581E-2</c:v>
                </c:pt>
                <c:pt idx="132">
                  <c:v>-8.2937223296911944E-2</c:v>
                </c:pt>
                <c:pt idx="133">
                  <c:v>-8.0920009779626823E-2</c:v>
                </c:pt>
                <c:pt idx="134">
                  <c:v>-7.8922612156009264E-2</c:v>
                </c:pt>
                <c:pt idx="135">
                  <c:v>-7.6944938607933611E-2</c:v>
                </c:pt>
                <c:pt idx="136">
                  <c:v>-7.4986897478242498E-2</c:v>
                </c:pt>
                <c:pt idx="137">
                  <c:v>-7.3048397270746857E-2</c:v>
                </c:pt>
                <c:pt idx="138">
                  <c:v>-7.1129346650225911E-2</c:v>
                </c:pt>
                <c:pt idx="139">
                  <c:v>-6.9229654442427291E-2</c:v>
                </c:pt>
                <c:pt idx="140">
                  <c:v>-6.7349229634066865E-2</c:v>
                </c:pt>
                <c:pt idx="141">
                  <c:v>-6.5487981372828852E-2</c:v>
                </c:pt>
                <c:pt idx="142">
                  <c:v>-6.3645818967365653E-2</c:v>
                </c:pt>
                <c:pt idx="143">
                  <c:v>-6.1822651887297964E-2</c:v>
                </c:pt>
                <c:pt idx="144">
                  <c:v>-6.0018389763215163E-2</c:v>
                </c:pt>
                <c:pt idx="145">
                  <c:v>-5.8232942386674424E-2</c:v>
                </c:pt>
                <c:pt idx="146">
                  <c:v>-5.6466219710201604E-2</c:v>
                </c:pt>
                <c:pt idx="147">
                  <c:v>-5.4718131847290574E-2</c:v>
                </c:pt>
                <c:pt idx="148">
                  <c:v>-5.298858907240378E-2</c:v>
                </c:pt>
                <c:pt idx="149">
                  <c:v>-5.1277501820971905E-2</c:v>
                </c:pt>
                <c:pt idx="150">
                  <c:v>-4.958478068939387E-2</c:v>
                </c:pt>
                <c:pt idx="151">
                  <c:v>-4.7910336435036838E-2</c:v>
                </c:pt>
                <c:pt idx="152">
                  <c:v>-4.625407997623654E-2</c:v>
                </c:pt>
                <c:pt idx="153">
                  <c:v>-4.4615922392296614E-2</c:v>
                </c:pt>
                <c:pt idx="154">
                  <c:v>-4.2995774923489272E-2</c:v>
                </c:pt>
                <c:pt idx="155">
                  <c:v>-4.1393548971055183E-2</c:v>
                </c:pt>
                <c:pt idx="156">
                  <c:v>-3.9809156097202925E-2</c:v>
                </c:pt>
                <c:pt idx="157">
                  <c:v>-3.8242508025109867E-2</c:v>
                </c:pt>
                <c:pt idx="158">
                  <c:v>-3.6693516638921064E-2</c:v>
                </c:pt>
                <c:pt idx="159">
                  <c:v>-3.5162093983750475E-2</c:v>
                </c:pt>
                <c:pt idx="160">
                  <c:v>-3.3648152265680076E-2</c:v>
                </c:pt>
                <c:pt idx="161">
                  <c:v>-3.2151603851760191E-2</c:v>
                </c:pt>
                <c:pt idx="162">
                  <c:v>-3.0672361270009274E-2</c:v>
                </c:pt>
                <c:pt idx="163">
                  <c:v>-2.9210337209414794E-2</c:v>
                </c:pt>
                <c:pt idx="164">
                  <c:v>-2.7765444519931348E-2</c:v>
                </c:pt>
                <c:pt idx="165">
                  <c:v>-2.6337596212482772E-2</c:v>
                </c:pt>
                <c:pt idx="166">
                  <c:v>-2.4926705458961029E-2</c:v>
                </c:pt>
                <c:pt idx="167">
                  <c:v>-2.353268559222621E-2</c:v>
                </c:pt>
                <c:pt idx="168">
                  <c:v>-2.2155450106106644E-2</c:v>
                </c:pt>
                <c:pt idx="169">
                  <c:v>-2.0794912655399345E-2</c:v>
                </c:pt>
                <c:pt idx="170">
                  <c:v>-1.945098705586934E-2</c:v>
                </c:pt>
                <c:pt idx="171">
                  <c:v>-1.8123587284249898E-2</c:v>
                </c:pt>
                <c:pt idx="172">
                  <c:v>-1.681262747824297E-2</c:v>
                </c:pt>
                <c:pt idx="173">
                  <c:v>-1.5518021936518411E-2</c:v>
                </c:pt>
                <c:pt idx="174">
                  <c:v>-1.423968511871454E-2</c:v>
                </c:pt>
                <c:pt idx="175">
                  <c:v>-1.2977531645437912E-2</c:v>
                </c:pt>
                <c:pt idx="176">
                  <c:v>-1.1731476298263654E-2</c:v>
                </c:pt>
                <c:pt idx="177">
                  <c:v>-1.0501434019734801E-2</c:v>
                </c:pt>
                <c:pt idx="178">
                  <c:v>-9.287319913363179E-3</c:v>
                </c:pt>
                <c:pt idx="179">
                  <c:v>-8.089049243628299E-3</c:v>
                </c:pt>
                <c:pt idx="180">
                  <c:v>-6.906537435978688E-3</c:v>
                </c:pt>
                <c:pt idx="181">
                  <c:v>-5.7397000768305562E-3</c:v>
                </c:pt>
                <c:pt idx="182">
                  <c:v>-4.5884529135690189E-3</c:v>
                </c:pt>
                <c:pt idx="183">
                  <c:v>-3.4527118545466529E-3</c:v>
                </c:pt>
                <c:pt idx="184">
                  <c:v>-2.3323929690852729E-3</c:v>
                </c:pt>
                <c:pt idx="185">
                  <c:v>-1.2274124874742665E-3</c:v>
                </c:pt>
                <c:pt idx="186">
                  <c:v>-1.3768680097192565E-4</c:v>
                </c:pt>
                <c:pt idx="187">
                  <c:v>9.368675381956626E-4</c:v>
                </c:pt>
                <c:pt idx="188">
                  <c:v>1.9963338168336175E-3</c:v>
                </c:pt>
                <c:pt idx="189">
                  <c:v>3.0407951607791528E-3</c:v>
                </c:pt>
                <c:pt idx="190">
                  <c:v>4.0703345349011322E-3</c:v>
                </c:pt>
                <c:pt idx="191">
                  <c:v>5.0850347430997367E-3</c:v>
                </c:pt>
                <c:pt idx="192">
                  <c:v>6.0849784283074637E-3</c:v>
                </c:pt>
                <c:pt idx="193">
                  <c:v>7.0702480724877947E-3</c:v>
                </c:pt>
                <c:pt idx="194">
                  <c:v>8.0409259966365276E-3</c:v>
                </c:pt>
                <c:pt idx="195">
                  <c:v>8.9970943607807774E-3</c:v>
                </c:pt>
                <c:pt idx="196">
                  <c:v>9.9388351639793093E-3</c:v>
                </c:pt>
                <c:pt idx="197">
                  <c:v>1.0866230244323205E-2</c:v>
                </c:pt>
                <c:pt idx="198">
                  <c:v>1.1779361278934308E-2</c:v>
                </c:pt>
                <c:pt idx="199">
                  <c:v>1.2678309783966668E-2</c:v>
                </c:pt>
                <c:pt idx="200">
                  <c:v>1.3563157114605762E-2</c:v>
                </c:pt>
                <c:pt idx="201">
                  <c:v>1.4433984465069605E-2</c:v>
                </c:pt>
                <c:pt idx="202">
                  <c:v>1.5290872868606975E-2</c:v>
                </c:pt>
                <c:pt idx="203">
                  <c:v>1.6133903197498634E-2</c:v>
                </c:pt>
                <c:pt idx="204">
                  <c:v>1.6963156163056992E-2</c:v>
                </c:pt>
                <c:pt idx="205">
                  <c:v>1.7778712315626222E-2</c:v>
                </c:pt>
                <c:pt idx="206">
                  <c:v>1.8580652044581925E-2</c:v>
                </c:pt>
                <c:pt idx="207">
                  <c:v>1.9369055578331795E-2</c:v>
                </c:pt>
                <c:pt idx="208">
                  <c:v>2.0144002984315401E-2</c:v>
                </c:pt>
                <c:pt idx="209">
                  <c:v>2.0905574169003294E-2</c:v>
                </c:pt>
                <c:pt idx="210">
                  <c:v>2.1653848877898341E-2</c:v>
                </c:pt>
                <c:pt idx="211">
                  <c:v>2.2388906695534394E-2</c:v>
                </c:pt>
                <c:pt idx="212">
                  <c:v>2.3110827045477844E-2</c:v>
                </c:pt>
                <c:pt idx="213">
                  <c:v>2.3819689190326399E-2</c:v>
                </c:pt>
                <c:pt idx="214">
                  <c:v>2.4515572231709193E-2</c:v>
                </c:pt>
                <c:pt idx="215">
                  <c:v>2.5198555110287568E-2</c:v>
                </c:pt>
                <c:pt idx="216">
                  <c:v>2.5868716605754072E-2</c:v>
                </c:pt>
                <c:pt idx="217">
                  <c:v>2.6526135336833234E-2</c:v>
                </c:pt>
                <c:pt idx="218">
                  <c:v>2.7170889761281347E-2</c:v>
                </c:pt>
                <c:pt idx="219">
                  <c:v>2.7803058175886131E-2</c:v>
                </c:pt>
                <c:pt idx="220">
                  <c:v>2.8422718716467066E-2</c:v>
                </c:pt>
                <c:pt idx="221">
                  <c:v>2.9029949357875284E-2</c:v>
                </c:pt>
                <c:pt idx="222">
                  <c:v>2.9624827913994123E-2</c:v>
                </c:pt>
                <c:pt idx="223">
                  <c:v>3.0207432037737902E-2</c:v>
                </c:pt>
                <c:pt idx="224">
                  <c:v>3.0777839221053038E-2</c:v>
                </c:pt>
                <c:pt idx="225">
                  <c:v>3.1336126794917485E-2</c:v>
                </c:pt>
                <c:pt idx="226">
                  <c:v>3.1882371929340847E-2</c:v>
                </c:pt>
                <c:pt idx="227">
                  <c:v>3.2416651633364602E-2</c:v>
                </c:pt>
                <c:pt idx="228">
                  <c:v>3.2939042755061987E-2</c:v>
                </c:pt>
                <c:pt idx="229">
                  <c:v>3.3449621981537447E-2</c:v>
                </c:pt>
                <c:pt idx="230">
                  <c:v>3.3948465838927744E-2</c:v>
                </c:pt>
                <c:pt idx="231">
                  <c:v>3.4435650692400621E-2</c:v>
                </c:pt>
                <c:pt idx="232">
                  <c:v>3.4911252746156474E-2</c:v>
                </c:pt>
                <c:pt idx="233">
                  <c:v>3.5375348043426569E-2</c:v>
                </c:pt>
                <c:pt idx="234">
                  <c:v>3.5828012466474157E-2</c:v>
                </c:pt>
                <c:pt idx="235">
                  <c:v>3.6269321736594362E-2</c:v>
                </c:pt>
                <c:pt idx="236">
                  <c:v>3.6699351414113401E-2</c:v>
                </c:pt>
                <c:pt idx="237">
                  <c:v>3.7118176898389921E-2</c:v>
                </c:pt>
                <c:pt idx="238">
                  <c:v>3.7525873427813883E-2</c:v>
                </c:pt>
                <c:pt idx="239">
                  <c:v>3.7922516079806567E-2</c:v>
                </c:pt>
                <c:pt idx="240">
                  <c:v>3.8308179770822015E-2</c:v>
                </c:pt>
                <c:pt idx="241">
                  <c:v>3.8682939256345028E-2</c:v>
                </c:pt>
                <c:pt idx="242">
                  <c:v>3.9046869130892281E-2</c:v>
                </c:pt>
                <c:pt idx="243">
                  <c:v>3.9400043828012432E-2</c:v>
                </c:pt>
                <c:pt idx="244">
                  <c:v>3.9742537620285567E-2</c:v>
                </c:pt>
                <c:pt idx="245">
                  <c:v>4.0074424619323534E-2</c:v>
                </c:pt>
                <c:pt idx="246">
                  <c:v>4.0395778775769831E-2</c:v>
                </c:pt>
                <c:pt idx="247">
                  <c:v>4.0706673879299715E-2</c:v>
                </c:pt>
                <c:pt idx="248">
                  <c:v>4.1007183558620097E-2</c:v>
                </c:pt>
                <c:pt idx="249">
                  <c:v>4.1297381281469869E-2</c:v>
                </c:pt>
                <c:pt idx="250">
                  <c:v>4.157734035461913E-2</c:v>
                </c:pt>
                <c:pt idx="251">
                  <c:v>4.1847133923869739E-2</c:v>
                </c:pt>
                <c:pt idx="252">
                  <c:v>4.210683497405554E-2</c:v>
                </c:pt>
                <c:pt idx="253">
                  <c:v>4.2356516329042138E-2</c:v>
                </c:pt>
                <c:pt idx="254">
                  <c:v>4.2596250651726231E-2</c:v>
                </c:pt>
                <c:pt idx="255">
                  <c:v>4.2826110444037058E-2</c:v>
                </c:pt>
                <c:pt idx="256">
                  <c:v>4.304616804693473E-2</c:v>
                </c:pt>
                <c:pt idx="257">
                  <c:v>4.3256495640411452E-2</c:v>
                </c:pt>
                <c:pt idx="258">
                  <c:v>4.3457165243491414E-2</c:v>
                </c:pt>
                <c:pt idx="259">
                  <c:v>4.3648248714229565E-2</c:v>
                </c:pt>
                <c:pt idx="260">
                  <c:v>4.3829817749713507E-2</c:v>
                </c:pt>
                <c:pt idx="261">
                  <c:v>4.40019438860626E-2</c:v>
                </c:pt>
                <c:pt idx="262">
                  <c:v>4.4164698498426302E-2</c:v>
                </c:pt>
                <c:pt idx="263">
                  <c:v>4.4318152800988275E-2</c:v>
                </c:pt>
                <c:pt idx="264">
                  <c:v>4.446237784696172E-2</c:v>
                </c:pt>
                <c:pt idx="265">
                  <c:v>4.4597444528592822E-2</c:v>
                </c:pt>
                <c:pt idx="266">
                  <c:v>4.4723423577158528E-2</c:v>
                </c:pt>
                <c:pt idx="267">
                  <c:v>4.4840385562968321E-2</c:v>
                </c:pt>
                <c:pt idx="268">
                  <c:v>4.4948400895362672E-2</c:v>
                </c:pt>
                <c:pt idx="269">
                  <c:v>4.5047539822714255E-2</c:v>
                </c:pt>
                <c:pt idx="270">
                  <c:v>4.5137872432427173E-2</c:v>
                </c:pt>
                <c:pt idx="271">
                  <c:v>4.5219468650937289E-2</c:v>
                </c:pt>
                <c:pt idx="272">
                  <c:v>4.5292398243712007E-2</c:v>
                </c:pt>
                <c:pt idx="273">
                  <c:v>4.5356730815250934E-2</c:v>
                </c:pt>
                <c:pt idx="274">
                  <c:v>4.5412535809084664E-2</c:v>
                </c:pt>
                <c:pt idx="275">
                  <c:v>4.5459882507776328E-2</c:v>
                </c:pt>
                <c:pt idx="276">
                  <c:v>4.5498840032919485E-2</c:v>
                </c:pt>
                <c:pt idx="277">
                  <c:v>4.5529477345140679E-2</c:v>
                </c:pt>
                <c:pt idx="278">
                  <c:v>4.5551863244097879E-2</c:v>
                </c:pt>
                <c:pt idx="279">
                  <c:v>4.5566066368479818E-2</c:v>
                </c:pt>
                <c:pt idx="280">
                  <c:v>4.5572155196007991E-2</c:v>
                </c:pt>
                <c:pt idx="281">
                  <c:v>4.5570198043435095E-2</c:v>
                </c:pt>
                <c:pt idx="282">
                  <c:v>4.5560263066545703E-2</c:v>
                </c:pt>
                <c:pt idx="283">
                  <c:v>4.5542418260156037E-2</c:v>
                </c:pt>
                <c:pt idx="284">
                  <c:v>4.5516731458113524E-2</c:v>
                </c:pt>
                <c:pt idx="285">
                  <c:v>4.5483270333298131E-2</c:v>
                </c:pt>
                <c:pt idx="286">
                  <c:v>4.5442102397621476E-2</c:v>
                </c:pt>
                <c:pt idx="287">
                  <c:v>4.5393295002025713E-2</c:v>
                </c:pt>
                <c:pt idx="288">
                  <c:v>4.533691533648565E-2</c:v>
                </c:pt>
                <c:pt idx="289">
                  <c:v>4.5273030430008188E-2</c:v>
                </c:pt>
                <c:pt idx="290">
                  <c:v>4.5201707150630877E-2</c:v>
                </c:pt>
                <c:pt idx="291">
                  <c:v>4.5123012205423363E-2</c:v>
                </c:pt>
                <c:pt idx="292">
                  <c:v>4.5037012140487276E-2</c:v>
                </c:pt>
                <c:pt idx="293">
                  <c:v>4.4943773340955895E-2</c:v>
                </c:pt>
                <c:pt idx="294">
                  <c:v>4.4843362030993594E-2</c:v>
                </c:pt>
                <c:pt idx="295">
                  <c:v>4.4735844273797065E-2</c:v>
                </c:pt>
                <c:pt idx="296">
                  <c:v>4.4621285971594871E-2</c:v>
                </c:pt>
                <c:pt idx="297">
                  <c:v>4.4499752865645892E-2</c:v>
                </c:pt>
                <c:pt idx="298">
                  <c:v>4.4371310536242659E-2</c:v>
                </c:pt>
                <c:pt idx="299">
                  <c:v>4.4236024402708018E-2</c:v>
                </c:pt>
                <c:pt idx="300">
                  <c:v>4.4093959723396914E-2</c:v>
                </c:pt>
                <c:pt idx="301">
                  <c:v>4.3945181595695937E-2</c:v>
                </c:pt>
                <c:pt idx="302">
                  <c:v>4.3789754956023774E-2</c:v>
                </c:pt>
                <c:pt idx="303">
                  <c:v>4.3627744579829875E-2</c:v>
                </c:pt>
                <c:pt idx="304">
                  <c:v>4.3459215081596669E-2</c:v>
                </c:pt>
                <c:pt idx="305">
                  <c:v>4.3284230914837352E-2</c:v>
                </c:pt>
                <c:pt idx="306">
                  <c:v>4.3102856372096543E-2</c:v>
                </c:pt>
                <c:pt idx="307">
                  <c:v>4.2915155584951403E-2</c:v>
                </c:pt>
                <c:pt idx="308">
                  <c:v>4.2721192524010521E-2</c:v>
                </c:pt>
                <c:pt idx="309">
                  <c:v>4.2521030998914133E-2</c:v>
                </c:pt>
                <c:pt idx="310">
                  <c:v>4.2314734658333686E-2</c:v>
                </c:pt>
                <c:pt idx="311">
                  <c:v>4.2102366989973161E-2</c:v>
                </c:pt>
                <c:pt idx="312">
                  <c:v>4.1883991320567748E-2</c:v>
                </c:pt>
                <c:pt idx="313">
                  <c:v>4.1659670815884287E-2</c:v>
                </c:pt>
                <c:pt idx="314">
                  <c:v>4.1429468480721265E-2</c:v>
                </c:pt>
                <c:pt idx="315">
                  <c:v>4.1193447158909713E-2</c:v>
                </c:pt>
                <c:pt idx="316">
                  <c:v>4.0951669533310975E-2</c:v>
                </c:pt>
                <c:pt idx="317">
                  <c:v>4.0704198125818714E-2</c:v>
                </c:pt>
                <c:pt idx="318">
                  <c:v>4.0451095297358908E-2</c:v>
                </c:pt>
                <c:pt idx="319">
                  <c:v>4.0192423247888298E-2</c:v>
                </c:pt>
                <c:pt idx="320">
                  <c:v>3.9928244016395942E-2</c:v>
                </c:pt>
                <c:pt idx="321">
                  <c:v>3.965861948090188E-2</c:v>
                </c:pt>
                <c:pt idx="322">
                  <c:v>3.9383611358458914E-2</c:v>
                </c:pt>
                <c:pt idx="323">
                  <c:v>3.9103281205150608E-2</c:v>
                </c:pt>
                <c:pt idx="324">
                  <c:v>3.8817690416092621E-2</c:v>
                </c:pt>
                <c:pt idx="325">
                  <c:v>3.8526900225431593E-2</c:v>
                </c:pt>
                <c:pt idx="326">
                  <c:v>3.823097170634715E-2</c:v>
                </c:pt>
                <c:pt idx="327">
                  <c:v>3.7929965771050567E-2</c:v>
                </c:pt>
                <c:pt idx="328">
                  <c:v>3.762394317078277E-2</c:v>
                </c:pt>
                <c:pt idx="329">
                  <c:v>3.7312964495818779E-2</c:v>
                </c:pt>
                <c:pt idx="330">
                  <c:v>3.6997090175463931E-2</c:v>
                </c:pt>
                <c:pt idx="331">
                  <c:v>3.6676380478055881E-2</c:v>
                </c:pt>
                <c:pt idx="332">
                  <c:v>3.6350895510963488E-2</c:v>
                </c:pt>
                <c:pt idx="333">
                  <c:v>3.6020695220587706E-2</c:v>
                </c:pt>
                <c:pt idx="334">
                  <c:v>3.5685839392360696E-2</c:v>
                </c:pt>
                <c:pt idx="335">
                  <c:v>3.5346387650747824E-2</c:v>
                </c:pt>
                <c:pt idx="336">
                  <c:v>3.500239945924366E-2</c:v>
                </c:pt>
                <c:pt idx="337">
                  <c:v>3.4653934120375984E-2</c:v>
                </c:pt>
                <c:pt idx="338">
                  <c:v>3.4301050775704667E-2</c:v>
                </c:pt>
                <c:pt idx="339">
                  <c:v>3.3943808405820564E-2</c:v>
                </c:pt>
                <c:pt idx="340">
                  <c:v>3.3582265830345515E-2</c:v>
                </c:pt>
                <c:pt idx="341">
                  <c:v>3.3216481707934786E-2</c:v>
                </c:pt>
                <c:pt idx="342">
                  <c:v>3.2846514536273963E-2</c:v>
                </c:pt>
                <c:pt idx="343">
                  <c:v>3.2472422652081168E-2</c:v>
                </c:pt>
                <c:pt idx="344">
                  <c:v>3.2094264231105507E-2</c:v>
                </c:pt>
                <c:pt idx="345">
                  <c:v>3.1712097288128183E-2</c:v>
                </c:pt>
                <c:pt idx="346">
                  <c:v>3.1325979676961824E-2</c:v>
                </c:pt>
                <c:pt idx="347">
                  <c:v>3.0935969090451376E-2</c:v>
                </c:pt>
                <c:pt idx="348">
                  <c:v>3.0542123060472326E-2</c:v>
                </c:pt>
                <c:pt idx="349">
                  <c:v>3.0144498957933807E-2</c:v>
                </c:pt>
                <c:pt idx="350">
                  <c:v>2.9743153992774163E-2</c:v>
                </c:pt>
                <c:pt idx="351">
                  <c:v>2.9338145213965161E-2</c:v>
                </c:pt>
                <c:pt idx="352">
                  <c:v>2.8929529509509999E-2</c:v>
                </c:pt>
                <c:pt idx="353">
                  <c:v>2.8517363606442858E-2</c:v>
                </c:pt>
                <c:pt idx="354">
                  <c:v>2.8101704070830236E-2</c:v>
                </c:pt>
                <c:pt idx="355">
                  <c:v>2.7682607307770057E-2</c:v>
                </c:pt>
                <c:pt idx="356">
                  <c:v>2.7260129561392787E-2</c:v>
                </c:pt>
                <c:pt idx="357">
                  <c:v>2.683432691485943E-2</c:v>
                </c:pt>
                <c:pt idx="358">
                  <c:v>2.6405255290362417E-2</c:v>
                </c:pt>
                <c:pt idx="359">
                  <c:v>2.5972970449127386E-2</c:v>
                </c:pt>
                <c:pt idx="360">
                  <c:v>2.5537527991410736E-2</c:v>
                </c:pt>
                <c:pt idx="361">
                  <c:v>2.5098983356500737E-2</c:v>
                </c:pt>
                <c:pt idx="362">
                  <c:v>2.4657391822716868E-2</c:v>
                </c:pt>
                <c:pt idx="363">
                  <c:v>2.4212808507410255E-2</c:v>
                </c:pt>
                <c:pt idx="364">
                  <c:v>2.3765288366965676E-2</c:v>
                </c:pt>
                <c:pt idx="365">
                  <c:v>2.3314886196797779E-2</c:v>
                </c:pt>
                <c:pt idx="366">
                  <c:v>2.2861656631351757E-2</c:v>
                </c:pt>
                <c:pt idx="367">
                  <c:v>2.2405654144107778E-2</c:v>
                </c:pt>
                <c:pt idx="368">
                  <c:v>2.1946933047574779E-2</c:v>
                </c:pt>
                <c:pt idx="369">
                  <c:v>2.1485547493294899E-2</c:v>
                </c:pt>
                <c:pt idx="370">
                  <c:v>2.1021551471841704E-2</c:v>
                </c:pt>
                <c:pt idx="371">
                  <c:v>2.0554998812820191E-2</c:v>
                </c:pt>
                <c:pt idx="372">
                  <c:v>2.0085943184866339E-2</c:v>
                </c:pt>
                <c:pt idx="373">
                  <c:v>1.9614438095649778E-2</c:v>
                </c:pt>
                <c:pt idx="374">
                  <c:v>1.9140536891871118E-2</c:v>
                </c:pt>
                <c:pt idx="375">
                  <c:v>1.8664292759260626E-2</c:v>
                </c:pt>
                <c:pt idx="376">
                  <c:v>1.8185758722582879E-2</c:v>
                </c:pt>
                <c:pt idx="377">
                  <c:v>1.7704987645633885E-2</c:v>
                </c:pt>
                <c:pt idx="378">
                  <c:v>1.722203223123886E-2</c:v>
                </c:pt>
                <c:pt idx="379">
                  <c:v>1.6736945021257776E-2</c:v>
                </c:pt>
                <c:pt idx="380">
                  <c:v>1.6249778396580705E-2</c:v>
                </c:pt>
                <c:pt idx="381">
                  <c:v>1.576058457712981E-2</c:v>
                </c:pt>
                <c:pt idx="382">
                  <c:v>1.526941562185824E-2</c:v>
                </c:pt>
                <c:pt idx="383">
                  <c:v>1.4776323428752125E-2</c:v>
                </c:pt>
                <c:pt idx="384">
                  <c:v>1.428135973482858E-2</c:v>
                </c:pt>
                <c:pt idx="385">
                  <c:v>1.3784576116135927E-2</c:v>
                </c:pt>
                <c:pt idx="386">
                  <c:v>1.3286023987754803E-2</c:v>
                </c:pt>
                <c:pt idx="387">
                  <c:v>1.2785754603798161E-2</c:v>
                </c:pt>
                <c:pt idx="388">
                  <c:v>1.2283819057409051E-2</c:v>
                </c:pt>
                <c:pt idx="389">
                  <c:v>1.1780268280763062E-2</c:v>
                </c:pt>
                <c:pt idx="390">
                  <c:v>1.1275153045068098E-2</c:v>
                </c:pt>
                <c:pt idx="391">
                  <c:v>1.0768523960562604E-2</c:v>
                </c:pt>
                <c:pt idx="392">
                  <c:v>1.026043147651734E-2</c:v>
                </c:pt>
                <c:pt idx="393">
                  <c:v>9.7509258812353838E-3</c:v>
                </c:pt>
                <c:pt idx="394">
                  <c:v>9.2400573020499088E-3</c:v>
                </c:pt>
                <c:pt idx="395">
                  <c:v>8.7278757053266265E-3</c:v>
                </c:pt>
                <c:pt idx="396">
                  <c:v>8.2144308964640089E-3</c:v>
                </c:pt>
                <c:pt idx="397">
                  <c:v>7.699772519889958E-3</c:v>
                </c:pt>
                <c:pt idx="398">
                  <c:v>7.1839500590662464E-3</c:v>
                </c:pt>
                <c:pt idx="399">
                  <c:v>6.6670128364840764E-3</c:v>
                </c:pt>
                <c:pt idx="400">
                  <c:v>6.1490100136694092E-3</c:v>
                </c:pt>
                <c:pt idx="401">
                  <c:v>5.629990591177414E-3</c:v>
                </c:pt>
                <c:pt idx="402">
                  <c:v>5.1100034085951318E-3</c:v>
                </c:pt>
                <c:pt idx="403">
                  <c:v>4.5890971445432527E-3</c:v>
                </c:pt>
                <c:pt idx="404">
                  <c:v>4.0673203166712302E-3</c:v>
                </c:pt>
                <c:pt idx="405">
                  <c:v>3.5447212816623885E-3</c:v>
                </c:pt>
                <c:pt idx="406">
                  <c:v>3.0213482352317023E-3</c:v>
                </c:pt>
                <c:pt idx="407">
                  <c:v>2.4972492121242418E-3</c:v>
                </c:pt>
                <c:pt idx="408">
                  <c:v>1.97247208611806E-3</c:v>
                </c:pt>
                <c:pt idx="409">
                  <c:v>1.4470645700228602E-3</c:v>
                </c:pt>
                <c:pt idx="410">
                  <c:v>9.2107421567977354E-4</c:v>
                </c:pt>
                <c:pt idx="411">
                  <c:v>3.9454841396069362E-4</c:v>
                </c:pt>
                <c:pt idx="412">
                  <c:v>-1.3246560522839346E-4</c:v>
                </c:pt>
                <c:pt idx="413">
                  <c:v>-6.5992077295162765E-4</c:v>
                </c:pt>
                <c:pt idx="414">
                  <c:v>-1.1877701812423869E-3</c:v>
                </c:pt>
                <c:pt idx="415">
                  <c:v>-1.7159670830997342E-3</c:v>
                </c:pt>
                <c:pt idx="416">
                  <c:v>-2.2444648924919708E-3</c:v>
                </c:pt>
                <c:pt idx="417">
                  <c:v>-2.7732171843575237E-3</c:v>
                </c:pt>
                <c:pt idx="418">
                  <c:v>-3.3021776946005055E-3</c:v>
                </c:pt>
                <c:pt idx="419">
                  <c:v>-3.8313003200958207E-3</c:v>
                </c:pt>
                <c:pt idx="420">
                  <c:v>-4.3605391186833931E-3</c:v>
                </c:pt>
                <c:pt idx="421">
                  <c:v>-4.8898483091761591E-3</c:v>
                </c:pt>
                <c:pt idx="422">
                  <c:v>-5.419182271350298E-3</c:v>
                </c:pt>
                <c:pt idx="423">
                  <c:v>-5.9484955459532252E-3</c:v>
                </c:pt>
                <c:pt idx="424">
                  <c:v>-6.4777428347015942E-3</c:v>
                </c:pt>
                <c:pt idx="425">
                  <c:v>-7.0068790002768555E-3</c:v>
                </c:pt>
                <c:pt idx="426">
                  <c:v>-7.535859066331696E-3</c:v>
                </c:pt>
                <c:pt idx="427">
                  <c:v>-8.0646382174862641E-3</c:v>
                </c:pt>
                <c:pt idx="428">
                  <c:v>-8.59317179932928E-3</c:v>
                </c:pt>
                <c:pt idx="429">
                  <c:v>-9.1214153184160374E-3</c:v>
                </c:pt>
                <c:pt idx="430">
                  <c:v>-9.6493244422732882E-3</c:v>
                </c:pt>
                <c:pt idx="431">
                  <c:v>-1.0176854999393026E-2</c:v>
                </c:pt>
                <c:pt idx="432">
                  <c:v>-1.0703962979237813E-2</c:v>
                </c:pt>
                <c:pt idx="433">
                  <c:v>-1.1230604532236788E-2</c:v>
                </c:pt>
                <c:pt idx="434">
                  <c:v>-1.1756735969789212E-2</c:v>
                </c:pt>
                <c:pt idx="435">
                  <c:v>-1.2282313764260033E-2</c:v>
                </c:pt>
                <c:pt idx="436">
                  <c:v>-1.2807294548985437E-2</c:v>
                </c:pt>
                <c:pt idx="437">
                  <c:v>-1.3331635118268403E-2</c:v>
                </c:pt>
                <c:pt idx="438">
                  <c:v>-1.3855292427379595E-2</c:v>
                </c:pt>
                <c:pt idx="439">
                  <c:v>-1.437822359255958E-2</c:v>
                </c:pt>
                <c:pt idx="440">
                  <c:v>-1.4900385891016388E-2</c:v>
                </c:pt>
                <c:pt idx="441">
                  <c:v>-1.5421736760926619E-2</c:v>
                </c:pt>
                <c:pt idx="442">
                  <c:v>-1.5942233801433892E-2</c:v>
                </c:pt>
                <c:pt idx="443">
                  <c:v>-1.6461834772651729E-2</c:v>
                </c:pt>
                <c:pt idx="444">
                  <c:v>-1.6980497595662003E-2</c:v>
                </c:pt>
                <c:pt idx="445">
                  <c:v>-1.7498180352513604E-2</c:v>
                </c:pt>
                <c:pt idx="446">
                  <c:v>-1.8014841286224659E-2</c:v>
                </c:pt>
                <c:pt idx="447">
                  <c:v>-1.853043880078209E-2</c:v>
                </c:pt>
                <c:pt idx="448">
                  <c:v>-1.904493146113917E-2</c:v>
                </c:pt>
                <c:pt idx="449">
                  <c:v>-1.9558277993219519E-2</c:v>
                </c:pt>
                <c:pt idx="450">
                  <c:v>-2.0070437283914444E-2</c:v>
                </c:pt>
                <c:pt idx="451">
                  <c:v>-2.0581368381082488E-2</c:v>
                </c:pt>
                <c:pt idx="452">
                  <c:v>-2.1091030493552765E-2</c:v>
                </c:pt>
                <c:pt idx="453">
                  <c:v>-2.1599382991120297E-2</c:v>
                </c:pt>
                <c:pt idx="454">
                  <c:v>-2.2106385404550233E-2</c:v>
                </c:pt>
                <c:pt idx="455">
                  <c:v>-2.2611997425574515E-2</c:v>
                </c:pt>
                <c:pt idx="456">
                  <c:v>-2.3116178906894103E-2</c:v>
                </c:pt>
                <c:pt idx="457">
                  <c:v>-2.3618889862179193E-2</c:v>
                </c:pt>
                <c:pt idx="458">
                  <c:v>-2.4120090466066557E-2</c:v>
                </c:pt>
                <c:pt idx="459">
                  <c:v>-2.4619741054162425E-2</c:v>
                </c:pt>
                <c:pt idx="460">
                  <c:v>-2.5117802123041155E-2</c:v>
                </c:pt>
                <c:pt idx="461">
                  <c:v>-2.5614234330244567E-2</c:v>
                </c:pt>
                <c:pt idx="462">
                  <c:v>-2.6108998494285274E-2</c:v>
                </c:pt>
                <c:pt idx="463">
                  <c:v>-2.6602055594640461E-2</c:v>
                </c:pt>
                <c:pt idx="464">
                  <c:v>-2.7093366771757665E-2</c:v>
                </c:pt>
                <c:pt idx="465">
                  <c:v>-2.7582893327054769E-2</c:v>
                </c:pt>
                <c:pt idx="466">
                  <c:v>-2.8070596722912899E-2</c:v>
                </c:pt>
                <c:pt idx="467">
                  <c:v>-2.8556438582686638E-2</c:v>
                </c:pt>
                <c:pt idx="468">
                  <c:v>-2.9040380690695589E-2</c:v>
                </c:pt>
                <c:pt idx="469">
                  <c:v>-2.9522384992228812E-2</c:v>
                </c:pt>
                <c:pt idx="470">
                  <c:v>-3.0002413593544386E-2</c:v>
                </c:pt>
                <c:pt idx="471">
                  <c:v>-3.0480428761867628E-2</c:v>
                </c:pt>
                <c:pt idx="472">
                  <c:v>-3.0956392925391985E-2</c:v>
                </c:pt>
                <c:pt idx="473">
                  <c:v>-3.1430268673279471E-2</c:v>
                </c:pt>
                <c:pt idx="474">
                  <c:v>-3.1902018755661121E-2</c:v>
                </c:pt>
                <c:pt idx="475">
                  <c:v>-3.2371606083636539E-2</c:v>
                </c:pt>
                <c:pt idx="476">
                  <c:v>-3.2838993729270793E-2</c:v>
                </c:pt>
                <c:pt idx="477">
                  <c:v>-3.3304144925601964E-2</c:v>
                </c:pt>
                <c:pt idx="478">
                  <c:v>-3.3767023066632262E-2</c:v>
                </c:pt>
                <c:pt idx="479">
                  <c:v>-3.4227591707332916E-2</c:v>
                </c:pt>
                <c:pt idx="480">
                  <c:v>-3.4685814563645501E-2</c:v>
                </c:pt>
                <c:pt idx="481">
                  <c:v>-3.5141655512478831E-2</c:v>
                </c:pt>
                <c:pt idx="482">
                  <c:v>-3.5595078591708962E-2</c:v>
                </c:pt>
                <c:pt idx="483">
                  <c:v>-3.604604800018274E-2</c:v>
                </c:pt>
                <c:pt idx="484">
                  <c:v>-3.6494528097712475E-2</c:v>
                </c:pt>
                <c:pt idx="485">
                  <c:v>-3.6940483405080382E-2</c:v>
                </c:pt>
                <c:pt idx="486">
                  <c:v>-3.7383878604035914E-2</c:v>
                </c:pt>
                <c:pt idx="487">
                  <c:v>-3.7824678537298428E-2</c:v>
                </c:pt>
                <c:pt idx="488">
                  <c:v>-3.8262848208555855E-2</c:v>
                </c:pt>
                <c:pt idx="489">
                  <c:v>-3.8698352782461143E-2</c:v>
                </c:pt>
                <c:pt idx="490">
                  <c:v>-3.913115758463892E-2</c:v>
                </c:pt>
                <c:pt idx="491">
                  <c:v>-3.9561228101681056E-2</c:v>
                </c:pt>
                <c:pt idx="492">
                  <c:v>-3.9988529981147103E-2</c:v>
                </c:pt>
                <c:pt idx="493">
                  <c:v>-4.0413029031566072E-2</c:v>
                </c:pt>
                <c:pt idx="494">
                  <c:v>-4.0834691222433328E-2</c:v>
                </c:pt>
                <c:pt idx="495">
                  <c:v>-4.1253482684215026E-2</c:v>
                </c:pt>
                <c:pt idx="496">
                  <c:v>-4.166936970834545E-2</c:v>
                </c:pt>
                <c:pt idx="497">
                  <c:v>-4.2082318747223457E-2</c:v>
                </c:pt>
                <c:pt idx="498">
                  <c:v>-4.2492296414220476E-2</c:v>
                </c:pt>
                <c:pt idx="499">
                  <c:v>-4.2899269483675173E-2</c:v>
                </c:pt>
                <c:pt idx="500">
                  <c:v>-4.3303204890892566E-2</c:v>
                </c:pt>
                <c:pt idx="501">
                  <c:v>-4.3704069732149353E-2</c:v>
                </c:pt>
                <c:pt idx="502">
                  <c:v>-4.4101831264687696E-2</c:v>
                </c:pt>
                <c:pt idx="503">
                  <c:v>-4.4496456906718773E-2</c:v>
                </c:pt>
                <c:pt idx="504">
                  <c:v>-4.4887914237423221E-2</c:v>
                </c:pt>
                <c:pt idx="505">
                  <c:v>-4.5276170996948473E-2</c:v>
                </c:pt>
                <c:pt idx="506">
                  <c:v>-4.5661195086409645E-2</c:v>
                </c:pt>
                <c:pt idx="507">
                  <c:v>-4.6042954567893979E-2</c:v>
                </c:pt>
                <c:pt idx="508">
                  <c:v>-4.6421417664453291E-2</c:v>
                </c:pt>
                <c:pt idx="509">
                  <c:v>-4.6796552760107968E-2</c:v>
                </c:pt>
                <c:pt idx="510">
                  <c:v>-4.7168328399848747E-2</c:v>
                </c:pt>
                <c:pt idx="511">
                  <c:v>-4.7536713289632715E-2</c:v>
                </c:pt>
                <c:pt idx="512">
                  <c:v>-4.7901676296387308E-2</c:v>
                </c:pt>
                <c:pt idx="513">
                  <c:v>-4.8263186448005868E-2</c:v>
                </c:pt>
                <c:pt idx="514">
                  <c:v>-4.8621212933352087E-2</c:v>
                </c:pt>
                <c:pt idx="515">
                  <c:v>-4.8975725102255563E-2</c:v>
                </c:pt>
                <c:pt idx="516">
                  <c:v>-4.932669246551713E-2</c:v>
                </c:pt>
                <c:pt idx="517">
                  <c:v>-4.9674084694904419E-2</c:v>
                </c:pt>
                <c:pt idx="518">
                  <c:v>-5.0017871623153187E-2</c:v>
                </c:pt>
                <c:pt idx="519">
                  <c:v>-5.0358023243967764E-2</c:v>
                </c:pt>
                <c:pt idx="520">
                  <c:v>-5.069450971202194E-2</c:v>
                </c:pt>
                <c:pt idx="521">
                  <c:v>-5.1027301342954967E-2</c:v>
                </c:pt>
                <c:pt idx="522">
                  <c:v>-5.1356368613375114E-2</c:v>
                </c:pt>
                <c:pt idx="523">
                  <c:v>-5.168168216086455E-2</c:v>
                </c:pt>
                <c:pt idx="524">
                  <c:v>-5.2003212783965136E-2</c:v>
                </c:pt>
                <c:pt idx="525">
                  <c:v>-5.232093144219041E-2</c:v>
                </c:pt>
                <c:pt idx="526">
                  <c:v>-5.2634809256026927E-2</c:v>
                </c:pt>
                <c:pt idx="527">
                  <c:v>-5.2944817506922259E-2</c:v>
                </c:pt>
                <c:pt idx="528">
                  <c:v>-5.325092763729744E-2</c:v>
                </c:pt>
                <c:pt idx="529">
                  <c:v>-5.3553111250537633E-2</c:v>
                </c:pt>
                <c:pt idx="530">
                  <c:v>-5.3851340111000567E-2</c:v>
                </c:pt>
                <c:pt idx="531">
                  <c:v>-5.4145586144009883E-2</c:v>
                </c:pt>
                <c:pt idx="532">
                  <c:v>-5.4435821435857346E-2</c:v>
                </c:pt>
                <c:pt idx="533">
                  <c:v>-5.4722018233803738E-2</c:v>
                </c:pt>
                <c:pt idx="534">
                  <c:v>-5.5004148946078413E-2</c:v>
                </c:pt>
                <c:pt idx="535">
                  <c:v>-5.5282186141878853E-2</c:v>
                </c:pt>
                <c:pt idx="536">
                  <c:v>-5.5556102551370667E-2</c:v>
                </c:pt>
                <c:pt idx="537">
                  <c:v>-5.5825871065686705E-2</c:v>
                </c:pt>
                <c:pt idx="538">
                  <c:v>-5.6091464736928831E-2</c:v>
                </c:pt>
                <c:pt idx="539">
                  <c:v>-5.6352856778170146E-2</c:v>
                </c:pt>
                <c:pt idx="540">
                  <c:v>-5.661002056344655E-2</c:v>
                </c:pt>
                <c:pt idx="541">
                  <c:v>-5.6862929627766956E-2</c:v>
                </c:pt>
                <c:pt idx="542">
                  <c:v>-5.7111557667106627E-2</c:v>
                </c:pt>
                <c:pt idx="543">
                  <c:v>-5.7355878538409399E-2</c:v>
                </c:pt>
                <c:pt idx="544">
                  <c:v>-5.7595866259585904E-2</c:v>
                </c:pt>
                <c:pt idx="545">
                  <c:v>-5.7831495009518008E-2</c:v>
                </c:pt>
                <c:pt idx="546">
                  <c:v>-5.8062739128053042E-2</c:v>
                </c:pt>
                <c:pt idx="547">
                  <c:v>-5.8289573116010018E-2</c:v>
                </c:pt>
                <c:pt idx="548">
                  <c:v>-5.8511971635172078E-2</c:v>
                </c:pt>
                <c:pt idx="549">
                  <c:v>-5.872990950829271E-2</c:v>
                </c:pt>
                <c:pt idx="550">
                  <c:v>-5.8943361719095311E-2</c:v>
                </c:pt>
                <c:pt idx="551">
                  <c:v>-5.9152303412270957E-2</c:v>
                </c:pt>
                <c:pt idx="552">
                  <c:v>-5.9356709893475745E-2</c:v>
                </c:pt>
                <c:pt idx="553">
                  <c:v>-5.9556556629337454E-2</c:v>
                </c:pt>
                <c:pt idx="554">
                  <c:v>-5.9751819247451099E-2</c:v>
                </c:pt>
                <c:pt idx="555">
                  <c:v>-5.9942473536379381E-2</c:v>
                </c:pt>
                <c:pt idx="556">
                  <c:v>-6.012849544565535E-2</c:v>
                </c:pt>
                <c:pt idx="557">
                  <c:v>-6.0309861085778849E-2</c:v>
                </c:pt>
                <c:pt idx="558">
                  <c:v>-6.0486546728218293E-2</c:v>
                </c:pt>
                <c:pt idx="559">
                  <c:v>-6.065852880540934E-2</c:v>
                </c:pt>
                <c:pt idx="560">
                  <c:v>-6.0825783910757103E-2</c:v>
                </c:pt>
                <c:pt idx="561">
                  <c:v>-6.0988288798635715E-2</c:v>
                </c:pt>
                <c:pt idx="562">
                  <c:v>-6.1146020384387434E-2</c:v>
                </c:pt>
                <c:pt idx="563">
                  <c:v>-6.1298955744319095E-2</c:v>
                </c:pt>
                <c:pt idx="564">
                  <c:v>-6.1447072115711876E-2</c:v>
                </c:pt>
                <c:pt idx="565">
                  <c:v>-6.1590346896810644E-2</c:v>
                </c:pt>
                <c:pt idx="566">
                  <c:v>-6.1728757646830612E-2</c:v>
                </c:pt>
                <c:pt idx="567">
                  <c:v>-6.1862282085956455E-2</c:v>
                </c:pt>
                <c:pt idx="568">
                  <c:v>-6.1990898095336977E-2</c:v>
                </c:pt>
                <c:pt idx="569">
                  <c:v>-6.2114583717093552E-2</c:v>
                </c:pt>
                <c:pt idx="570">
                  <c:v>-6.2233317154313461E-2</c:v>
                </c:pt>
                <c:pt idx="571">
                  <c:v>-6.2347076771053E-2</c:v>
                </c:pt>
                <c:pt idx="572">
                  <c:v>-6.2455841092337039E-2</c:v>
                </c:pt>
                <c:pt idx="573">
                  <c:v>-6.2559588804159016E-2</c:v>
                </c:pt>
                <c:pt idx="574">
                  <c:v>-6.2658298753480057E-2</c:v>
                </c:pt>
                <c:pt idx="575">
                  <c:v>-6.2751949948229857E-2</c:v>
                </c:pt>
                <c:pt idx="576">
                  <c:v>-6.2840521557306239E-2</c:v>
                </c:pt>
                <c:pt idx="577">
                  <c:v>-6.2923992910573823E-2</c:v>
                </c:pt>
                <c:pt idx="578">
                  <c:v>-6.3002343498868463E-2</c:v>
                </c:pt>
                <c:pt idx="579">
                  <c:v>-6.3075552973993254E-2</c:v>
                </c:pt>
                <c:pt idx="580">
                  <c:v>-6.3143601148718531E-2</c:v>
                </c:pt>
                <c:pt idx="581">
                  <c:v>-6.3206467996784532E-2</c:v>
                </c:pt>
                <c:pt idx="582">
                  <c:v>-6.3264133652898735E-2</c:v>
                </c:pt>
                <c:pt idx="583">
                  <c:v>-6.3316578412736302E-2</c:v>
                </c:pt>
                <c:pt idx="584">
                  <c:v>-6.3363782732942742E-2</c:v>
                </c:pt>
                <c:pt idx="585">
                  <c:v>-6.3405727231129028E-2</c:v>
                </c:pt>
                <c:pt idx="586">
                  <c:v>-6.3442392685879145E-2</c:v>
                </c:pt>
                <c:pt idx="587">
                  <c:v>-6.3473760036738547E-2</c:v>
                </c:pt>
                <c:pt idx="588">
                  <c:v>-6.3499810384227917E-2</c:v>
                </c:pt>
                <c:pt idx="589">
                  <c:v>-6.3520524989831628E-2</c:v>
                </c:pt>
                <c:pt idx="590">
                  <c:v>-6.3535885276003956E-2</c:v>
                </c:pt>
                <c:pt idx="591">
                  <c:v>-6.3545872826168193E-2</c:v>
                </c:pt>
                <c:pt idx="592">
                  <c:v>-6.3550469384713093E-2</c:v>
                </c:pt>
                <c:pt idx="593">
                  <c:v>-6.3549656857000425E-2</c:v>
                </c:pt>
                <c:pt idx="594">
                  <c:v>-6.3543417309356531E-2</c:v>
                </c:pt>
                <c:pt idx="595">
                  <c:v>-6.3531732969075438E-2</c:v>
                </c:pt>
                <c:pt idx="596">
                  <c:v>-6.3514586224423741E-2</c:v>
                </c:pt>
                <c:pt idx="597">
                  <c:v>-6.3491959624632166E-2</c:v>
                </c:pt>
                <c:pt idx="598">
                  <c:v>-6.3463835879902675E-2</c:v>
                </c:pt>
                <c:pt idx="599">
                  <c:v>-6.3430197861404025E-2</c:v>
                </c:pt>
                <c:pt idx="600">
                  <c:v>-6.3391028601271326E-2</c:v>
                </c:pt>
                <c:pt idx="601">
                  <c:v>-6.3346311292613144E-2</c:v>
                </c:pt>
                <c:pt idx="602">
                  <c:v>-6.32960292895004E-2</c:v>
                </c:pt>
                <c:pt idx="603">
                  <c:v>-6.3240166106977913E-2</c:v>
                </c:pt>
                <c:pt idx="604">
                  <c:v>-6.3178705421053305E-2</c:v>
                </c:pt>
                <c:pt idx="605">
                  <c:v>-6.3111631068708096E-2</c:v>
                </c:pt>
                <c:pt idx="606">
                  <c:v>-6.3038927047890159E-2</c:v>
                </c:pt>
                <c:pt idx="607">
                  <c:v>-6.2960577517510163E-2</c:v>
                </c:pt>
                <c:pt idx="608">
                  <c:v>-6.2876566797456235E-2</c:v>
                </c:pt>
                <c:pt idx="609">
                  <c:v>-6.2786879368577964E-2</c:v>
                </c:pt>
                <c:pt idx="610">
                  <c:v>-6.2691499872697065E-2</c:v>
                </c:pt>
                <c:pt idx="611">
                  <c:v>-6.2590413112602494E-2</c:v>
                </c:pt>
                <c:pt idx="612">
                  <c:v>-6.2483604052049113E-2</c:v>
                </c:pt>
                <c:pt idx="613">
                  <c:v>-6.2371057815764352E-2</c:v>
                </c:pt>
                <c:pt idx="614">
                  <c:v>-6.2252759689441106E-2</c:v>
                </c:pt>
                <c:pt idx="615">
                  <c:v>-6.2128695119741284E-2</c:v>
                </c:pt>
                <c:pt idx="616">
                  <c:v>-6.1998849714293591E-2</c:v>
                </c:pt>
                <c:pt idx="617">
                  <c:v>-6.1863209241697525E-2</c:v>
                </c:pt>
                <c:pt idx="618">
                  <c:v>-6.1721759631520712E-2</c:v>
                </c:pt>
                <c:pt idx="619">
                  <c:v>-6.1574486974298459E-2</c:v>
                </c:pt>
                <c:pt idx="620">
                  <c:v>-6.1421377521531539E-2</c:v>
                </c:pt>
                <c:pt idx="621">
                  <c:v>-6.1262417685694626E-2</c:v>
                </c:pt>
                <c:pt idx="622">
                  <c:v>-6.1097594040226078E-2</c:v>
                </c:pt>
                <c:pt idx="623">
                  <c:v>-6.0926893319534603E-2</c:v>
                </c:pt>
                <c:pt idx="624">
                  <c:v>-6.0750302418996149E-2</c:v>
                </c:pt>
                <c:pt idx="625">
                  <c:v>-6.0567808394957456E-2</c:v>
                </c:pt>
                <c:pt idx="626">
                  <c:v>-6.0379398464731615E-2</c:v>
                </c:pt>
                <c:pt idx="627">
                  <c:v>-6.0185060006597624E-2</c:v>
                </c:pt>
                <c:pt idx="628">
                  <c:v>-5.9984780559807493E-2</c:v>
                </c:pt>
                <c:pt idx="629">
                  <c:v>-5.9778547824578698E-2</c:v>
                </c:pt>
                <c:pt idx="630">
                  <c:v>-5.9566349662097284E-2</c:v>
                </c:pt>
                <c:pt idx="631">
                  <c:v>-5.9348174094519202E-2</c:v>
                </c:pt>
                <c:pt idx="632">
                  <c:v>-5.9124009304966307E-2</c:v>
                </c:pt>
                <c:pt idx="633">
                  <c:v>-5.8893843637532139E-2</c:v>
                </c:pt>
                <c:pt idx="634">
                  <c:v>-5.8657665597274367E-2</c:v>
                </c:pt>
                <c:pt idx="635">
                  <c:v>-5.841546385022145E-2</c:v>
                </c:pt>
                <c:pt idx="636">
                  <c:v>-5.8167227223369533E-2</c:v>
                </c:pt>
                <c:pt idx="637">
                  <c:v>-5.7912944704682001E-2</c:v>
                </c:pt>
                <c:pt idx="638">
                  <c:v>-5.7652605443096139E-2</c:v>
                </c:pt>
                <c:pt idx="639">
                  <c:v>-5.7386198748508921E-2</c:v>
                </c:pt>
                <c:pt idx="640">
                  <c:v>-5.7113714091790335E-2</c:v>
                </c:pt>
                <c:pt idx="641">
                  <c:v>-5.6835141104780273E-2</c:v>
                </c:pt>
                <c:pt idx="642">
                  <c:v>-5.6550469580285423E-2</c:v>
                </c:pt>
                <c:pt idx="643">
                  <c:v>-5.6259689472076158E-2</c:v>
                </c:pt>
                <c:pt idx="644">
                  <c:v>-5.5962790894898085E-2</c:v>
                </c:pt>
                <c:pt idx="645">
                  <c:v>-5.5659764124462274E-2</c:v>
                </c:pt>
                <c:pt idx="646">
                  <c:v>-5.5350599597447925E-2</c:v>
                </c:pt>
                <c:pt idx="647">
                  <c:v>-5.5035287911501918E-2</c:v>
                </c:pt>
                <c:pt idx="648">
                  <c:v>-5.4713819825241927E-2</c:v>
                </c:pt>
                <c:pt idx="649">
                  <c:v>-5.4386186258252867E-2</c:v>
                </c:pt>
                <c:pt idx="650">
                  <c:v>-5.4052378291082892E-2</c:v>
                </c:pt>
                <c:pt idx="651">
                  <c:v>-5.3712387165256281E-2</c:v>
                </c:pt>
                <c:pt idx="652">
                  <c:v>-5.3366204283263219E-2</c:v>
                </c:pt>
                <c:pt idx="653">
                  <c:v>-5.3013821208558909E-2</c:v>
                </c:pt>
                <c:pt idx="654">
                  <c:v>-5.2655229665568459E-2</c:v>
                </c:pt>
                <c:pt idx="655">
                  <c:v>-5.2290421539690435E-2</c:v>
                </c:pt>
                <c:pt idx="656">
                  <c:v>-5.1919388877283534E-2</c:v>
                </c:pt>
                <c:pt idx="657">
                  <c:v>-5.1542123885679914E-2</c:v>
                </c:pt>
                <c:pt idx="658">
                  <c:v>-5.1158618933177191E-2</c:v>
                </c:pt>
                <c:pt idx="659">
                  <c:v>-5.0768866549044667E-2</c:v>
                </c:pt>
                <c:pt idx="660">
                  <c:v>-5.0372859423516214E-2</c:v>
                </c:pt>
                <c:pt idx="661">
                  <c:v>-4.9970590407797388E-2</c:v>
                </c:pt>
                <c:pt idx="662">
                  <c:v>-4.9562052514059207E-2</c:v>
                </c:pt>
                <c:pt idx="663">
                  <c:v>-4.9147238915445257E-2</c:v>
                </c:pt>
                <c:pt idx="664">
                  <c:v>-4.8726142946060147E-2</c:v>
                </c:pt>
                <c:pt idx="665">
                  <c:v>-4.8298758100984607E-2</c:v>
                </c:pt>
                <c:pt idx="666">
                  <c:v>-4.7865078036261277E-2</c:v>
                </c:pt>
                <c:pt idx="667">
                  <c:v>-4.7425096568905367E-2</c:v>
                </c:pt>
                <c:pt idx="668">
                  <c:v>-4.6978807676901102E-2</c:v>
                </c:pt>
                <c:pt idx="669">
                  <c:v>-4.6526205499194617E-2</c:v>
                </c:pt>
                <c:pt idx="670">
                  <c:v>-4.606728433570817E-2</c:v>
                </c:pt>
                <c:pt idx="671">
                  <c:v>-4.5602038647328591E-2</c:v>
                </c:pt>
                <c:pt idx="672">
                  <c:v>-4.5130463055908177E-2</c:v>
                </c:pt>
                <c:pt idx="673">
                  <c:v>-4.4652552344274454E-2</c:v>
                </c:pt>
                <c:pt idx="674">
                  <c:v>-4.4168301456217751E-2</c:v>
                </c:pt>
                <c:pt idx="675">
                  <c:v>-4.3677705496496522E-2</c:v>
                </c:pt>
                <c:pt idx="676">
                  <c:v>-4.3180759730843565E-2</c:v>
                </c:pt>
                <c:pt idx="677">
                  <c:v>-4.2677459585951816E-2</c:v>
                </c:pt>
                <c:pt idx="678">
                  <c:v>-4.2167800649488552E-2</c:v>
                </c:pt>
                <c:pt idx="679">
                  <c:v>-4.1651778670087403E-2</c:v>
                </c:pt>
                <c:pt idx="680">
                  <c:v>-4.1129389557350127E-2</c:v>
                </c:pt>
                <c:pt idx="681">
                  <c:v>-4.0600629381845721E-2</c:v>
                </c:pt>
                <c:pt idx="682">
                  <c:v>-4.0065494375113087E-2</c:v>
                </c:pt>
                <c:pt idx="683">
                  <c:v>-3.9523980929659253E-2</c:v>
                </c:pt>
                <c:pt idx="684">
                  <c:v>-3.8976085598960264E-2</c:v>
                </c:pt>
                <c:pt idx="685">
                  <c:v>-3.8421805097457629E-2</c:v>
                </c:pt>
                <c:pt idx="686">
                  <c:v>-3.7861136300564535E-2</c:v>
                </c:pt>
                <c:pt idx="687">
                  <c:v>-3.7294076244659635E-2</c:v>
                </c:pt>
                <c:pt idx="688">
                  <c:v>-3.6720622127092373E-2</c:v>
                </c:pt>
                <c:pt idx="689">
                  <c:v>-3.6140771306179431E-2</c:v>
                </c:pt>
                <c:pt idx="690">
                  <c:v>-3.5554521301203845E-2</c:v>
                </c:pt>
                <c:pt idx="691">
                  <c:v>-3.4961869792422995E-2</c:v>
                </c:pt>
                <c:pt idx="692">
                  <c:v>-3.4362814621052618E-2</c:v>
                </c:pt>
                <c:pt idx="693">
                  <c:v>-3.3757353789287237E-2</c:v>
                </c:pt>
                <c:pt idx="694">
                  <c:v>-3.3145485460282398E-2</c:v>
                </c:pt>
                <c:pt idx="695">
                  <c:v>-3.2527207958164439E-2</c:v>
                </c:pt>
                <c:pt idx="696">
                  <c:v>-3.1902519768034043E-2</c:v>
                </c:pt>
                <c:pt idx="697">
                  <c:v>-3.1271419535943146E-2</c:v>
                </c:pt>
                <c:pt idx="698">
                  <c:v>-3.0633906068933126E-2</c:v>
                </c:pt>
                <c:pt idx="699">
                  <c:v>-2.9989978334999279E-2</c:v>
                </c:pt>
                <c:pt idx="700">
                  <c:v>-2.9339635463110358E-2</c:v>
                </c:pt>
                <c:pt idx="701">
                  <c:v>-2.868287674320058E-2</c:v>
                </c:pt>
                <c:pt idx="702">
                  <c:v>-2.8019701626179394E-2</c:v>
                </c:pt>
                <c:pt idx="703">
                  <c:v>-2.7350109723913718E-2</c:v>
                </c:pt>
                <c:pt idx="704">
                  <c:v>-2.6674100809250145E-2</c:v>
                </c:pt>
                <c:pt idx="705">
                  <c:v>-2.5991674815997179E-2</c:v>
                </c:pt>
                <c:pt idx="706">
                  <c:v>-2.5302831838927897E-2</c:v>
                </c:pt>
                <c:pt idx="707">
                  <c:v>-2.4607572133794164E-2</c:v>
                </c:pt>
                <c:pt idx="708">
                  <c:v>-2.3905896117307091E-2</c:v>
                </c:pt>
                <c:pt idx="709">
                  <c:v>-2.3197804367151242E-2</c:v>
                </c:pt>
                <c:pt idx="710">
                  <c:v>-2.2483297621977538E-2</c:v>
                </c:pt>
                <c:pt idx="711">
                  <c:v>-2.1762376781403248E-2</c:v>
                </c:pt>
                <c:pt idx="712">
                  <c:v>-2.1035042906018209E-2</c:v>
                </c:pt>
                <c:pt idx="713">
                  <c:v>-2.0301297217376835E-2</c:v>
                </c:pt>
                <c:pt idx="714">
                  <c:v>-1.9561141098004331E-2</c:v>
                </c:pt>
                <c:pt idx="715">
                  <c:v>-1.8814576091394919E-2</c:v>
                </c:pt>
                <c:pt idx="716">
                  <c:v>-1.8061603902007395E-2</c:v>
                </c:pt>
                <c:pt idx="717">
                  <c:v>-1.7302226395270459E-2</c:v>
                </c:pt>
                <c:pt idx="718">
                  <c:v>-1.6536445597585381E-2</c:v>
                </c:pt>
                <c:pt idx="719">
                  <c:v>-1.5764263696312675E-2</c:v>
                </c:pt>
                <c:pt idx="720">
                  <c:v>-1.4985683039788977E-2</c:v>
                </c:pt>
                <c:pt idx="721">
                  <c:v>-1.4200706137317276E-2</c:v>
                </c:pt>
                <c:pt idx="722">
                  <c:v>-1.3409335659167798E-2</c:v>
                </c:pt>
                <c:pt idx="723">
                  <c:v>-1.2611574436579787E-2</c:v>
                </c:pt>
                <c:pt idx="724">
                  <c:v>-1.1807425461759724E-2</c:v>
                </c:pt>
                <c:pt idx="725">
                  <c:v>-1.0996891887885774E-2</c:v>
                </c:pt>
                <c:pt idx="726">
                  <c:v>-1.0179977029100229E-2</c:v>
                </c:pt>
                <c:pt idx="727">
                  <c:v>-9.3566843605135119E-3</c:v>
                </c:pt>
                <c:pt idx="728">
                  <c:v>-8.527017518209945E-3</c:v>
                </c:pt>
                <c:pt idx="729">
                  <c:v>-7.6909802992339849E-3</c:v>
                </c:pt>
                <c:pt idx="730">
                  <c:v>-6.8485766616053212E-3</c:v>
                </c:pt>
                <c:pt idx="731">
                  <c:v>-5.9998107243099952E-3</c:v>
                </c:pt>
                <c:pt idx="732">
                  <c:v>-5.1446867673048402E-3</c:v>
                </c:pt>
                <c:pt idx="733">
                  <c:v>-4.283209231503271E-3</c:v>
                </c:pt>
                <c:pt idx="734">
                  <c:v>-3.4153827188045938E-3</c:v>
                </c:pt>
                <c:pt idx="735">
                  <c:v>-2.5412119920620313E-3</c:v>
                </c:pt>
                <c:pt idx="736">
                  <c:v>-1.6607019751058161E-3</c:v>
                </c:pt>
                <c:pt idx="737">
                  <c:v>-7.7385775272897916E-4</c:v>
                </c:pt>
                <c:pt idx="738">
                  <c:v>1.1931542930465611E-4</c:v>
                </c:pt>
                <c:pt idx="739">
                  <c:v>1.0188121642622505E-3</c:v>
                </c:pt>
                <c:pt idx="740">
                  <c:v>1.9246268844428371E-3</c:v>
                </c:pt>
                <c:pt idx="741">
                  <c:v>2.8367538611782095E-3</c:v>
                </c:pt>
                <c:pt idx="742">
                  <c:v>3.7551872048329216E-3</c:v>
                </c:pt>
                <c:pt idx="743">
                  <c:v>4.6799208647989587E-3</c:v>
                </c:pt>
                <c:pt idx="744">
                  <c:v>5.6109486295046196E-3</c:v>
                </c:pt>
                <c:pt idx="745">
                  <c:v>6.5482641264091868E-3</c:v>
                </c:pt>
                <c:pt idx="746">
                  <c:v>7.4918608220002625E-3</c:v>
                </c:pt>
                <c:pt idx="747">
                  <c:v>8.4417320218026504E-3</c:v>
                </c:pt>
                <c:pt idx="748">
                  <c:v>9.397870870366809E-3</c:v>
                </c:pt>
                <c:pt idx="749">
                  <c:v>1.0360270351276846E-2</c:v>
                </c:pt>
                <c:pt idx="750">
                  <c:v>1.1328923287150516E-2</c:v>
                </c:pt>
                <c:pt idx="751">
                  <c:v>1.2303822339637449E-2</c:v>
                </c:pt>
                <c:pt idx="752">
                  <c:v>1.3284960009417368E-2</c:v>
                </c:pt>
                <c:pt idx="753">
                  <c:v>1.4272328636200982E-2</c:v>
                </c:pt>
                <c:pt idx="754">
                  <c:v>1.5265920398733535E-2</c:v>
                </c:pt>
                <c:pt idx="755">
                  <c:v>1.6265727314784151E-2</c:v>
                </c:pt>
                <c:pt idx="756">
                  <c:v>1.7271741241168925E-2</c:v>
                </c:pt>
                <c:pt idx="757">
                  <c:v>1.8283953873721615E-2</c:v>
                </c:pt>
                <c:pt idx="758">
                  <c:v>1.9302356747308735E-2</c:v>
                </c:pt>
                <c:pt idx="759">
                  <c:v>2.0326941235838447E-2</c:v>
                </c:pt>
                <c:pt idx="760">
                  <c:v>2.1357698552241011E-2</c:v>
                </c:pt>
                <c:pt idx="761">
                  <c:v>2.239461974848389E-2</c:v>
                </c:pt>
                <c:pt idx="762">
                  <c:v>2.3437695715561091E-2</c:v>
                </c:pt>
                <c:pt idx="763">
                  <c:v>2.4486917183502044E-2</c:v>
                </c:pt>
                <c:pt idx="764">
                  <c:v>2.5542274721368052E-2</c:v>
                </c:pt>
                <c:pt idx="765">
                  <c:v>2.660375873725318E-2</c:v>
                </c:pt>
                <c:pt idx="766">
                  <c:v>2.7671359478276258E-2</c:v>
                </c:pt>
                <c:pt idx="767">
                  <c:v>2.8745067030595095E-2</c:v>
                </c:pt>
                <c:pt idx="768">
                  <c:v>2.9824871319399371E-2</c:v>
                </c:pt>
                <c:pt idx="769">
                  <c:v>3.0910762108904422E-2</c:v>
                </c:pt>
                <c:pt idx="770">
                  <c:v>3.2002729002362784E-2</c:v>
                </c:pt>
                <c:pt idx="771">
                  <c:v>3.3100761442053539E-2</c:v>
                </c:pt>
                <c:pt idx="772">
                  <c:v>3.4204848709292968E-2</c:v>
                </c:pt>
                <c:pt idx="773">
                  <c:v>3.5314979924430112E-2</c:v>
                </c:pt>
                <c:pt idx="774">
                  <c:v>3.6431144046835229E-2</c:v>
                </c:pt>
                <c:pt idx="775">
                  <c:v>3.7553329874920216E-2</c:v>
                </c:pt>
                <c:pt idx="776">
                  <c:v>3.8681526046128845E-2</c:v>
                </c:pt>
                <c:pt idx="777">
                  <c:v>3.9815721036927876E-2</c:v>
                </c:pt>
                <c:pt idx="778">
                  <c:v>4.0955903162825713E-2</c:v>
                </c:pt>
                <c:pt idx="779">
                  <c:v>4.2102060578355527E-2</c:v>
                </c:pt>
                <c:pt idx="780">
                  <c:v>4.3254181277087689E-2</c:v>
                </c:pt>
                <c:pt idx="781">
                  <c:v>4.4412253091617337E-2</c:v>
                </c:pt>
                <c:pt idx="782">
                  <c:v>4.5576263693579477E-2</c:v>
                </c:pt>
                <c:pt idx="783">
                  <c:v>4.674620059363388E-2</c:v>
                </c:pt>
                <c:pt idx="784">
                  <c:v>4.7922051141473965E-2</c:v>
                </c:pt>
                <c:pt idx="785">
                  <c:v>4.9103802525829465E-2</c:v>
                </c:pt>
                <c:pt idx="786">
                  <c:v>5.0291441774454881E-2</c:v>
                </c:pt>
                <c:pt idx="787">
                  <c:v>5.1484955754136585E-2</c:v>
                </c:pt>
                <c:pt idx="788">
                  <c:v>5.2684331170705256E-2</c:v>
                </c:pt>
                <c:pt idx="789">
                  <c:v>5.3889554569002129E-2</c:v>
                </c:pt>
                <c:pt idx="790">
                  <c:v>5.5100612332919852E-2</c:v>
                </c:pt>
                <c:pt idx="791">
                  <c:v>5.6317490685370508E-2</c:v>
                </c:pt>
                <c:pt idx="792">
                  <c:v>5.7540175688304274E-2</c:v>
                </c:pt>
                <c:pt idx="793">
                  <c:v>5.8768653242696089E-2</c:v>
                </c:pt>
                <c:pt idx="794">
                  <c:v>6.0002909088561651E-2</c:v>
                </c:pt>
                <c:pt idx="795">
                  <c:v>6.1242928804943197E-2</c:v>
                </c:pt>
                <c:pt idx="796">
                  <c:v>6.2488697809913951E-2</c:v>
                </c:pt>
                <c:pt idx="797">
                  <c:v>6.3740201360579007E-2</c:v>
                </c:pt>
                <c:pt idx="798">
                  <c:v>6.4997424553076222E-2</c:v>
                </c:pt>
                <c:pt idx="799">
                  <c:v>6.6260352322577987E-2</c:v>
                </c:pt>
                <c:pt idx="800">
                  <c:v>6.7528969443285014E-2</c:v>
                </c:pt>
                <c:pt idx="801">
                  <c:v>6.8803260528429888E-2</c:v>
                </c:pt>
                <c:pt idx="802">
                  <c:v>7.0083210030277066E-2</c:v>
                </c:pt>
                <c:pt idx="803">
                  <c:v>7.1368802240121987E-2</c:v>
                </c:pt>
                <c:pt idx="804">
                  <c:v>7.2660021288291077E-2</c:v>
                </c:pt>
                <c:pt idx="805">
                  <c:v>7.3956851144150626E-2</c:v>
                </c:pt>
                <c:pt idx="806">
                  <c:v>7.5259275616085475E-2</c:v>
                </c:pt>
                <c:pt idx="807">
                  <c:v>7.6567278351521217E-2</c:v>
                </c:pt>
                <c:pt idx="808">
                  <c:v>7.7880842836911768E-2</c:v>
                </c:pt>
                <c:pt idx="809">
                  <c:v>7.9199952397747353E-2</c:v>
                </c:pt>
                <c:pt idx="810">
                  <c:v>8.0524590198540302E-2</c:v>
                </c:pt>
                <c:pt idx="811">
                  <c:v>8.1854739242847252E-2</c:v>
                </c:pt>
                <c:pt idx="812">
                  <c:v>8.31903823732425E-2</c:v>
                </c:pt>
                <c:pt idx="813">
                  <c:v>8.4531502271342873E-2</c:v>
                </c:pt>
                <c:pt idx="814">
                  <c:v>8.587808145779352E-2</c:v>
                </c:pt>
                <c:pt idx="815">
                  <c:v>8.7230102292272349E-2</c:v>
                </c:pt>
                <c:pt idx="816">
                  <c:v>8.8587546973485587E-2</c:v>
                </c:pt>
                <c:pt idx="817">
                  <c:v>8.9950397539173998E-2</c:v>
                </c:pt>
                <c:pt idx="818">
                  <c:v>9.131863586611022E-2</c:v>
                </c:pt>
                <c:pt idx="819">
                  <c:v>9.2692243670093433E-2</c:v>
                </c:pt>
                <c:pt idx="820">
                  <c:v>9.4071202505967122E-2</c:v>
                </c:pt>
                <c:pt idx="821">
                  <c:v>9.545549376759066E-2</c:v>
                </c:pt>
                <c:pt idx="822">
                  <c:v>9.6845098687862397E-2</c:v>
                </c:pt>
                <c:pt idx="823">
                  <c:v>9.8239998338717882E-2</c:v>
                </c:pt>
                <c:pt idx="824">
                  <c:v>9.9640173631115658E-2</c:v>
                </c:pt>
                <c:pt idx="825">
                  <c:v>0.10104560531505324</c:v>
                </c:pt>
                <c:pt idx="826">
                  <c:v>0.10245627397954937</c:v>
                </c:pt>
                <c:pt idx="827">
                  <c:v>0.10387216005266442</c:v>
                </c:pt>
                <c:pt idx="828">
                  <c:v>0.10529324380148619</c:v>
                </c:pt>
                <c:pt idx="829">
                  <c:v>0.10671950533213703</c:v>
                </c:pt>
                <c:pt idx="830">
                  <c:v>0.10815092458976672</c:v>
                </c:pt>
                <c:pt idx="831">
                  <c:v>0.10958748135856133</c:v>
                </c:pt>
                <c:pt idx="832">
                  <c:v>0.11102915526173707</c:v>
                </c:pt>
                <c:pt idx="833">
                  <c:v>0.11247592576153398</c:v>
                </c:pt>
                <c:pt idx="834">
                  <c:v>0.1139277721592391</c:v>
                </c:pt>
                <c:pt idx="835">
                  <c:v>0.11538467359516069</c:v>
                </c:pt>
                <c:pt idx="836">
                  <c:v>0.11684660904863886</c:v>
                </c:pt>
                <c:pt idx="837">
                  <c:v>0.11831355733804738</c:v>
                </c:pt>
                <c:pt idx="838">
                  <c:v>0.11978549712079278</c:v>
                </c:pt>
                <c:pt idx="839">
                  <c:v>0.12126240689331702</c:v>
                </c:pt>
                <c:pt idx="840">
                  <c:v>0.12274426499108326</c:v>
                </c:pt>
                <c:pt idx="841">
                  <c:v>0.1242310495885901</c:v>
                </c:pt>
                <c:pt idx="842">
                  <c:v>0.12572273869937511</c:v>
                </c:pt>
                <c:pt idx="843">
                  <c:v>0.12721931017600419</c:v>
                </c:pt>
                <c:pt idx="844">
                  <c:v>0.1287207417100662</c:v>
                </c:pt>
                <c:pt idx="845">
                  <c:v>0.13022701083219346</c:v>
                </c:pt>
                <c:pt idx="846">
                  <c:v>0.1317380949120448</c:v>
                </c:pt>
                <c:pt idx="847">
                  <c:v>0.13325397115830917</c:v>
                </c:pt>
                <c:pt idx="848">
                  <c:v>0.13477461661870738</c:v>
                </c:pt>
                <c:pt idx="849">
                  <c:v>0.1363000081800001</c:v>
                </c:pt>
                <c:pt idx="850">
                  <c:v>0.13783012256796567</c:v>
                </c:pt>
                <c:pt idx="851">
                  <c:v>0.13936493634742853</c:v>
                </c:pt>
                <c:pt idx="852">
                  <c:v>0.14090442592223429</c:v>
                </c:pt>
                <c:pt idx="853">
                  <c:v>0.14244856753526403</c:v>
                </c:pt>
                <c:pt idx="854">
                  <c:v>0.14399733726842889</c:v>
                </c:pt>
                <c:pt idx="855">
                  <c:v>0.14555071104267725</c:v>
                </c:pt>
                <c:pt idx="856">
                  <c:v>0.14710866461798222</c:v>
                </c:pt>
                <c:pt idx="857">
                  <c:v>0.14867117359335413</c:v>
                </c:pt>
                <c:pt idx="858">
                  <c:v>0.15023821340682986</c:v>
                </c:pt>
                <c:pt idx="859">
                  <c:v>0.15180975933547991</c:v>
                </c:pt>
                <c:pt idx="860">
                  <c:v>0.15338578649541024</c:v>
                </c:pt>
                <c:pt idx="861">
                  <c:v>0.1549662698417551</c:v>
                </c:pt>
                <c:pt idx="862">
                  <c:v>0.15655118416867708</c:v>
                </c:pt>
                <c:pt idx="863">
                  <c:v>0.15814050410937774</c:v>
                </c:pt>
                <c:pt idx="864">
                  <c:v>0.15973420413608519</c:v>
                </c:pt>
                <c:pt idx="865">
                  <c:v>0.16133225856005939</c:v>
                </c:pt>
                <c:pt idx="866">
                  <c:v>0.16293464153159931</c:v>
                </c:pt>
                <c:pt idx="867">
                  <c:v>0.16454132704002156</c:v>
                </c:pt>
                <c:pt idx="868">
                  <c:v>0.16615228891368528</c:v>
                </c:pt>
                <c:pt idx="869">
                  <c:v>0.16776750081998149</c:v>
                </c:pt>
                <c:pt idx="870">
                  <c:v>0.16938693626532775</c:v>
                </c:pt>
                <c:pt idx="871">
                  <c:v>0.17101056859517527</c:v>
                </c:pt>
                <c:pt idx="872">
                  <c:v>0.17263837099400714</c:v>
                </c:pt>
                <c:pt idx="873">
                  <c:v>0.17427031648534008</c:v>
                </c:pt>
                <c:pt idx="874">
                  <c:v>0.1759063779317156</c:v>
                </c:pt>
                <c:pt idx="875">
                  <c:v>0.17754652803472037</c:v>
                </c:pt>
                <c:pt idx="876">
                  <c:v>0.17919073933495877</c:v>
                </c:pt>
                <c:pt idx="877">
                  <c:v>0.18083898421207145</c:v>
                </c:pt>
                <c:pt idx="878">
                  <c:v>0.18249123488473451</c:v>
                </c:pt>
                <c:pt idx="879">
                  <c:v>0.18414746341064703</c:v>
                </c:pt>
                <c:pt idx="880">
                  <c:v>0.18580764168655772</c:v>
                </c:pt>
                <c:pt idx="881">
                  <c:v>0.18747174144822409</c:v>
                </c:pt>
                <c:pt idx="882">
                  <c:v>0.18913973427044795</c:v>
                </c:pt>
                <c:pt idx="883">
                  <c:v>0.19081159156706473</c:v>
                </c:pt>
                <c:pt idx="884">
                  <c:v>0.19248728459093822</c:v>
                </c:pt>
                <c:pt idx="885">
                  <c:v>0.19416678443396052</c:v>
                </c:pt>
                <c:pt idx="886">
                  <c:v>0.19585006202705912</c:v>
                </c:pt>
                <c:pt idx="887">
                  <c:v>0.19753708814019166</c:v>
                </c:pt>
                <c:pt idx="888">
                  <c:v>0.19922783338235117</c:v>
                </c:pt>
                <c:pt idx="889">
                  <c:v>0.20092226820155901</c:v>
                </c:pt>
                <c:pt idx="890">
                  <c:v>0.20262036288486485</c:v>
                </c:pt>
                <c:pt idx="891">
                  <c:v>0.20432208755835735</c:v>
                </c:pt>
                <c:pt idx="892">
                  <c:v>0.20602741218715703</c:v>
                </c:pt>
                <c:pt idx="893">
                  <c:v>0.20773630657540387</c:v>
                </c:pt>
                <c:pt idx="894">
                  <c:v>0.20944874036628569</c:v>
                </c:pt>
                <c:pt idx="895">
                  <c:v>0.21116468304200975</c:v>
                </c:pt>
                <c:pt idx="896">
                  <c:v>0.21288410392382406</c:v>
                </c:pt>
                <c:pt idx="897">
                  <c:v>0.2146069721720032</c:v>
                </c:pt>
                <c:pt idx="898">
                  <c:v>0.2163332567858518</c:v>
                </c:pt>
                <c:pt idx="899">
                  <c:v>0.21806292660370818</c:v>
                </c:pt>
                <c:pt idx="900">
                  <c:v>0.21979595030294785</c:v>
                </c:pt>
                <c:pt idx="901">
                  <c:v>0.22153229639996752</c:v>
                </c:pt>
                <c:pt idx="902">
                  <c:v>0.22327193325020644</c:v>
                </c:pt>
                <c:pt idx="903">
                  <c:v>0.22501482904812509</c:v>
                </c:pt>
                <c:pt idx="904">
                  <c:v>0.22676095182722289</c:v>
                </c:pt>
                <c:pt idx="905">
                  <c:v>0.22851026946002762</c:v>
                </c:pt>
                <c:pt idx="906">
                  <c:v>0.230262749658106</c:v>
                </c:pt>
                <c:pt idx="907">
                  <c:v>0.23201835997204245</c:v>
                </c:pt>
                <c:pt idx="908">
                  <c:v>0.23377706779146568</c:v>
                </c:pt>
                <c:pt idx="909">
                  <c:v>0.23553884034502914</c:v>
                </c:pt>
                <c:pt idx="910">
                  <c:v>0.23730364470041998</c:v>
                </c:pt>
                <c:pt idx="911">
                  <c:v>0.23907144776436251</c:v>
                </c:pt>
                <c:pt idx="912">
                  <c:v>0.24084221628260227</c:v>
                </c:pt>
                <c:pt idx="913">
                  <c:v>0.24261591683992023</c:v>
                </c:pt>
                <c:pt idx="914">
                  <c:v>0.2443925158601381</c:v>
                </c:pt>
                <c:pt idx="915">
                  <c:v>0.24617197960609527</c:v>
                </c:pt>
                <c:pt idx="916">
                  <c:v>0.24795427417967364</c:v>
                </c:pt>
                <c:pt idx="917">
                  <c:v>0.24973936552177811</c:v>
                </c:pt>
                <c:pt idx="918">
                  <c:v>0.25152721941235434</c:v>
                </c:pt>
                <c:pt idx="919">
                  <c:v>0.2533178014703692</c:v>
                </c:pt>
                <c:pt idx="920">
                  <c:v>0.25511107715383385</c:v>
                </c:pt>
                <c:pt idx="921">
                  <c:v>0.25690701175978248</c:v>
                </c:pt>
                <c:pt idx="922">
                  <c:v>0.25870557042427578</c:v>
                </c:pt>
                <c:pt idx="923">
                  <c:v>0.2605067181224241</c:v>
                </c:pt>
                <c:pt idx="924">
                  <c:v>0.26231041966834923</c:v>
                </c:pt>
                <c:pt idx="925">
                  <c:v>0.26411663971522081</c:v>
                </c:pt>
                <c:pt idx="926">
                  <c:v>0.26592534275523061</c:v>
                </c:pt>
                <c:pt idx="927">
                  <c:v>0.26773649311960757</c:v>
                </c:pt>
                <c:pt idx="928">
                  <c:v>0.2695500549786054</c:v>
                </c:pt>
                <c:pt idx="929">
                  <c:v>0.27136599234151326</c:v>
                </c:pt>
                <c:pt idx="930">
                  <c:v>0.27318426905665394</c:v>
                </c:pt>
                <c:pt idx="931">
                  <c:v>0.27500484881138743</c:v>
                </c:pt>
                <c:pt idx="932">
                  <c:v>0.2768276951320896</c:v>
                </c:pt>
                <c:pt idx="933">
                  <c:v>0.27865277138417888</c:v>
                </c:pt>
                <c:pt idx="934">
                  <c:v>0.28048004077210198</c:v>
                </c:pt>
                <c:pt idx="935">
                  <c:v>0.28230946633934284</c:v>
                </c:pt>
                <c:pt idx="936">
                  <c:v>0.28414101096841016</c:v>
                </c:pt>
                <c:pt idx="937">
                  <c:v>0.28597463738084983</c:v>
                </c:pt>
                <c:pt idx="938">
                  <c:v>0.28781030813723429</c:v>
                </c:pt>
                <c:pt idx="939">
                  <c:v>0.28964798563716698</c:v>
                </c:pt>
                <c:pt idx="940">
                  <c:v>0.29148763211929207</c:v>
                </c:pt>
                <c:pt idx="941">
                  <c:v>0.29332920966127585</c:v>
                </c:pt>
                <c:pt idx="942">
                  <c:v>0.29517268017982357</c:v>
                </c:pt>
                <c:pt idx="943">
                  <c:v>0.29701800543066526</c:v>
                </c:pt>
                <c:pt idx="944">
                  <c:v>0.29886514700856459</c:v>
                </c:pt>
                <c:pt idx="945">
                  <c:v>0.30071406634732423</c:v>
                </c:pt>
                <c:pt idx="946">
                  <c:v>0.30256472471976625</c:v>
                </c:pt>
                <c:pt idx="947">
                  <c:v>0.30441708323775352</c:v>
                </c:pt>
                <c:pt idx="948">
                  <c:v>0.30627110285218073</c:v>
                </c:pt>
                <c:pt idx="949">
                  <c:v>0.30812674435296383</c:v>
                </c:pt>
                <c:pt idx="950">
                  <c:v>0.30998396836906306</c:v>
                </c:pt>
                <c:pt idx="951">
                  <c:v>0.31184273536846874</c:v>
                </c:pt>
                <c:pt idx="952">
                  <c:v>0.31370300565819242</c:v>
                </c:pt>
                <c:pt idx="953">
                  <c:v>0.3155647393842882</c:v>
                </c:pt>
                <c:pt idx="954">
                  <c:v>0.31742789653183578</c:v>
                </c:pt>
                <c:pt idx="955">
                  <c:v>0.31929243692495213</c:v>
                </c:pt>
                <c:pt idx="956">
                  <c:v>0.32115832022677626</c:v>
                </c:pt>
                <c:pt idx="957">
                  <c:v>0.32302550593949508</c:v>
                </c:pt>
                <c:pt idx="958">
                  <c:v>0.3248939534043096</c:v>
                </c:pt>
                <c:pt idx="959">
                  <c:v>0.32676362180145802</c:v>
                </c:pt>
                <c:pt idx="960">
                  <c:v>0.3286344701502264</c:v>
                </c:pt>
                <c:pt idx="961">
                  <c:v>0.33050645730890427</c:v>
                </c:pt>
                <c:pt idx="962">
                  <c:v>0.332379541974829</c:v>
                </c:pt>
                <c:pt idx="963">
                  <c:v>0.33425368268437339</c:v>
                </c:pt>
                <c:pt idx="964">
                  <c:v>0.33612883781293501</c:v>
                </c:pt>
                <c:pt idx="965">
                  <c:v>0.33800496557493798</c:v>
                </c:pt>
                <c:pt idx="966">
                  <c:v>0.33988202402385603</c:v>
                </c:pt>
                <c:pt idx="967">
                  <c:v>0.34175997105217171</c:v>
                </c:pt>
                <c:pt idx="968">
                  <c:v>0.34363876439141716</c:v>
                </c:pt>
                <c:pt idx="969">
                  <c:v>0.34551836161214755</c:v>
                </c:pt>
                <c:pt idx="970">
                  <c:v>0.34739872012395168</c:v>
                </c:pt>
                <c:pt idx="971">
                  <c:v>0.34927979717545909</c:v>
                </c:pt>
                <c:pt idx="972">
                  <c:v>0.35116154985430281</c:v>
                </c:pt>
                <c:pt idx="973">
                  <c:v>0.35304393508718324</c:v>
                </c:pt>
                <c:pt idx="974">
                  <c:v>0.35492690963981488</c:v>
                </c:pt>
                <c:pt idx="975">
                  <c:v>0.3568104301169388</c:v>
                </c:pt>
                <c:pt idx="976">
                  <c:v>0.35869445296233149</c:v>
                </c:pt>
                <c:pt idx="977">
                  <c:v>0.36057893445881373</c:v>
                </c:pt>
                <c:pt idx="978">
                  <c:v>0.36246383072822574</c:v>
                </c:pt>
                <c:pt idx="979">
                  <c:v>0.36434909773143964</c:v>
                </c:pt>
                <c:pt idx="980">
                  <c:v>0.36623469126835762</c:v>
                </c:pt>
                <c:pt idx="981">
                  <c:v>0.36812056697792261</c:v>
                </c:pt>
                <c:pt idx="982">
                  <c:v>0.37000668033810413</c:v>
                </c:pt>
                <c:pt idx="983">
                  <c:v>0.37189298666590531</c:v>
                </c:pt>
                <c:pt idx="984">
                  <c:v>0.37377944111734518</c:v>
                </c:pt>
                <c:pt idx="985">
                  <c:v>0.37566599868750483</c:v>
                </c:pt>
                <c:pt idx="986">
                  <c:v>0.37755261421047059</c:v>
                </c:pt>
                <c:pt idx="987">
                  <c:v>0.37943924235937843</c:v>
                </c:pt>
                <c:pt idx="988">
                  <c:v>0.3813258376463784</c:v>
                </c:pt>
                <c:pt idx="989">
                  <c:v>0.38321235442266488</c:v>
                </c:pt>
                <c:pt idx="990">
                  <c:v>0.3850987468784659</c:v>
                </c:pt>
                <c:pt idx="991">
                  <c:v>0.3869849690430307</c:v>
                </c:pt>
                <c:pt idx="992">
                  <c:v>0.38887097478464394</c:v>
                </c:pt>
                <c:pt idx="993">
                  <c:v>0.39075671781063281</c:v>
                </c:pt>
                <c:pt idx="994">
                  <c:v>0.39264215166733329</c:v>
                </c:pt>
                <c:pt idx="995">
                  <c:v>0.39452722974014343</c:v>
                </c:pt>
                <c:pt idx="996">
                  <c:v>0.39641190525346115</c:v>
                </c:pt>
                <c:pt idx="997">
                  <c:v>0.39829613127073582</c:v>
                </c:pt>
                <c:pt idx="998">
                  <c:v>0.40017986069444689</c:v>
                </c:pt>
                <c:pt idx="999">
                  <c:v>0.40206304626610212</c:v>
                </c:pt>
                <c:pt idx="1000">
                  <c:v>0.40394564056624116</c:v>
                </c:pt>
                <c:pt idx="1001">
                  <c:v>0.40582759601442753</c:v>
                </c:pt>
                <c:pt idx="1002">
                  <c:v>0.40770886486927971</c:v>
                </c:pt>
                <c:pt idx="1003">
                  <c:v>0.40958939922842053</c:v>
                </c:pt>
                <c:pt idx="1004">
                  <c:v>0.41146915102851711</c:v>
                </c:pt>
                <c:pt idx="1005">
                  <c:v>0.4133480720452738</c:v>
                </c:pt>
                <c:pt idx="1006">
                  <c:v>0.41522611389341435</c:v>
                </c:pt>
                <c:pt idx="1007">
                  <c:v>0.41710322802670152</c:v>
                </c:pt>
                <c:pt idx="1008">
                  <c:v>0.41897936573793881</c:v>
                </c:pt>
                <c:pt idx="1009">
                  <c:v>0.42085447815893673</c:v>
                </c:pt>
                <c:pt idx="1010">
                  <c:v>0.42272851626055896</c:v>
                </c:pt>
                <c:pt idx="1011">
                  <c:v>0.42460143085270108</c:v>
                </c:pt>
                <c:pt idx="1012">
                  <c:v>0.4264731725842692</c:v>
                </c:pt>
                <c:pt idx="1013">
                  <c:v>0.42834369194322264</c:v>
                </c:pt>
                <c:pt idx="1014">
                  <c:v>0.43021293925654192</c:v>
                </c:pt>
                <c:pt idx="1015">
                  <c:v>0.43208086469024476</c:v>
                </c:pt>
                <c:pt idx="1016">
                  <c:v>0.43394741824937011</c:v>
                </c:pt>
                <c:pt idx="1017">
                  <c:v>0.43581254977801187</c:v>
                </c:pt>
                <c:pt idx="1018">
                  <c:v>0.43767620895927273</c:v>
                </c:pt>
                <c:pt idx="1019">
                  <c:v>0.43953834531529612</c:v>
                </c:pt>
                <c:pt idx="1020">
                  <c:v>0.44139890820724492</c:v>
                </c:pt>
                <c:pt idx="1021">
                  <c:v>0.44325784683534053</c:v>
                </c:pt>
                <c:pt idx="1022">
                  <c:v>0.44511511023880956</c:v>
                </c:pt>
                <c:pt idx="1023">
                  <c:v>0.44697064729592295</c:v>
                </c:pt>
                <c:pt idx="1024">
                  <c:v>0.44882440672398882</c:v>
                </c:pt>
                <c:pt idx="1025">
                  <c:v>0.45067633707932764</c:v>
                </c:pt>
                <c:pt idx="1026">
                  <c:v>0.45252638675730594</c:v>
                </c:pt>
                <c:pt idx="1027">
                  <c:v>0.45437450399232748</c:v>
                </c:pt>
                <c:pt idx="1028">
                  <c:v>0.45622063685780478</c:v>
                </c:pt>
                <c:pt idx="1029">
                  <c:v>0.45806473326621244</c:v>
                </c:pt>
                <c:pt idx="1030">
                  <c:v>0.45990674096903206</c:v>
                </c:pt>
                <c:pt idx="1031">
                  <c:v>0.46174660755678509</c:v>
                </c:pt>
                <c:pt idx="1032">
                  <c:v>0.46358428045903377</c:v>
                </c:pt>
                <c:pt idx="1033">
                  <c:v>0.46541970694435353</c:v>
                </c:pt>
                <c:pt idx="1034">
                  <c:v>0.46725283412037122</c:v>
                </c:pt>
                <c:pt idx="1035">
                  <c:v>0.46908360893372247</c:v>
                </c:pt>
                <c:pt idx="1036">
                  <c:v>0.47091197817010677</c:v>
                </c:pt>
                <c:pt idx="1037">
                  <c:v>0.47273788845421816</c:v>
                </c:pt>
                <c:pt idx="1038">
                  <c:v>0.47456128624981631</c:v>
                </c:pt>
                <c:pt idx="1039">
                  <c:v>0.47638211785966611</c:v>
                </c:pt>
                <c:pt idx="1040">
                  <c:v>0.478200329425575</c:v>
                </c:pt>
                <c:pt idx="1041">
                  <c:v>0.48001586692839471</c:v>
                </c:pt>
                <c:pt idx="1042">
                  <c:v>0.48182867618798042</c:v>
                </c:pt>
                <c:pt idx="1043">
                  <c:v>0.48363870286324229</c:v>
                </c:pt>
                <c:pt idx="1044">
                  <c:v>0.48544589245212233</c:v>
                </c:pt>
                <c:pt idx="1045">
                  <c:v>0.4872501902915678</c:v>
                </c:pt>
                <c:pt idx="1046">
                  <c:v>0.48905154155758979</c:v>
                </c:pt>
                <c:pt idx="1047">
                  <c:v>0.49084989126521705</c:v>
                </c:pt>
                <c:pt idx="1048">
                  <c:v>0.49264518426850223</c:v>
                </c:pt>
                <c:pt idx="1049">
                  <c:v>0.49443736526055471</c:v>
                </c:pt>
                <c:pt idx="1050">
                  <c:v>0.49622637877348463</c:v>
                </c:pt>
                <c:pt idx="1051">
                  <c:v>0.49801216917844293</c:v>
                </c:pt>
                <c:pt idx="1052">
                  <c:v>0.49979468068563371</c:v>
                </c:pt>
                <c:pt idx="1053">
                  <c:v>0.50157385734426629</c:v>
                </c:pt>
                <c:pt idx="1054">
                  <c:v>0.50334964304259966</c:v>
                </c:pt>
                <c:pt idx="1055">
                  <c:v>0.50512198150790866</c:v>
                </c:pt>
                <c:pt idx="1056">
                  <c:v>0.50689081630650712</c:v>
                </c:pt>
                <c:pt idx="1057">
                  <c:v>0.50865609084375141</c:v>
                </c:pt>
                <c:pt idx="1058">
                  <c:v>0.51041774836401199</c:v>
                </c:pt>
                <c:pt idx="1059">
                  <c:v>0.51217573195069832</c:v>
                </c:pt>
                <c:pt idx="1060">
                  <c:v>0.51392998452625704</c:v>
                </c:pt>
                <c:pt idx="1061">
                  <c:v>0.5156804488521507</c:v>
                </c:pt>
                <c:pt idx="1062">
                  <c:v>0.517427067528895</c:v>
                </c:pt>
                <c:pt idx="1063">
                  <c:v>0.51916978299602157</c:v>
                </c:pt>
                <c:pt idx="1064">
                  <c:v>0.52090853753210098</c:v>
                </c:pt>
                <c:pt idx="1065">
                  <c:v>0.52264327325472504</c:v>
                </c:pt>
                <c:pt idx="1066">
                  <c:v>0.52437393212053873</c:v>
                </c:pt>
                <c:pt idx="1067">
                  <c:v>0.52610045592519583</c:v>
                </c:pt>
                <c:pt idx="1068">
                  <c:v>0.52782278630339441</c:v>
                </c:pt>
                <c:pt idx="1069">
                  <c:v>0.52954086472885908</c:v>
                </c:pt>
                <c:pt idx="1070">
                  <c:v>0.53125463251434812</c:v>
                </c:pt>
                <c:pt idx="1071">
                  <c:v>0.53296403081165167</c:v>
                </c:pt>
                <c:pt idx="1072">
                  <c:v>0.53466900061159173</c:v>
                </c:pt>
                <c:pt idx="1073">
                  <c:v>0.53636948274402751</c:v>
                </c:pt>
                <c:pt idx="1074">
                  <c:v>0.53806541787783413</c:v>
                </c:pt>
                <c:pt idx="1075">
                  <c:v>0.53975674652093808</c:v>
                </c:pt>
                <c:pt idx="1076">
                  <c:v>0.54144340902027999</c:v>
                </c:pt>
                <c:pt idx="1077">
                  <c:v>0.54312534556184122</c:v>
                </c:pt>
                <c:pt idx="1078">
                  <c:v>0.54480249617063325</c:v>
                </c:pt>
                <c:pt idx="1079">
                  <c:v>0.54647480071070831</c:v>
                </c:pt>
                <c:pt idx="1080">
                  <c:v>0.54814219888512916</c:v>
                </c:pt>
                <c:pt idx="1081">
                  <c:v>0.54980463023601001</c:v>
                </c:pt>
                <c:pt idx="1082">
                  <c:v>0.55146203414449158</c:v>
                </c:pt>
                <c:pt idx="1083">
                  <c:v>0.55311434983073582</c:v>
                </c:pt>
                <c:pt idx="1084">
                  <c:v>0.55476151635395077</c:v>
                </c:pt>
                <c:pt idx="1085">
                  <c:v>0.55640347261236744</c:v>
                </c:pt>
                <c:pt idx="1086">
                  <c:v>0.55804015734325052</c:v>
                </c:pt>
                <c:pt idx="1087">
                  <c:v>0.55967150912290542</c:v>
                </c:pt>
                <c:pt idx="1088">
                  <c:v>0.56129746636664812</c:v>
                </c:pt>
                <c:pt idx="1089">
                  <c:v>0.56291796732884958</c:v>
                </c:pt>
                <c:pt idx="1090">
                  <c:v>0.56453295010289484</c:v>
                </c:pt>
                <c:pt idx="1091">
                  <c:v>0.56614235262121326</c:v>
                </c:pt>
                <c:pt idx="1092">
                  <c:v>0.56774611265525721</c:v>
                </c:pt>
                <c:pt idx="1093">
                  <c:v>0.569344167815518</c:v>
                </c:pt>
                <c:pt idx="1094">
                  <c:v>0.5709364555514993</c:v>
                </c:pt>
                <c:pt idx="1095">
                  <c:v>0.57252291315177217</c:v>
                </c:pt>
                <c:pt idx="1096">
                  <c:v>0.57410347774391113</c:v>
                </c:pt>
                <c:pt idx="1097">
                  <c:v>0.57567808629453143</c:v>
                </c:pt>
                <c:pt idx="1098">
                  <c:v>0.5772466756092749</c:v>
                </c:pt>
                <c:pt idx="1099">
                  <c:v>0.57880918233281342</c:v>
                </c:pt>
                <c:pt idx="1100">
                  <c:v>0.58036554294887566</c:v>
                </c:pt>
                <c:pt idx="1101">
                  <c:v>0.58191569378017771</c:v>
                </c:pt>
                <c:pt idx="1102">
                  <c:v>0.5834595709885102</c:v>
                </c:pt>
                <c:pt idx="1103">
                  <c:v>0.58499711057467074</c:v>
                </c:pt>
                <c:pt idx="1104">
                  <c:v>0.58652824837849593</c:v>
                </c:pt>
                <c:pt idx="1105">
                  <c:v>0.58805292007885601</c:v>
                </c:pt>
                <c:pt idx="1106">
                  <c:v>0.58957106119364067</c:v>
                </c:pt>
                <c:pt idx="1107">
                  <c:v>0.59108260707979277</c:v>
                </c:pt>
                <c:pt idx="1108">
                  <c:v>0.59258749293326751</c:v>
                </c:pt>
                <c:pt idx="1109">
                  <c:v>0.59408565378906797</c:v>
                </c:pt>
                <c:pt idx="1110">
                  <c:v>0.59557702452120775</c:v>
                </c:pt>
                <c:pt idx="1111">
                  <c:v>0.59706153984275012</c:v>
                </c:pt>
                <c:pt idx="1112">
                  <c:v>0.59853913430578842</c:v>
                </c:pt>
                <c:pt idx="1113">
                  <c:v>0.60000974230143367</c:v>
                </c:pt>
                <c:pt idx="1114">
                  <c:v>0.60147329805985361</c:v>
                </c:pt>
                <c:pt idx="1115">
                  <c:v>0.6029297356502159</c:v>
                </c:pt>
                <c:pt idx="1116">
                  <c:v>0.60437898898074671</c:v>
                </c:pt>
                <c:pt idx="1117">
                  <c:v>0.6058209917986952</c:v>
                </c:pt>
                <c:pt idx="1118">
                  <c:v>0.60725567769033884</c:v>
                </c:pt>
                <c:pt idx="1119">
                  <c:v>0.60868298008098165</c:v>
                </c:pt>
                <c:pt idx="1120">
                  <c:v>0.61010283223498263</c:v>
                </c:pt>
                <c:pt idx="1121">
                  <c:v>0.61151516725570065</c:v>
                </c:pt>
                <c:pt idx="1122">
                  <c:v>0.61291991808554602</c:v>
                </c:pt>
                <c:pt idx="1123">
                  <c:v>0.61431701750595735</c:v>
                </c:pt>
                <c:pt idx="1124">
                  <c:v>0.61570639813740868</c:v>
                </c:pt>
                <c:pt idx="1125">
                  <c:v>0.6170879924394006</c:v>
                </c:pt>
                <c:pt idx="1126">
                  <c:v>0.61846173271046201</c:v>
                </c:pt>
                <c:pt idx="1127">
                  <c:v>0.61982755108816168</c:v>
                </c:pt>
                <c:pt idx="1128">
                  <c:v>0.62118537954908959</c:v>
                </c:pt>
                <c:pt idx="1129">
                  <c:v>0.62253514990888092</c:v>
                </c:pt>
                <c:pt idx="1130">
                  <c:v>0.6238767938221903</c:v>
                </c:pt>
                <c:pt idx="1131">
                  <c:v>0.62521024278272019</c:v>
                </c:pt>
                <c:pt idx="1132">
                  <c:v>0.62653542812318186</c:v>
                </c:pt>
                <c:pt idx="1133">
                  <c:v>0.62785228101532375</c:v>
                </c:pt>
                <c:pt idx="1134">
                  <c:v>0.62916073246995285</c:v>
                </c:pt>
                <c:pt idx="1135">
                  <c:v>0.63046071333687426</c:v>
                </c:pt>
                <c:pt idx="1136">
                  <c:v>0.63175215430494447</c:v>
                </c:pt>
                <c:pt idx="1137">
                  <c:v>0.63303498590203944</c:v>
                </c:pt>
                <c:pt idx="1138">
                  <c:v>0.63430913849507231</c:v>
                </c:pt>
                <c:pt idx="1139">
                  <c:v>0.63557454228999699</c:v>
                </c:pt>
                <c:pt idx="1140">
                  <c:v>0.63683112733177616</c:v>
                </c:pt>
                <c:pt idx="1141">
                  <c:v>0.63807882350443101</c:v>
                </c:pt>
                <c:pt idx="1142">
                  <c:v>0.63931756053099509</c:v>
                </c:pt>
                <c:pt idx="1143">
                  <c:v>0.64054726797354267</c:v>
                </c:pt>
                <c:pt idx="1144">
                  <c:v>0.64176787523317813</c:v>
                </c:pt>
                <c:pt idx="1145">
                  <c:v>0.64297931155003241</c:v>
                </c:pt>
                <c:pt idx="1146">
                  <c:v>0.64418150600328072</c:v>
                </c:pt>
                <c:pt idx="1147">
                  <c:v>0.64537438751111065</c:v>
                </c:pt>
                <c:pt idx="1148">
                  <c:v>0.6465578848307576</c:v>
                </c:pt>
                <c:pt idx="1149">
                  <c:v>0.6477319265584871</c:v>
                </c:pt>
                <c:pt idx="1150">
                  <c:v>0.64889644112958411</c:v>
                </c:pt>
                <c:pt idx="1151">
                  <c:v>0.650051356818385</c:v>
                </c:pt>
                <c:pt idx="1152">
                  <c:v>0.65119660173823846</c:v>
                </c:pt>
                <c:pt idx="1153">
                  <c:v>0.65233210384154816</c:v>
                </c:pt>
                <c:pt idx="1154">
                  <c:v>0.65345779091970524</c:v>
                </c:pt>
                <c:pt idx="1155">
                  <c:v>0.65457359060319487</c:v>
                </c:pt>
                <c:pt idx="1156">
                  <c:v>0.65567943036147547</c:v>
                </c:pt>
                <c:pt idx="1157">
                  <c:v>0.65677523750307465</c:v>
                </c:pt>
                <c:pt idx="1158">
                  <c:v>0.65786093917553945</c:v>
                </c:pt>
                <c:pt idx="1159">
                  <c:v>0.65893646236544345</c:v>
                </c:pt>
                <c:pt idx="1160">
                  <c:v>0.66000173389841166</c:v>
                </c:pt>
                <c:pt idx="1161">
                  <c:v>0.66105668043906363</c:v>
                </c:pt>
                <c:pt idx="1162">
                  <c:v>0.66210122849109165</c:v>
                </c:pt>
                <c:pt idx="1163">
                  <c:v>0.66313530439718615</c:v>
                </c:pt>
                <c:pt idx="1164">
                  <c:v>0.66415883433910672</c:v>
                </c:pt>
                <c:pt idx="1165">
                  <c:v>0.66517174433759685</c:v>
                </c:pt>
                <c:pt idx="1166">
                  <c:v>0.66617396025247988</c:v>
                </c:pt>
                <c:pt idx="1167">
                  <c:v>0.66716540778257372</c:v>
                </c:pt>
                <c:pt idx="1168">
                  <c:v>0.66814601246574767</c:v>
                </c:pt>
                <c:pt idx="1169">
                  <c:v>0.66911569967889761</c:v>
                </c:pt>
                <c:pt idx="1170">
                  <c:v>0.67007439463794949</c:v>
                </c:pt>
                <c:pt idx="1171">
                  <c:v>0.6710220223978558</c:v>
                </c:pt>
                <c:pt idx="1172">
                  <c:v>0.67195850785262401</c:v>
                </c:pt>
                <c:pt idx="1173">
                  <c:v>0.67288377573526681</c:v>
                </c:pt>
                <c:pt idx="1174">
                  <c:v>0.67379775061784475</c:v>
                </c:pt>
                <c:pt idx="1175">
                  <c:v>0.67470035691143071</c:v>
                </c:pt>
                <c:pt idx="1176">
                  <c:v>0.67559151886615254</c:v>
                </c:pt>
                <c:pt idx="1177">
                  <c:v>0.67647116057116108</c:v>
                </c:pt>
                <c:pt idx="1178">
                  <c:v>0.6773392059546266</c:v>
                </c:pt>
                <c:pt idx="1179">
                  <c:v>0.67819557878377434</c:v>
                </c:pt>
                <c:pt idx="1180">
                  <c:v>0.67904020266484189</c:v>
                </c:pt>
                <c:pt idx="1181">
                  <c:v>0.679873001043104</c:v>
                </c:pt>
                <c:pt idx="1182">
                  <c:v>0.68069389720287976</c:v>
                </c:pt>
                <c:pt idx="1183">
                  <c:v>0.68150281426749348</c:v>
                </c:pt>
                <c:pt idx="1184">
                  <c:v>0.6822996751993351</c:v>
                </c:pt>
                <c:pt idx="1185">
                  <c:v>0.68308440279978555</c:v>
                </c:pt>
                <c:pt idx="1186">
                  <c:v>0.68385691970929141</c:v>
                </c:pt>
                <c:pt idx="1187">
                  <c:v>0.68461714840731869</c:v>
                </c:pt>
                <c:pt idx="1188">
                  <c:v>0.68536501121236348</c:v>
                </c:pt>
                <c:pt idx="1189">
                  <c:v>0.68610043028195555</c:v>
                </c:pt>
                <c:pt idx="1190">
                  <c:v>0.68682332761266185</c:v>
                </c:pt>
                <c:pt idx="1191">
                  <c:v>0.68753362504006521</c:v>
                </c:pt>
                <c:pt idx="1192">
                  <c:v>0.68823124423879989</c:v>
                </c:pt>
                <c:pt idx="1193">
                  <c:v>0.68891610672251957</c:v>
                </c:pt>
                <c:pt idx="1194">
                  <c:v>0.68958813384390805</c:v>
                </c:pt>
                <c:pt idx="1195">
                  <c:v>0.6902472467946863</c:v>
                </c:pt>
                <c:pt idx="1196">
                  <c:v>0.69089336660561251</c:v>
                </c:pt>
                <c:pt idx="1197">
                  <c:v>0.69152641414646432</c:v>
                </c:pt>
                <c:pt idx="1198">
                  <c:v>0.69214631012604944</c:v>
                </c:pt>
                <c:pt idx="1199">
                  <c:v>0.69275297509223766</c:v>
                </c:pt>
                <c:pt idx="1200">
                  <c:v>0.69334632943188268</c:v>
                </c:pt>
                <c:pt idx="1201">
                  <c:v>0.69392629337090739</c:v>
                </c:pt>
                <c:pt idx="1202">
                  <c:v>0.69449278697424344</c:v>
                </c:pt>
                <c:pt idx="1203">
                  <c:v>0.695045730145881</c:v>
                </c:pt>
                <c:pt idx="1204">
                  <c:v>0.69558504262881815</c:v>
                </c:pt>
                <c:pt idx="1205">
                  <c:v>0.6961106440050866</c:v>
                </c:pt>
                <c:pt idx="1206">
                  <c:v>0.69662245369574904</c:v>
                </c:pt>
                <c:pt idx="1207">
                  <c:v>0.69712039096091605</c:v>
                </c:pt>
                <c:pt idx="1208">
                  <c:v>0.69760437489973182</c:v>
                </c:pt>
                <c:pt idx="1209">
                  <c:v>0.69807432445033157</c:v>
                </c:pt>
                <c:pt idx="1210">
                  <c:v>0.69853015838993393</c:v>
                </c:pt>
                <c:pt idx="1211">
                  <c:v>0.69897179533474496</c:v>
                </c:pt>
                <c:pt idx="1212">
                  <c:v>0.69939915374003281</c:v>
                </c:pt>
                <c:pt idx="1213">
                  <c:v>0.69981215190010637</c:v>
                </c:pt>
                <c:pt idx="1214">
                  <c:v>0.70021070794826201</c:v>
                </c:pt>
                <c:pt idx="1215">
                  <c:v>0.70059473985686527</c:v>
                </c:pt>
                <c:pt idx="1216">
                  <c:v>0.70096416543729401</c:v>
                </c:pt>
                <c:pt idx="1217">
                  <c:v>0.70131890233998107</c:v>
                </c:pt>
                <c:pt idx="1218">
                  <c:v>0.70165886805435029</c:v>
                </c:pt>
                <c:pt idx="1219">
                  <c:v>0.70198397990889827</c:v>
                </c:pt>
                <c:pt idx="1220">
                  <c:v>0.70229415507114457</c:v>
                </c:pt>
                <c:pt idx="1221">
                  <c:v>0.70258931054761309</c:v>
                </c:pt>
                <c:pt idx="1222">
                  <c:v>0.70286936318389692</c:v>
                </c:pt>
                <c:pt idx="1223">
                  <c:v>0.70313422966459171</c:v>
                </c:pt>
                <c:pt idx="1224">
                  <c:v>0.70338382651335163</c:v>
                </c:pt>
                <c:pt idx="1225">
                  <c:v>0.70361807009282185</c:v>
                </c:pt>
                <c:pt idx="1226">
                  <c:v>0.70383687660473448</c:v>
                </c:pt>
                <c:pt idx="1227">
                  <c:v>0.70404016208980202</c:v>
                </c:pt>
                <c:pt idx="1228">
                  <c:v>0.70422784242779191</c:v>
                </c:pt>
                <c:pt idx="1229">
                  <c:v>0.70439983333751233</c:v>
                </c:pt>
                <c:pt idx="1230">
                  <c:v>0.70455605037678382</c:v>
                </c:pt>
                <c:pt idx="1231">
                  <c:v>0.70469640894248187</c:v>
                </c:pt>
                <c:pt idx="1232">
                  <c:v>0.70482082427046944</c:v>
                </c:pt>
                <c:pt idx="1233">
                  <c:v>0.70492921143569998</c:v>
                </c:pt>
                <c:pt idx="1234">
                  <c:v>0.70502148535211795</c:v>
                </c:pt>
                <c:pt idx="1235">
                  <c:v>0.70509756077270858</c:v>
                </c:pt>
                <c:pt idx="1236">
                  <c:v>0.70515735228949072</c:v>
                </c:pt>
                <c:pt idx="1237">
                  <c:v>0.70520077433351691</c:v>
                </c:pt>
                <c:pt idx="1238">
                  <c:v>0.7052277411748733</c:v>
                </c:pt>
                <c:pt idx="1239">
                  <c:v>0.70523816692267971</c:v>
                </c:pt>
                <c:pt idx="1240">
                  <c:v>0.70523196552506828</c:v>
                </c:pt>
                <c:pt idx="1241">
                  <c:v>0.70520905076922258</c:v>
                </c:pt>
                <c:pt idx="1242">
                  <c:v>0.70516933628134915</c:v>
                </c:pt>
                <c:pt idx="1243">
                  <c:v>0.70511273552669174</c:v>
                </c:pt>
                <c:pt idx="1244">
                  <c:v>0.7050391618095313</c:v>
                </c:pt>
                <c:pt idx="1245">
                  <c:v>0.70494852827315757</c:v>
                </c:pt>
                <c:pt idx="1246">
                  <c:v>0.70484074789992235</c:v>
                </c:pt>
                <c:pt idx="1247">
                  <c:v>0.70471573351117911</c:v>
                </c:pt>
                <c:pt idx="1248">
                  <c:v>0.70457339776733985</c:v>
                </c:pt>
                <c:pt idx="1249">
                  <c:v>0.70441365316781823</c:v>
                </c:pt>
                <c:pt idx="1250">
                  <c:v>0.7042364120510971</c:v>
                </c:pt>
                <c:pt idx="1251">
                  <c:v>0.70404158659465654</c:v>
                </c:pt>
                <c:pt idx="1252">
                  <c:v>0.70382908881502804</c:v>
                </c:pt>
                <c:pt idx="1253">
                  <c:v>0.70359883056778116</c:v>
                </c:pt>
                <c:pt idx="1254">
                  <c:v>0.70335072354748362</c:v>
                </c:pt>
                <c:pt idx="1255">
                  <c:v>0.70308467928777585</c:v>
                </c:pt>
                <c:pt idx="1256">
                  <c:v>0.70280060916129994</c:v>
                </c:pt>
                <c:pt idx="1257">
                  <c:v>0.70249842437974941</c:v>
                </c:pt>
                <c:pt idx="1258">
                  <c:v>0.702178035993823</c:v>
                </c:pt>
                <c:pt idx="1259">
                  <c:v>0.70183935489329219</c:v>
                </c:pt>
                <c:pt idx="1260">
                  <c:v>0.70148229180692656</c:v>
                </c:pt>
                <c:pt idx="1261">
                  <c:v>0.70110675730252936</c:v>
                </c:pt>
                <c:pt idx="1262">
                  <c:v>0.70071266178695879</c:v>
                </c:pt>
                <c:pt idx="1263">
                  <c:v>0.70029991550608184</c:v>
                </c:pt>
                <c:pt idx="1264">
                  <c:v>0.6998684285448098</c:v>
                </c:pt>
                <c:pt idx="1265">
                  <c:v>0.69941811082706629</c:v>
                </c:pt>
                <c:pt idx="1266">
                  <c:v>0.69894887211583701</c:v>
                </c:pt>
                <c:pt idx="1267">
                  <c:v>0.69846062201311643</c:v>
                </c:pt>
                <c:pt idx="1268">
                  <c:v>0.69795326995994689</c:v>
                </c:pt>
                <c:pt idx="1269">
                  <c:v>0.69742672523639015</c:v>
                </c:pt>
                <c:pt idx="1270">
                  <c:v>0.69688089696152744</c:v>
                </c:pt>
                <c:pt idx="1271">
                  <c:v>0.69631569409351624</c:v>
                </c:pt>
                <c:pt idx="1272">
                  <c:v>0.69573102542948373</c:v>
                </c:pt>
                <c:pt idx="1273">
                  <c:v>0.69512679960565826</c:v>
                </c:pt>
                <c:pt idx="1274">
                  <c:v>0.69450292509722722</c:v>
                </c:pt>
                <c:pt idx="1275">
                  <c:v>0.69385931021846492</c:v>
                </c:pt>
                <c:pt idx="1276">
                  <c:v>0.69319586312265447</c:v>
                </c:pt>
                <c:pt idx="1277">
                  <c:v>0.69251249180211971</c:v>
                </c:pt>
                <c:pt idx="1278">
                  <c:v>0.6918091040882075</c:v>
                </c:pt>
                <c:pt idx="1279">
                  <c:v>0.691085607651309</c:v>
                </c:pt>
                <c:pt idx="1280">
                  <c:v>0.69034191000082057</c:v>
                </c:pt>
                <c:pt idx="1281">
                  <c:v>0.68957791848518912</c:v>
                </c:pt>
                <c:pt idx="1282">
                  <c:v>0.68879354029190587</c:v>
                </c:pt>
                <c:pt idx="1283">
                  <c:v>0.68798868244746458</c:v>
                </c:pt>
                <c:pt idx="1284">
                  <c:v>0.687163251817414</c:v>
                </c:pt>
                <c:pt idx="1285">
                  <c:v>0.68631715510634006</c:v>
                </c:pt>
                <c:pt idx="1286">
                  <c:v>0.68545029885781972</c:v>
                </c:pt>
                <c:pt idx="1287">
                  <c:v>0.68456258945450266</c:v>
                </c:pt>
                <c:pt idx="1288">
                  <c:v>0.68365393311806155</c:v>
                </c:pt>
                <c:pt idx="1289">
                  <c:v>0.68272423590918851</c:v>
                </c:pt>
                <c:pt idx="1290">
                  <c:v>0.68177340372760575</c:v>
                </c:pt>
                <c:pt idx="1291">
                  <c:v>0.68080134231208689</c:v>
                </c:pt>
                <c:pt idx="1292">
                  <c:v>0.67980795724042498</c:v>
                </c:pt>
                <c:pt idx="1293">
                  <c:v>0.67879315392943962</c:v>
                </c:pt>
                <c:pt idx="1294">
                  <c:v>0.67775683763500183</c:v>
                </c:pt>
                <c:pt idx="1295">
                  <c:v>0.67669891345197719</c:v>
                </c:pt>
                <c:pt idx="1296">
                  <c:v>0.67561928631431467</c:v>
                </c:pt>
                <c:pt idx="1297">
                  <c:v>0.67451786099494715</c:v>
                </c:pt>
                <c:pt idx="1298">
                  <c:v>0.67339454210585803</c:v>
                </c:pt>
                <c:pt idx="1299">
                  <c:v>0.67224923409808213</c:v>
                </c:pt>
                <c:pt idx="1300">
                  <c:v>0.67108184126165327</c:v>
                </c:pt>
                <c:pt idx="1301">
                  <c:v>0.66989226772564248</c:v>
                </c:pt>
                <c:pt idx="1302">
                  <c:v>0.66868041745818285</c:v>
                </c:pt>
                <c:pt idx="1303">
                  <c:v>0.66744619426640206</c:v>
                </c:pt>
                <c:pt idx="1304">
                  <c:v>0.66618950179646497</c:v>
                </c:pt>
                <c:pt idx="1305">
                  <c:v>0.66491024353360562</c:v>
                </c:pt>
                <c:pt idx="1306">
                  <c:v>0.66360832280203841</c:v>
                </c:pt>
                <c:pt idx="1307">
                  <c:v>0.66228364276503982</c:v>
                </c:pt>
                <c:pt idx="1308">
                  <c:v>0.66093610642492351</c:v>
                </c:pt>
                <c:pt idx="1309">
                  <c:v>0.65956561662299062</c:v>
                </c:pt>
                <c:pt idx="1310">
                  <c:v>0.6581720760396399</c:v>
                </c:pt>
                <c:pt idx="1311">
                  <c:v>0.65675538719425042</c:v>
                </c:pt>
                <c:pt idx="1312">
                  <c:v>0.65531545244524914</c:v>
                </c:pt>
                <c:pt idx="1313">
                  <c:v>0.65385217399010731</c:v>
                </c:pt>
                <c:pt idx="1314">
                  <c:v>0.65236545386529432</c:v>
                </c:pt>
                <c:pt idx="1315">
                  <c:v>0.65085519394636293</c:v>
                </c:pt>
                <c:pt idx="1316">
                  <c:v>0.64932129594783916</c:v>
                </c:pt>
                <c:pt idx="1317">
                  <c:v>0.64776366142332531</c:v>
                </c:pt>
                <c:pt idx="1318">
                  <c:v>0.64618219176543956</c:v>
                </c:pt>
                <c:pt idx="1319">
                  <c:v>0.6445767882058302</c:v>
                </c:pt>
                <c:pt idx="1320">
                  <c:v>0.64294735181517559</c:v>
                </c:pt>
                <c:pt idx="1321">
                  <c:v>0.64129378350318778</c:v>
                </c:pt>
                <c:pt idx="1322">
                  <c:v>0.63961598401862307</c:v>
                </c:pt>
                <c:pt idx="1323">
                  <c:v>0.63791385394923594</c:v>
                </c:pt>
                <c:pt idx="1324">
                  <c:v>0.63618729372185712</c:v>
                </c:pt>
                <c:pt idx="1325">
                  <c:v>0.63443620360230835</c:v>
                </c:pt>
                <c:pt idx="1326">
                  <c:v>0.63266048369547701</c:v>
                </c:pt>
                <c:pt idx="1327">
                  <c:v>0.63086003394525569</c:v>
                </c:pt>
                <c:pt idx="1328">
                  <c:v>0.62903475413459198</c:v>
                </c:pt>
                <c:pt idx="1329">
                  <c:v>0.6271845438854351</c:v>
                </c:pt>
                <c:pt idx="1330">
                  <c:v>0.62530930265878926</c:v>
                </c:pt>
                <c:pt idx="1331">
                  <c:v>0.62340892975469586</c:v>
                </c:pt>
                <c:pt idx="1332">
                  <c:v>0.6214833243122051</c:v>
                </c:pt>
                <c:pt idx="1333">
                  <c:v>0.61953238530941146</c:v>
                </c:pt>
                <c:pt idx="1334">
                  <c:v>0.61755601156345374</c:v>
                </c:pt>
                <c:pt idx="1335">
                  <c:v>0.61555410173046177</c:v>
                </c:pt>
                <c:pt idx="1336">
                  <c:v>0.61352655430564162</c:v>
                </c:pt>
                <c:pt idx="1337">
                  <c:v>0.61147326762321885</c:v>
                </c:pt>
                <c:pt idx="1338">
                  <c:v>0.60939413985643487</c:v>
                </c:pt>
                <c:pt idx="1339">
                  <c:v>0.6072890690175754</c:v>
                </c:pt>
                <c:pt idx="1340">
                  <c:v>0.60515795295795982</c:v>
                </c:pt>
                <c:pt idx="1341">
                  <c:v>0.60300068936792339</c:v>
                </c:pt>
                <c:pt idx="1342">
                  <c:v>0.60081717577686344</c:v>
                </c:pt>
                <c:pt idx="1343">
                  <c:v>0.59860730955318608</c:v>
                </c:pt>
                <c:pt idx="1344">
                  <c:v>0.59637098790431331</c:v>
                </c:pt>
                <c:pt idx="1345">
                  <c:v>0.59410810787673629</c:v>
                </c:pt>
                <c:pt idx="1346">
                  <c:v>0.59181856635596208</c:v>
                </c:pt>
                <c:pt idx="1347">
                  <c:v>0.58950226006651718</c:v>
                </c:pt>
                <c:pt idx="1348">
                  <c:v>0.58715908557197594</c:v>
                </c:pt>
                <c:pt idx="1349">
                  <c:v>0.5847889392749428</c:v>
                </c:pt>
                <c:pt idx="1350">
                  <c:v>0.58239171741705587</c:v>
                </c:pt>
                <c:pt idx="1351">
                  <c:v>0.57996731607896557</c:v>
                </c:pt>
                <c:pt idx="1352">
                  <c:v>0.57751563118035953</c:v>
                </c:pt>
                <c:pt idx="1353">
                  <c:v>0.57503655847998747</c:v>
                </c:pt>
                <c:pt idx="1354">
                  <c:v>0.5725299935755972</c:v>
                </c:pt>
                <c:pt idx="1355">
                  <c:v>0.5699958319039844</c:v>
                </c:pt>
                <c:pt idx="1356">
                  <c:v>0.56743396874096419</c:v>
                </c:pt>
                <c:pt idx="1357">
                  <c:v>0.56484429920138535</c:v>
                </c:pt>
                <c:pt idx="1358">
                  <c:v>0.5622267182391516</c:v>
                </c:pt>
                <c:pt idx="1359">
                  <c:v>0.55958112064716481</c:v>
                </c:pt>
                <c:pt idx="1360">
                  <c:v>0.55690740105739245</c:v>
                </c:pt>
                <c:pt idx="1361">
                  <c:v>0.55420545394079657</c:v>
                </c:pt>
                <c:pt idx="1362">
                  <c:v>0.55147517360739418</c:v>
                </c:pt>
                <c:pt idx="1363">
                  <c:v>0.54871645420623594</c:v>
                </c:pt>
                <c:pt idx="1364">
                  <c:v>0.54592918972539195</c:v>
                </c:pt>
                <c:pt idx="1365">
                  <c:v>0.54311327399197662</c:v>
                </c:pt>
                <c:pt idx="1366">
                  <c:v>0.54026860067212024</c:v>
                </c:pt>
                <c:pt idx="1367">
                  <c:v>0.53739506327099029</c:v>
                </c:pt>
                <c:pt idx="1368">
                  <c:v>0.53449255513280569</c:v>
                </c:pt>
                <c:pt idx="1369">
                  <c:v>0.53156096944079056</c:v>
                </c:pt>
                <c:pt idx="1370">
                  <c:v>0.5286001992172169</c:v>
                </c:pt>
                <c:pt idx="1371">
                  <c:v>0.52561013732337258</c:v>
                </c:pt>
                <c:pt idx="1372">
                  <c:v>0.52259067645958979</c:v>
                </c:pt>
                <c:pt idx="1373">
                  <c:v>0.51954170916524145</c:v>
                </c:pt>
                <c:pt idx="1374">
                  <c:v>0.51646312781870929</c:v>
                </c:pt>
                <c:pt idx="1375">
                  <c:v>0.51335482463741844</c:v>
                </c:pt>
                <c:pt idx="1376">
                  <c:v>0.51021669167782591</c:v>
                </c:pt>
                <c:pt idx="1377">
                  <c:v>0.50704862083541968</c:v>
                </c:pt>
                <c:pt idx="1378">
                  <c:v>0.50385050384472319</c:v>
                </c:pt>
                <c:pt idx="1379">
                  <c:v>0.50062223227928992</c:v>
                </c:pt>
                <c:pt idx="1380">
                  <c:v>0.49736369755169285</c:v>
                </c:pt>
                <c:pt idx="1381">
                  <c:v>0.49407479091354212</c:v>
                </c:pt>
                <c:pt idx="1382">
                  <c:v>0.49075540345550284</c:v>
                </c:pt>
                <c:pt idx="1383">
                  <c:v>0.48740542610724891</c:v>
                </c:pt>
                <c:pt idx="1384">
                  <c:v>0.48402474963748432</c:v>
                </c:pt>
                <c:pt idx="1385">
                  <c:v>0.48061326465394671</c:v>
                </c:pt>
                <c:pt idx="1386">
                  <c:v>0.47717086160341093</c:v>
                </c:pt>
                <c:pt idx="1387">
                  <c:v>0.47369743077169257</c:v>
                </c:pt>
                <c:pt idx="1388">
                  <c:v>0.47019286228361246</c:v>
                </c:pt>
                <c:pt idx="1389">
                  <c:v>0.46665704610305347</c:v>
                </c:pt>
                <c:pt idx="1390">
                  <c:v>0.46308987203291796</c:v>
                </c:pt>
                <c:pt idx="1391">
                  <c:v>0.45949122971510992</c:v>
                </c:pt>
                <c:pt idx="1392">
                  <c:v>0.45586100863060963</c:v>
                </c:pt>
                <c:pt idx="1393">
                  <c:v>0.45219909809942749</c:v>
                </c:pt>
                <c:pt idx="1394">
                  <c:v>0.44850538728058265</c:v>
                </c:pt>
                <c:pt idx="1395">
                  <c:v>0.4447797651721066</c:v>
                </c:pt>
                <c:pt idx="1396">
                  <c:v>0.44102212061112844</c:v>
                </c:pt>
                <c:pt idx="1397">
                  <c:v>0.43723234227373986</c:v>
                </c:pt>
                <c:pt idx="1398">
                  <c:v>0.43341031867511237</c:v>
                </c:pt>
                <c:pt idx="1399">
                  <c:v>0.42955593816942628</c:v>
                </c:pt>
                <c:pt idx="1400">
                  <c:v>0.42566908894989197</c:v>
                </c:pt>
                <c:pt idx="1401">
                  <c:v>0.42174965904876771</c:v>
                </c:pt>
                <c:pt idx="1402">
                  <c:v>0.41779753633733119</c:v>
                </c:pt>
                <c:pt idx="1403">
                  <c:v>0.41381260852588664</c:v>
                </c:pt>
                <c:pt idx="1404">
                  <c:v>0.40979476316377905</c:v>
                </c:pt>
                <c:pt idx="1405">
                  <c:v>0.40574388763939773</c:v>
                </c:pt>
                <c:pt idx="1406">
                  <c:v>0.40165986918014784</c:v>
                </c:pt>
                <c:pt idx="1407">
                  <c:v>0.39754259485244692</c:v>
                </c:pt>
                <c:pt idx="1408">
                  <c:v>0.39339195156178519</c:v>
                </c:pt>
                <c:pt idx="1409">
                  <c:v>0.38920782605264748</c:v>
                </c:pt>
                <c:pt idx="1410">
                  <c:v>0.38499010490858065</c:v>
                </c:pt>
                <c:pt idx="1411">
                  <c:v>0.3807386745521617</c:v>
                </c:pt>
                <c:pt idx="1412">
                  <c:v>0.37645342124496928</c:v>
                </c:pt>
                <c:pt idx="1413">
                  <c:v>0.37213423108764054</c:v>
                </c:pt>
                <c:pt idx="1414">
                  <c:v>0.36778099001982145</c:v>
                </c:pt>
                <c:pt idx="1415">
                  <c:v>0.36339358382022713</c:v>
                </c:pt>
                <c:pt idx="1416">
                  <c:v>0.35897189810656371</c:v>
                </c:pt>
                <c:pt idx="1417">
                  <c:v>0.35451581833558876</c:v>
                </c:pt>
                <c:pt idx="1418">
                  <c:v>0.35002522980309703</c:v>
                </c:pt>
                <c:pt idx="1419">
                  <c:v>0.34550001764391691</c:v>
                </c:pt>
                <c:pt idx="1420">
                  <c:v>0.34094006683187139</c:v>
                </c:pt>
                <c:pt idx="1421">
                  <c:v>0.33634526217986327</c:v>
                </c:pt>
                <c:pt idx="1422">
                  <c:v>0.33171548833979703</c:v>
                </c:pt>
                <c:pt idx="1423">
                  <c:v>0.32705062980262856</c:v>
                </c:pt>
                <c:pt idx="1424">
                  <c:v>0.32235057089833319</c:v>
                </c:pt>
                <c:pt idx="1425">
                  <c:v>0.31761519579590924</c:v>
                </c:pt>
                <c:pt idx="1426">
                  <c:v>0.31284438850341711</c:v>
                </c:pt>
                <c:pt idx="1427">
                  <c:v>0.30803803286790465</c:v>
                </c:pt>
                <c:pt idx="1428">
                  <c:v>0.30319601257549955</c:v>
                </c:pt>
                <c:pt idx="1429">
                  <c:v>0.29831821115131696</c:v>
                </c:pt>
                <c:pt idx="1430">
                  <c:v>0.29340451195953765</c:v>
                </c:pt>
                <c:pt idx="1431">
                  <c:v>0.28845479820336184</c:v>
                </c:pt>
                <c:pt idx="1432">
                  <c:v>0.28346895292500562</c:v>
                </c:pt>
                <c:pt idx="1433">
                  <c:v>0.27844685900574362</c:v>
                </c:pt>
                <c:pt idx="1434">
                  <c:v>0.27338839916589119</c:v>
                </c:pt>
                <c:pt idx="1435">
                  <c:v>0.26829345596472987</c:v>
                </c:pt>
                <c:pt idx="1436">
                  <c:v>0.2631619118006423</c:v>
                </c:pt>
                <c:pt idx="1437">
                  <c:v>0.25799364891104126</c:v>
                </c:pt>
                <c:pt idx="1438">
                  <c:v>0.25278854937229145</c:v>
                </c:pt>
                <c:pt idx="1439">
                  <c:v>0.24754649509988713</c:v>
                </c:pt>
                <c:pt idx="1440">
                  <c:v>0.2422673678483136</c:v>
                </c:pt>
                <c:pt idx="1441">
                  <c:v>0.23695104921106136</c:v>
                </c:pt>
                <c:pt idx="1442">
                  <c:v>0.23159742062070432</c:v>
                </c:pt>
                <c:pt idx="1443">
                  <c:v>0.22620636334880739</c:v>
                </c:pt>
                <c:pt idx="1444">
                  <c:v>0.2207777585059798</c:v>
                </c:pt>
                <c:pt idx="1445">
                  <c:v>0.21531148704187508</c:v>
                </c:pt>
                <c:pt idx="1446">
                  <c:v>0.2098074297451662</c:v>
                </c:pt>
                <c:pt idx="1447">
                  <c:v>0.204265467243542</c:v>
                </c:pt>
                <c:pt idx="1448">
                  <c:v>0.19868548000377828</c:v>
                </c:pt>
                <c:pt idx="1449">
                  <c:v>0.19306734833159922</c:v>
                </c:pt>
                <c:pt idx="1450">
                  <c:v>0.18741095237184435</c:v>
                </c:pt>
                <c:pt idx="1451">
                  <c:v>0.18171617210833713</c:v>
                </c:pt>
                <c:pt idx="1452">
                  <c:v>0.17598288736391243</c:v>
                </c:pt>
                <c:pt idx="1453">
                  <c:v>0.17021097780050898</c:v>
                </c:pt>
                <c:pt idx="1454">
                  <c:v>0.16440032291903695</c:v>
                </c:pt>
                <c:pt idx="1455">
                  <c:v>0.15855080205944905</c:v>
                </c:pt>
                <c:pt idx="1456">
                  <c:v>0.15266229440074408</c:v>
                </c:pt>
                <c:pt idx="1457">
                  <c:v>0.14673467896095271</c:v>
                </c:pt>
                <c:pt idx="1458">
                  <c:v>0.14076783459711972</c:v>
                </c:pt>
                <c:pt idx="1459">
                  <c:v>0.13476164000534308</c:v>
                </c:pt>
                <c:pt idx="1460">
                  <c:v>0.12871597372073129</c:v>
                </c:pt>
                <c:pt idx="1461">
                  <c:v>0.12263071411742121</c:v>
                </c:pt>
                <c:pt idx="1462">
                  <c:v>0.11650573940863129</c:v>
                </c:pt>
                <c:pt idx="1463">
                  <c:v>0.11034092764653725</c:v>
                </c:pt>
                <c:pt idx="1464">
                  <c:v>0.1041361567223964</c:v>
                </c:pt>
                <c:pt idx="1465">
                  <c:v>9.7891304366508614E-2</c:v>
                </c:pt>
                <c:pt idx="1466">
                  <c:v>9.1606248148152325E-2</c:v>
                </c:pt>
                <c:pt idx="1467">
                  <c:v>8.5280865475680478E-2</c:v>
                </c:pt>
                <c:pt idx="1468">
                  <c:v>7.891503359646368E-2</c:v>
                </c:pt>
                <c:pt idx="1469">
                  <c:v>7.2508629596907959E-2</c:v>
                </c:pt>
                <c:pt idx="1470">
                  <c:v>6.6061530402451218E-2</c:v>
                </c:pt>
                <c:pt idx="1471">
                  <c:v>5.9573612777549023E-2</c:v>
                </c:pt>
                <c:pt idx="1472">
                  <c:v>5.304475332570302E-2</c:v>
                </c:pt>
                <c:pt idx="1473">
                  <c:v>4.6474828489450282E-2</c:v>
                </c:pt>
                <c:pt idx="1474">
                  <c:v>3.9863714550352647E-2</c:v>
                </c:pt>
                <c:pt idx="1475">
                  <c:v>3.3211287629010933E-2</c:v>
                </c:pt>
                <c:pt idx="1476">
                  <c:v>2.6517423685029406E-2</c:v>
                </c:pt>
                <c:pt idx="1477">
                  <c:v>1.9781998517079735E-2</c:v>
                </c:pt>
                <c:pt idx="1478">
                  <c:v>1.3004887762851247E-2</c:v>
                </c:pt>
                <c:pt idx="1479">
                  <c:v>6.185966899050932E-3</c:v>
                </c:pt>
                <c:pt idx="1480">
                  <c:v>-6.7488875854326835E-4</c:v>
                </c:pt>
                <c:pt idx="1481">
                  <c:v>-7.5778040551712778E-3</c:v>
                </c:pt>
                <c:pt idx="1482">
                  <c:v>-1.4522903997009173E-2</c:v>
                </c:pt>
                <c:pt idx="1483">
                  <c:v>-2.1510313751211818E-2</c:v>
                </c:pt>
                <c:pt idx="1484">
                  <c:v>-2.8540158645887992E-2</c:v>
                </c:pt>
                <c:pt idx="1485">
                  <c:v>-3.5612564170143024E-2</c:v>
                </c:pt>
                <c:pt idx="1486">
                  <c:v>-4.2727655974025502E-2</c:v>
                </c:pt>
                <c:pt idx="1487">
                  <c:v>-4.9885559868562801E-2</c:v>
                </c:pt>
                <c:pt idx="1488">
                  <c:v>-5.7086401825757527E-2</c:v>
                </c:pt>
                <c:pt idx="1489">
                  <c:v>-6.4330307978551993E-2</c:v>
                </c:pt>
                <c:pt idx="1490">
                  <c:v>-7.1617404620902825E-2</c:v>
                </c:pt>
                <c:pt idx="1491">
                  <c:v>-7.8947818207681486E-2</c:v>
                </c:pt>
                <c:pt idx="1492">
                  <c:v>-8.6321675354791516E-2</c:v>
                </c:pt>
                <c:pt idx="1493">
                  <c:v>-9.3739102839026422E-2</c:v>
                </c:pt>
                <c:pt idx="1494">
                  <c:v>-0.10120022759821534</c:v>
                </c:pt>
                <c:pt idx="1495">
                  <c:v>-0.10870517673113067</c:v>
                </c:pt>
                <c:pt idx="1496">
                  <c:v>-0.11625407749749872</c:v>
                </c:pt>
                <c:pt idx="1497">
                  <c:v>-0.12384705731805656</c:v>
                </c:pt>
                <c:pt idx="1498">
                  <c:v>-0.1314842437744419</c:v>
                </c:pt>
                <c:pt idx="1499">
                  <c:v>-0.13916576460934937</c:v>
                </c:pt>
                <c:pt idx="1500">
                  <c:v>-0.14689174772633518</c:v>
                </c:pt>
                <c:pt idx="1501">
                  <c:v>-0.15466232119001777</c:v>
                </c:pt>
                <c:pt idx="1502">
                  <c:v>-0.16247761322595355</c:v>
                </c:pt>
                <c:pt idx="1503">
                  <c:v>-0.1703377522206333</c:v>
                </c:pt>
                <c:pt idx="1504">
                  <c:v>-0.17824286672156919</c:v>
                </c:pt>
                <c:pt idx="1505">
                  <c:v>-0.18619308543719892</c:v>
                </c:pt>
                <c:pt idx="1506">
                  <c:v>-0.19418853723696383</c:v>
                </c:pt>
                <c:pt idx="1507">
                  <c:v>-0.20222935115124141</c:v>
                </c:pt>
                <c:pt idx="1508">
                  <c:v>-0.21031565637139504</c:v>
                </c:pt>
                <c:pt idx="1509">
                  <c:v>-0.21844758224977046</c:v>
                </c:pt>
                <c:pt idx="1510">
                  <c:v>-0.22662525829963887</c:v>
                </c:pt>
                <c:pt idx="1511">
                  <c:v>-0.23484881419526449</c:v>
                </c:pt>
                <c:pt idx="1512">
                  <c:v>-0.24311837977190454</c:v>
                </c:pt>
                <c:pt idx="1513">
                  <c:v>-0.25143408502574172</c:v>
                </c:pt>
                <c:pt idx="1514">
                  <c:v>-0.25979606011395528</c:v>
                </c:pt>
                <c:pt idx="1515">
                  <c:v>-0.26820443535468907</c:v>
                </c:pt>
                <c:pt idx="1516">
                  <c:v>-0.27665934122703728</c:v>
                </c:pt>
                <c:pt idx="1517">
                  <c:v>-0.28516090837108354</c:v>
                </c:pt>
                <c:pt idx="1518">
                  <c:v>-0.29370926758786542</c:v>
                </c:pt>
                <c:pt idx="1519">
                  <c:v>-0.30230454983939925</c:v>
                </c:pt>
                <c:pt idx="1520">
                  <c:v>-0.31094688624865174</c:v>
                </c:pt>
                <c:pt idx="1521">
                  <c:v>-0.31963640809960037</c:v>
                </c:pt>
                <c:pt idx="1522">
                  <c:v>-0.32837324683711966</c:v>
                </c:pt>
                <c:pt idx="1523">
                  <c:v>-0.33715753406714821</c:v>
                </c:pt>
                <c:pt idx="1524">
                  <c:v>-0.34598940155648972</c:v>
                </c:pt>
                <c:pt idx="1525">
                  <c:v>-0.35486898123298705</c:v>
                </c:pt>
                <c:pt idx="1526">
                  <c:v>-0.36379640518542988</c:v>
                </c:pt>
                <c:pt idx="1527">
                  <c:v>-0.3727718056635867</c:v>
                </c:pt>
                <c:pt idx="1528">
                  <c:v>-0.38179531507815501</c:v>
                </c:pt>
                <c:pt idx="1529">
                  <c:v>-0.3908670660008573</c:v>
                </c:pt>
                <c:pt idx="1530">
                  <c:v>-0.39998719116433445</c:v>
                </c:pt>
                <c:pt idx="1531">
                  <c:v>-0.40915582346225587</c:v>
                </c:pt>
                <c:pt idx="1532">
                  <c:v>-0.41837309594917738</c:v>
                </c:pt>
                <c:pt idx="1533">
                  <c:v>-0.42763914184067975</c:v>
                </c:pt>
                <c:pt idx="1534">
                  <c:v>-0.43695409451331901</c:v>
                </c:pt>
                <c:pt idx="1535">
                  <c:v>-0.44631808750456603</c:v>
                </c:pt>
                <c:pt idx="1536">
                  <c:v>-0.45573125451292729</c:v>
                </c:pt>
                <c:pt idx="1537">
                  <c:v>-0.46519372939782055</c:v>
                </c:pt>
                <c:pt idx="1538">
                  <c:v>-0.47470564617966726</c:v>
                </c:pt>
                <c:pt idx="1539">
                  <c:v>-0.48426713903984631</c:v>
                </c:pt>
                <c:pt idx="1540">
                  <c:v>-0.49387834232069405</c:v>
                </c:pt>
                <c:pt idx="1541">
                  <c:v>-0.50353939052553631</c:v>
                </c:pt>
                <c:pt idx="1542">
                  <c:v>-0.51325041831865281</c:v>
                </c:pt>
                <c:pt idx="1543">
                  <c:v>-0.52301156052528075</c:v>
                </c:pt>
                <c:pt idx="1544">
                  <c:v>-0.53282295213167163</c:v>
                </c:pt>
                <c:pt idx="1545">
                  <c:v>-0.54268472828497405</c:v>
                </c:pt>
                <c:pt idx="1546">
                  <c:v>-0.55259702429335444</c:v>
                </c:pt>
                <c:pt idx="1547">
                  <c:v>-0.56255997562595805</c:v>
                </c:pt>
                <c:pt idx="1548">
                  <c:v>-0.57257371791287337</c:v>
                </c:pt>
                <c:pt idx="1549">
                  <c:v>-0.5826383869451357</c:v>
                </c:pt>
                <c:pt idx="1550">
                  <c:v>-0.59275411867480532</c:v>
                </c:pt>
                <c:pt idx="1551">
                  <c:v>-0.60292104921486445</c:v>
                </c:pt>
                <c:pt idx="1552">
                  <c:v>-0.61313931483925987</c:v>
                </c:pt>
                <c:pt idx="1553">
                  <c:v>-0.62340905198296337</c:v>
                </c:pt>
                <c:pt idx="1554">
                  <c:v>-0.63373039724186508</c:v>
                </c:pt>
                <c:pt idx="1555">
                  <c:v>-0.64410348737281975</c:v>
                </c:pt>
                <c:pt idx="1556">
                  <c:v>-0.6545284592936822</c:v>
                </c:pt>
                <c:pt idx="1557">
                  <c:v>-0.66500545008324696</c:v>
                </c:pt>
                <c:pt idx="1558">
                  <c:v>-0.67553459698131224</c:v>
                </c:pt>
                <c:pt idx="1559">
                  <c:v>-0.68611603738859106</c:v>
                </c:pt>
                <c:pt idx="1560">
                  <c:v>-0.69674990886683208</c:v>
                </c:pt>
                <c:pt idx="1561">
                  <c:v>-0.70743634913867393</c:v>
                </c:pt>
                <c:pt idx="1562">
                  <c:v>-0.71817549608780151</c:v>
                </c:pt>
                <c:pt idx="1563">
                  <c:v>-0.72896748775880749</c:v>
                </c:pt>
                <c:pt idx="1564">
                  <c:v>-0.73981246235729881</c:v>
                </c:pt>
                <c:pt idx="1565">
                  <c:v>-0.75071055824980082</c:v>
                </c:pt>
                <c:pt idx="1566">
                  <c:v>-0.76166191396387095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864736"/>
        <c:axId val="836857664"/>
      </c:scatterChart>
      <c:valAx>
        <c:axId val="836864736"/>
        <c:scaling>
          <c:orientation val="minMax"/>
          <c:max val="1.6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857664"/>
        <c:crosses val="autoZero"/>
        <c:crossBetween val="midCat"/>
      </c:valAx>
      <c:valAx>
        <c:axId val="836857664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86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571839214097561E-2"/>
          <c:y val="2.6031455752667403E-2"/>
          <c:w val="0.25584480947443011"/>
          <c:h val="3.44829916473909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Analysis!$C$95:$C$102</c:f>
              <c:numCache>
                <c:formatCode>0.000</c:formatCode>
                <c:ptCount val="8"/>
                <c:pt idx="0">
                  <c:v>4.7590000000000003</c:v>
                </c:pt>
                <c:pt idx="1">
                  <c:v>4.8280000000000003</c:v>
                </c:pt>
                <c:pt idx="2">
                  <c:v>4.8600000000000003</c:v>
                </c:pt>
                <c:pt idx="3">
                  <c:v>4.9290000000000003</c:v>
                </c:pt>
                <c:pt idx="4">
                  <c:v>4.96</c:v>
                </c:pt>
                <c:pt idx="5">
                  <c:v>5.03</c:v>
                </c:pt>
                <c:pt idx="6">
                  <c:v>5.0620000000000003</c:v>
                </c:pt>
                <c:pt idx="7">
                  <c:v>5.1219999999999999</c:v>
                </c:pt>
              </c:numCache>
            </c:numRef>
          </c:xVal>
          <c:yVal>
            <c:numRef>
              <c:f>Analysis!$B$95:$B$102</c:f>
              <c:numCache>
                <c:formatCode>General</c:formatCode>
                <c:ptCount val="8"/>
                <c:pt idx="0">
                  <c:v>285</c:v>
                </c:pt>
                <c:pt idx="1">
                  <c:v>282</c:v>
                </c:pt>
                <c:pt idx="2">
                  <c:v>281</c:v>
                </c:pt>
                <c:pt idx="3">
                  <c:v>279</c:v>
                </c:pt>
                <c:pt idx="4">
                  <c:v>279</c:v>
                </c:pt>
                <c:pt idx="5">
                  <c:v>278</c:v>
                </c:pt>
                <c:pt idx="6">
                  <c:v>276</c:v>
                </c:pt>
                <c:pt idx="7">
                  <c:v>276</c:v>
                </c:pt>
              </c:numCache>
            </c:numRef>
          </c:yVal>
          <c:smooth val="0"/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Analysis!$C$95:$C$102</c:f>
              <c:numCache>
                <c:formatCode>0.000</c:formatCode>
                <c:ptCount val="8"/>
                <c:pt idx="0">
                  <c:v>4.7590000000000003</c:v>
                </c:pt>
                <c:pt idx="1">
                  <c:v>4.8280000000000003</c:v>
                </c:pt>
                <c:pt idx="2">
                  <c:v>4.8600000000000003</c:v>
                </c:pt>
                <c:pt idx="3">
                  <c:v>4.9290000000000003</c:v>
                </c:pt>
                <c:pt idx="4">
                  <c:v>4.96</c:v>
                </c:pt>
                <c:pt idx="5">
                  <c:v>5.03</c:v>
                </c:pt>
                <c:pt idx="6">
                  <c:v>5.0620000000000003</c:v>
                </c:pt>
                <c:pt idx="7">
                  <c:v>5.1219999999999999</c:v>
                </c:pt>
              </c:numCache>
            </c:numRef>
          </c:xVal>
          <c:yVal>
            <c:numRef>
              <c:f>Analysis!$E$95:$E$102</c:f>
              <c:numCache>
                <c:formatCode>General</c:formatCode>
                <c:ptCount val="8"/>
                <c:pt idx="0">
                  <c:v>80</c:v>
                </c:pt>
                <c:pt idx="1">
                  <c:v>90</c:v>
                </c:pt>
                <c:pt idx="2">
                  <c:v>95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861472"/>
        <c:axId val="836869088"/>
      </c:scatterChart>
      <c:valAx>
        <c:axId val="836861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[s]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869088"/>
        <c:crosses val="autoZero"/>
        <c:crossBetween val="midCat"/>
      </c:valAx>
      <c:valAx>
        <c:axId val="83686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86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904875</xdr:colOff>
      <xdr:row>1</xdr:row>
      <xdr:rowOff>100012</xdr:rowOff>
    </xdr:from>
    <xdr:to>
      <xdr:col>23</xdr:col>
      <xdr:colOff>180975</xdr:colOff>
      <xdr:row>37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742950</xdr:colOff>
      <xdr:row>0</xdr:row>
      <xdr:rowOff>152400</xdr:rowOff>
    </xdr:from>
    <xdr:to>
      <xdr:col>19</xdr:col>
      <xdr:colOff>495300</xdr:colOff>
      <xdr:row>37</xdr:row>
      <xdr:rowOff>4763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752474</xdr:colOff>
      <xdr:row>37</xdr:row>
      <xdr:rowOff>157161</xdr:rowOff>
    </xdr:from>
    <xdr:to>
      <xdr:col>19</xdr:col>
      <xdr:colOff>495299</xdr:colOff>
      <xdr:row>73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561974</xdr:colOff>
      <xdr:row>0</xdr:row>
      <xdr:rowOff>100011</xdr:rowOff>
    </xdr:from>
    <xdr:to>
      <xdr:col>39</xdr:col>
      <xdr:colOff>590550</xdr:colOff>
      <xdr:row>39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733425</xdr:colOff>
      <xdr:row>2</xdr:row>
      <xdr:rowOff>38100</xdr:rowOff>
    </xdr:from>
    <xdr:to>
      <xdr:col>35</xdr:col>
      <xdr:colOff>733425</xdr:colOff>
      <xdr:row>27</xdr:row>
      <xdr:rowOff>95250</xdr:rowOff>
    </xdr:to>
    <xdr:cxnSp macro="">
      <xdr:nvCxnSpPr>
        <xdr:cNvPr id="6" name="Straight Connector 5"/>
        <xdr:cNvCxnSpPr/>
      </xdr:nvCxnSpPr>
      <xdr:spPr bwMode="auto">
        <a:xfrm>
          <a:off x="30232350" y="361950"/>
          <a:ext cx="0" cy="41052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58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19049</xdr:colOff>
      <xdr:row>75</xdr:row>
      <xdr:rowOff>42861</xdr:rowOff>
    </xdr:from>
    <xdr:to>
      <xdr:col>19</xdr:col>
      <xdr:colOff>466724</xdr:colOff>
      <xdr:row>107</xdr:row>
      <xdr:rowOff>47624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opLeftCell="B1" workbookViewId="0">
      <pane ySplit="1" topLeftCell="A2" activePane="bottomLeft" state="frozen"/>
      <selection pane="bottomLeft" activeCell="N3" sqref="N3:O4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4" style="11" bestFit="1" customWidth="1"/>
    <col min="5" max="5" width="11.140625" style="5" bestFit="1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5" t="s">
        <v>20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45615</v>
      </c>
      <c r="B2" s="13">
        <v>0.66635416666666669</v>
      </c>
      <c r="C2" s="7">
        <v>30145</v>
      </c>
      <c r="D2" s="7">
        <v>159</v>
      </c>
      <c r="E2" s="7">
        <v>80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45615</v>
      </c>
      <c r="B3" s="13">
        <v>0.66635416666666669</v>
      </c>
      <c r="C3" s="7">
        <v>30175</v>
      </c>
      <c r="D3" s="7">
        <v>159</v>
      </c>
      <c r="E3" s="7">
        <v>100</v>
      </c>
      <c r="F3" s="7"/>
      <c r="G3" s="7"/>
      <c r="H3" s="7"/>
      <c r="I3" s="7"/>
      <c r="J3" s="7"/>
      <c r="K3" s="7"/>
      <c r="L3" s="7"/>
      <c r="N3" s="7">
        <v>300</v>
      </c>
      <c r="O3" s="7">
        <v>30145</v>
      </c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45615</v>
      </c>
      <c r="B4" s="13">
        <v>0.66635416666666669</v>
      </c>
      <c r="C4" s="7">
        <v>30236</v>
      </c>
      <c r="D4" s="7">
        <v>161</v>
      </c>
      <c r="E4" s="7">
        <v>100</v>
      </c>
      <c r="F4" s="7"/>
      <c r="G4" s="7"/>
      <c r="H4" s="7"/>
      <c r="I4" s="7"/>
      <c r="J4" s="7"/>
      <c r="K4" s="7"/>
      <c r="L4" s="7"/>
      <c r="N4" s="7">
        <v>300</v>
      </c>
      <c r="O4" s="7">
        <v>50853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45615</v>
      </c>
      <c r="B5" s="13">
        <v>0.66635416666666669</v>
      </c>
      <c r="C5" s="7">
        <v>30306</v>
      </c>
      <c r="D5" s="7">
        <v>161</v>
      </c>
      <c r="E5" s="8">
        <v>100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45615</v>
      </c>
      <c r="B6" s="13">
        <v>0.66635416666666669</v>
      </c>
      <c r="C6" s="9">
        <v>30338</v>
      </c>
      <c r="D6" s="7">
        <v>161</v>
      </c>
      <c r="E6" s="7">
        <v>100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45615</v>
      </c>
      <c r="B7" s="13">
        <v>0.66635416666666669</v>
      </c>
      <c r="C7" s="7">
        <v>30407</v>
      </c>
      <c r="D7" s="7">
        <v>160</v>
      </c>
      <c r="E7" s="7">
        <v>100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45615</v>
      </c>
      <c r="B8" s="13">
        <v>0.66635416666666669</v>
      </c>
      <c r="C8" s="7">
        <v>30438</v>
      </c>
      <c r="D8" s="7">
        <v>162</v>
      </c>
      <c r="E8" s="7">
        <v>100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45615</v>
      </c>
      <c r="B9" s="13">
        <v>0.66635416666666669</v>
      </c>
      <c r="C9" s="8">
        <v>30508</v>
      </c>
      <c r="D9" s="7">
        <v>162</v>
      </c>
      <c r="E9" s="7">
        <v>100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45615</v>
      </c>
      <c r="B10" s="13">
        <v>0.66635416666666669</v>
      </c>
      <c r="C10" s="7">
        <v>30540</v>
      </c>
      <c r="D10" s="7">
        <v>161</v>
      </c>
      <c r="E10" s="7">
        <v>100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45615</v>
      </c>
      <c r="B11" s="13">
        <v>0.66635416666666669</v>
      </c>
      <c r="C11" s="9">
        <v>30609</v>
      </c>
      <c r="D11" s="7">
        <v>161</v>
      </c>
      <c r="E11" s="7">
        <v>100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45615</v>
      </c>
      <c r="B12" s="13">
        <v>0.66635416666666669</v>
      </c>
      <c r="C12" s="7">
        <v>30640</v>
      </c>
      <c r="D12" s="7">
        <v>163</v>
      </c>
      <c r="E12" s="7">
        <v>100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45615</v>
      </c>
      <c r="B13" s="14">
        <v>0.66635416666666669</v>
      </c>
      <c r="C13" s="7">
        <v>30710</v>
      </c>
      <c r="D13" s="7">
        <v>163</v>
      </c>
      <c r="E13" s="7">
        <v>100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45615</v>
      </c>
      <c r="B14" s="13">
        <v>0.66635416666666669</v>
      </c>
      <c r="C14" s="7">
        <v>30742</v>
      </c>
      <c r="D14" s="7">
        <v>161</v>
      </c>
      <c r="E14" s="7">
        <v>100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45615</v>
      </c>
      <c r="B15" s="13">
        <v>0.66635416666666669</v>
      </c>
      <c r="C15" s="7">
        <v>30811</v>
      </c>
      <c r="D15" s="7">
        <v>162</v>
      </c>
      <c r="E15" s="7">
        <v>100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45615</v>
      </c>
      <c r="B16" s="13">
        <v>0.66635416666666669</v>
      </c>
      <c r="C16" s="7">
        <v>30842</v>
      </c>
      <c r="D16" s="7">
        <v>163</v>
      </c>
      <c r="E16" s="7">
        <v>100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45615</v>
      </c>
      <c r="B17" s="13">
        <v>0.66635416666666669</v>
      </c>
      <c r="C17" s="7">
        <v>30912</v>
      </c>
      <c r="D17" s="7">
        <v>163</v>
      </c>
      <c r="E17" s="7">
        <v>100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45615</v>
      </c>
      <c r="B18" s="13">
        <v>0.66635416666666669</v>
      </c>
      <c r="C18" s="7">
        <v>30944</v>
      </c>
      <c r="D18" s="7">
        <v>162</v>
      </c>
      <c r="E18" s="7">
        <v>100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45615</v>
      </c>
      <c r="B19" s="13">
        <v>0.66635416666666669</v>
      </c>
      <c r="C19" s="7">
        <v>31004</v>
      </c>
      <c r="D19" s="7">
        <v>162</v>
      </c>
      <c r="E19" s="8">
        <v>100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45615</v>
      </c>
      <c r="B20" s="13">
        <v>0.66635416666666669</v>
      </c>
      <c r="C20" s="8">
        <v>31073</v>
      </c>
      <c r="D20" s="7">
        <v>162</v>
      </c>
      <c r="E20" s="7">
        <v>100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45615</v>
      </c>
      <c r="B21" s="13">
        <v>0.66635416666666669</v>
      </c>
      <c r="C21" s="7">
        <v>31104</v>
      </c>
      <c r="D21" s="7">
        <v>163</v>
      </c>
      <c r="E21" s="7">
        <v>100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45615</v>
      </c>
      <c r="B22" s="13">
        <v>0.66636574074074073</v>
      </c>
      <c r="C22" s="7">
        <v>31174</v>
      </c>
      <c r="D22" s="7">
        <v>164</v>
      </c>
      <c r="E22" s="7">
        <v>100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45615</v>
      </c>
      <c r="B23" s="13">
        <v>0.66636574074074073</v>
      </c>
      <c r="C23" s="7">
        <v>31206</v>
      </c>
      <c r="D23" s="7">
        <v>166</v>
      </c>
      <c r="E23" s="7">
        <v>100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45615</v>
      </c>
      <c r="B24" s="13">
        <v>0.66636574074074073</v>
      </c>
      <c r="C24" s="7">
        <v>31275</v>
      </c>
      <c r="D24" s="7">
        <v>172</v>
      </c>
      <c r="E24" s="7">
        <v>100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45615</v>
      </c>
      <c r="B25" s="13">
        <v>0.66636574074074073</v>
      </c>
      <c r="C25" s="7">
        <v>31307</v>
      </c>
      <c r="D25" s="7">
        <v>178</v>
      </c>
      <c r="E25" s="7">
        <v>100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45615</v>
      </c>
      <c r="B26" s="13">
        <v>0.66636574074074073</v>
      </c>
      <c r="C26" s="7">
        <v>31376</v>
      </c>
      <c r="D26" s="7">
        <v>190</v>
      </c>
      <c r="E26" s="7">
        <v>100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45615</v>
      </c>
      <c r="B27" s="13">
        <v>0.66636574074074073</v>
      </c>
      <c r="C27" s="8">
        <v>31408</v>
      </c>
      <c r="D27" s="7">
        <v>194</v>
      </c>
      <c r="E27" s="7">
        <v>100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45615</v>
      </c>
      <c r="B28" s="13">
        <v>0.66636574074074073</v>
      </c>
      <c r="C28" s="7">
        <v>31477</v>
      </c>
      <c r="D28" s="7">
        <v>207</v>
      </c>
      <c r="E28" s="7">
        <v>100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45615</v>
      </c>
      <c r="B29" s="13">
        <v>0.66636574074074073</v>
      </c>
      <c r="C29" s="7">
        <v>31508</v>
      </c>
      <c r="D29" s="7">
        <v>220</v>
      </c>
      <c r="E29" s="7">
        <v>100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45615</v>
      </c>
      <c r="B30" s="13">
        <v>0.66636574074074073</v>
      </c>
      <c r="C30" s="7">
        <v>31578</v>
      </c>
      <c r="D30" s="7">
        <v>236</v>
      </c>
      <c r="E30" s="7">
        <v>100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45615</v>
      </c>
      <c r="B31" s="13">
        <v>0.66636574074074073</v>
      </c>
      <c r="C31" s="7">
        <v>31610</v>
      </c>
      <c r="D31" s="7">
        <v>245</v>
      </c>
      <c r="E31" s="7">
        <v>100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45615</v>
      </c>
      <c r="B32" s="13">
        <v>0.66636574074074073</v>
      </c>
      <c r="C32" s="7">
        <v>31679</v>
      </c>
      <c r="D32" s="7">
        <v>265</v>
      </c>
      <c r="E32" s="7">
        <v>100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45615</v>
      </c>
      <c r="B33" s="13">
        <v>0.66636574074074073</v>
      </c>
      <c r="C33" s="7">
        <v>31711</v>
      </c>
      <c r="D33" s="7">
        <v>277</v>
      </c>
      <c r="E33" s="7">
        <v>100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45615</v>
      </c>
      <c r="B34" s="13">
        <v>0.66636574074074073</v>
      </c>
      <c r="C34" s="7">
        <v>31780</v>
      </c>
      <c r="D34" s="7">
        <v>297</v>
      </c>
      <c r="E34" s="7">
        <v>80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45615</v>
      </c>
      <c r="B35" s="13">
        <v>0.66636574074074073</v>
      </c>
      <c r="C35" s="7">
        <v>31812</v>
      </c>
      <c r="D35" s="7">
        <v>304</v>
      </c>
      <c r="E35" s="7">
        <v>80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45615</v>
      </c>
      <c r="B36" s="13">
        <v>0.66636574074074073</v>
      </c>
      <c r="C36" s="7">
        <v>31881</v>
      </c>
      <c r="D36" s="7">
        <v>318</v>
      </c>
      <c r="E36" s="7">
        <v>80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45615</v>
      </c>
      <c r="B37" s="13">
        <v>0.66636574074074073</v>
      </c>
      <c r="C37" s="7">
        <v>31913</v>
      </c>
      <c r="D37" s="7">
        <v>333</v>
      </c>
      <c r="E37" s="7">
        <v>80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45615</v>
      </c>
      <c r="B38" s="13">
        <v>0.66636574074074073</v>
      </c>
      <c r="C38" s="7">
        <v>31973</v>
      </c>
      <c r="D38" s="7">
        <v>349</v>
      </c>
      <c r="E38" s="7">
        <v>80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45615</v>
      </c>
      <c r="B39" s="13">
        <v>0.66636574074074073</v>
      </c>
      <c r="C39" s="7">
        <v>32042</v>
      </c>
      <c r="D39" s="7">
        <v>362</v>
      </c>
      <c r="E39" s="7">
        <v>80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45615</v>
      </c>
      <c r="B40" s="13">
        <v>0.66636574074074073</v>
      </c>
      <c r="C40" s="7">
        <v>32074</v>
      </c>
      <c r="D40" s="7">
        <v>362</v>
      </c>
      <c r="E40" s="7">
        <v>80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45615</v>
      </c>
      <c r="B41" s="13">
        <v>0.66637731481481477</v>
      </c>
      <c r="C41" s="7">
        <v>32143</v>
      </c>
      <c r="D41" s="7">
        <v>373</v>
      </c>
      <c r="E41" s="7">
        <v>80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45615</v>
      </c>
      <c r="B42" s="13">
        <v>0.66637731481481477</v>
      </c>
      <c r="C42" s="7">
        <v>32175</v>
      </c>
      <c r="D42" s="7">
        <v>383</v>
      </c>
      <c r="E42" s="7">
        <v>80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45615</v>
      </c>
      <c r="B43" s="13">
        <v>0.66637731481481477</v>
      </c>
      <c r="C43" s="7">
        <v>32244</v>
      </c>
      <c r="D43" s="7">
        <v>388</v>
      </c>
      <c r="E43" s="7">
        <v>80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45615</v>
      </c>
      <c r="B44" s="13">
        <v>0.66637731481481477</v>
      </c>
      <c r="C44" s="7">
        <v>32276</v>
      </c>
      <c r="D44" s="7">
        <v>388</v>
      </c>
      <c r="E44" s="7">
        <v>80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45615</v>
      </c>
      <c r="B45" s="13">
        <v>0.66637731481481477</v>
      </c>
      <c r="C45" s="7">
        <v>32345</v>
      </c>
      <c r="D45" s="7">
        <v>391</v>
      </c>
      <c r="E45" s="7">
        <v>80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45615</v>
      </c>
      <c r="B46" s="13">
        <v>0.66637731481481477</v>
      </c>
      <c r="C46" s="7">
        <v>32377</v>
      </c>
      <c r="D46" s="7">
        <v>390</v>
      </c>
      <c r="E46" s="7">
        <v>80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45615</v>
      </c>
      <c r="B47" s="13">
        <v>0.66637731481481477</v>
      </c>
      <c r="C47" s="7">
        <v>32438</v>
      </c>
      <c r="D47" s="7">
        <v>389</v>
      </c>
      <c r="E47" s="7">
        <v>80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45615</v>
      </c>
      <c r="B48" s="13">
        <v>0.66637731481481477</v>
      </c>
      <c r="C48" s="7">
        <v>32508</v>
      </c>
      <c r="D48" s="7">
        <v>387</v>
      </c>
      <c r="E48" s="7">
        <v>80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>
        <v>45615</v>
      </c>
      <c r="B49" s="13">
        <v>0.66637731481481477</v>
      </c>
      <c r="C49" s="7">
        <v>32540</v>
      </c>
      <c r="D49" s="7">
        <v>387</v>
      </c>
      <c r="E49" s="7">
        <v>80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>
        <v>45615</v>
      </c>
      <c r="B50" s="13">
        <v>0.66637731481481477</v>
      </c>
      <c r="C50" s="7">
        <v>32609</v>
      </c>
      <c r="D50" s="7">
        <v>384</v>
      </c>
      <c r="E50" s="7">
        <v>80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>
        <v>45615</v>
      </c>
      <c r="B51" s="13">
        <v>0.66637731481481477</v>
      </c>
      <c r="C51" s="7">
        <v>32641</v>
      </c>
      <c r="D51" s="7">
        <v>380</v>
      </c>
      <c r="E51" s="7">
        <v>80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>
        <v>45615</v>
      </c>
      <c r="B52" s="13">
        <v>0.66637731481481477</v>
      </c>
      <c r="C52" s="7">
        <v>32702</v>
      </c>
      <c r="D52" s="7">
        <v>378</v>
      </c>
      <c r="E52" s="7">
        <v>80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>
        <v>45615</v>
      </c>
      <c r="B53" s="13">
        <v>0.66637731481481477</v>
      </c>
      <c r="C53" s="7">
        <v>32751</v>
      </c>
      <c r="D53" s="7">
        <v>374</v>
      </c>
      <c r="E53" s="7">
        <v>80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>
        <v>45615</v>
      </c>
      <c r="B54" s="13">
        <v>0.66637731481481477</v>
      </c>
      <c r="C54" s="7">
        <v>32803</v>
      </c>
      <c r="D54" s="7">
        <v>375</v>
      </c>
      <c r="E54" s="7">
        <v>80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>
        <v>45615</v>
      </c>
      <c r="B55" s="13">
        <v>0.66637731481481477</v>
      </c>
      <c r="C55" s="7">
        <v>32874</v>
      </c>
      <c r="D55" s="7">
        <v>372</v>
      </c>
      <c r="E55" s="7">
        <v>80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>
        <v>45615</v>
      </c>
      <c r="B56" s="13">
        <v>0.66637731481481477</v>
      </c>
      <c r="C56" s="7">
        <v>32906</v>
      </c>
      <c r="D56" s="7">
        <v>370</v>
      </c>
      <c r="E56" s="7">
        <v>80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>
        <v>45615</v>
      </c>
      <c r="B57" s="13">
        <v>0.66637731481481477</v>
      </c>
      <c r="C57" s="7">
        <v>32966</v>
      </c>
      <c r="D57" s="7">
        <v>368</v>
      </c>
      <c r="E57" s="7">
        <v>80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>
        <v>45615</v>
      </c>
      <c r="B58" s="13">
        <v>0.66637731481481477</v>
      </c>
      <c r="C58" s="7">
        <v>33035</v>
      </c>
      <c r="D58" s="7">
        <v>365</v>
      </c>
      <c r="E58" s="7">
        <v>80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>
        <v>45615</v>
      </c>
      <c r="B59" s="13">
        <v>0.66637731481481477</v>
      </c>
      <c r="C59" s="7">
        <v>33067</v>
      </c>
      <c r="D59" s="7">
        <v>362</v>
      </c>
      <c r="E59" s="7">
        <v>80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>
        <v>45615</v>
      </c>
      <c r="B60" s="13">
        <v>0.66638888888888892</v>
      </c>
      <c r="C60" s="7">
        <v>33136</v>
      </c>
      <c r="D60" s="7">
        <v>358</v>
      </c>
      <c r="E60" s="7">
        <v>80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>
        <v>45615</v>
      </c>
      <c r="B61" s="13">
        <v>0.66638888888888892</v>
      </c>
      <c r="C61" s="7">
        <v>33168</v>
      </c>
      <c r="D61" s="7">
        <v>359</v>
      </c>
      <c r="E61" s="7">
        <v>80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>
        <v>45615</v>
      </c>
      <c r="B62" s="13">
        <v>0.66638888888888892</v>
      </c>
      <c r="C62" s="7">
        <v>33237</v>
      </c>
      <c r="D62" s="7">
        <v>355</v>
      </c>
      <c r="E62" s="7">
        <v>80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>
        <v>45615</v>
      </c>
      <c r="B63" s="13">
        <v>0.66638888888888892</v>
      </c>
      <c r="C63" s="7">
        <v>33269</v>
      </c>
      <c r="D63" s="7">
        <v>351</v>
      </c>
      <c r="E63" s="7">
        <v>80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>
        <v>45615</v>
      </c>
      <c r="B64" s="13">
        <v>0.66638888888888892</v>
      </c>
      <c r="C64" s="7">
        <v>33338</v>
      </c>
      <c r="D64" s="7">
        <v>347</v>
      </c>
      <c r="E64" s="7">
        <v>80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>
        <v>45615</v>
      </c>
      <c r="B65" s="13">
        <v>0.66638888888888892</v>
      </c>
      <c r="C65" s="7">
        <v>33370</v>
      </c>
      <c r="D65" s="7">
        <v>349</v>
      </c>
      <c r="E65" s="7">
        <v>80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>
        <v>45615</v>
      </c>
      <c r="B66" s="13">
        <v>0.66638888888888892</v>
      </c>
      <c r="C66" s="7">
        <v>33430</v>
      </c>
      <c r="D66" s="7">
        <v>345</v>
      </c>
      <c r="E66" s="7">
        <v>80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>
        <v>45615</v>
      </c>
      <c r="B67" s="13">
        <v>0.66638888888888892</v>
      </c>
      <c r="C67" s="7">
        <v>33499</v>
      </c>
      <c r="D67" s="7">
        <v>341</v>
      </c>
      <c r="E67" s="7">
        <v>80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>
        <v>45615</v>
      </c>
      <c r="B68" s="13">
        <v>0.66638888888888892</v>
      </c>
      <c r="C68" s="7">
        <v>33531</v>
      </c>
      <c r="D68" s="7">
        <v>337</v>
      </c>
      <c r="E68" s="7">
        <v>80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>
        <v>45615</v>
      </c>
      <c r="B69" s="13">
        <v>0.66638888888888892</v>
      </c>
      <c r="C69" s="7">
        <v>33600</v>
      </c>
      <c r="D69" s="7">
        <v>334</v>
      </c>
      <c r="E69" s="7">
        <v>80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>
        <v>45615</v>
      </c>
      <c r="B70" s="13">
        <v>0.66638888888888892</v>
      </c>
      <c r="C70" s="7">
        <v>33631</v>
      </c>
      <c r="D70" s="7">
        <v>334</v>
      </c>
      <c r="E70" s="7">
        <v>80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>
        <v>45615</v>
      </c>
      <c r="B71" s="13">
        <v>0.66638888888888892</v>
      </c>
      <c r="C71" s="7">
        <v>33701</v>
      </c>
      <c r="D71" s="7">
        <v>331</v>
      </c>
      <c r="E71" s="7">
        <v>80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>
        <v>45615</v>
      </c>
      <c r="B72" s="13">
        <v>0.66638888888888892</v>
      </c>
      <c r="C72" s="7">
        <v>33733</v>
      </c>
      <c r="D72" s="7">
        <v>328</v>
      </c>
      <c r="E72" s="7">
        <v>80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>
        <v>45615</v>
      </c>
      <c r="B73" s="13">
        <v>0.66638888888888892</v>
      </c>
      <c r="C73" s="7">
        <v>33802</v>
      </c>
      <c r="D73" s="7">
        <v>325</v>
      </c>
      <c r="E73" s="7">
        <v>80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>
        <v>45615</v>
      </c>
      <c r="B74" s="13">
        <v>0.66638888888888892</v>
      </c>
      <c r="C74" s="7">
        <v>33834</v>
      </c>
      <c r="D74" s="7">
        <v>325</v>
      </c>
      <c r="E74" s="7">
        <v>80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>
        <v>45615</v>
      </c>
      <c r="B75" s="13">
        <v>0.66638888888888892</v>
      </c>
      <c r="C75" s="7">
        <v>33903</v>
      </c>
      <c r="D75" s="7">
        <v>323</v>
      </c>
      <c r="E75" s="7">
        <v>80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>
        <v>45615</v>
      </c>
      <c r="B76" s="13">
        <v>0.66638888888888892</v>
      </c>
      <c r="C76" s="7">
        <v>33935</v>
      </c>
      <c r="D76" s="7">
        <v>319</v>
      </c>
      <c r="E76" s="7">
        <v>80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>
        <v>45615</v>
      </c>
      <c r="B77" s="13">
        <v>0.66638888888888892</v>
      </c>
      <c r="C77" s="7">
        <v>34004</v>
      </c>
      <c r="D77" s="7">
        <v>317</v>
      </c>
      <c r="E77" s="7">
        <v>80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>
        <v>45615</v>
      </c>
      <c r="B78" s="13">
        <v>0.66638888888888892</v>
      </c>
      <c r="C78" s="7">
        <v>34035</v>
      </c>
      <c r="D78" s="7">
        <v>318</v>
      </c>
      <c r="E78" s="7">
        <v>80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>
        <v>45615</v>
      </c>
      <c r="B79" s="13">
        <v>0.66638888888888892</v>
      </c>
      <c r="C79" s="7">
        <v>34105</v>
      </c>
      <c r="D79" s="7">
        <v>316</v>
      </c>
      <c r="E79" s="7">
        <v>80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>
        <v>45615</v>
      </c>
      <c r="B80" s="13">
        <v>0.66640046296296296</v>
      </c>
      <c r="C80" s="7">
        <v>34137</v>
      </c>
      <c r="D80" s="7">
        <v>312</v>
      </c>
      <c r="E80" s="7">
        <v>80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>
        <v>45615</v>
      </c>
      <c r="B81" s="13">
        <v>0.66640046296296296</v>
      </c>
      <c r="C81" s="7">
        <v>34197</v>
      </c>
      <c r="D81" s="7">
        <v>309</v>
      </c>
      <c r="E81" s="7">
        <v>80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>
        <v>45615</v>
      </c>
      <c r="B82" s="13">
        <v>0.66640046296296296</v>
      </c>
      <c r="C82" s="7">
        <v>34266</v>
      </c>
      <c r="D82" s="7">
        <v>307</v>
      </c>
      <c r="E82" s="7">
        <v>80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>
        <v>45615</v>
      </c>
      <c r="B83" s="13">
        <v>0.66640046296296296</v>
      </c>
      <c r="C83" s="7">
        <v>34297</v>
      </c>
      <c r="D83" s="7">
        <v>307</v>
      </c>
      <c r="E83" s="7">
        <v>80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>
        <v>45615</v>
      </c>
      <c r="B84" s="13">
        <v>0.66640046296296296</v>
      </c>
      <c r="C84" s="7">
        <v>34367</v>
      </c>
      <c r="D84" s="7">
        <v>305</v>
      </c>
      <c r="E84" s="7">
        <v>80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>
        <v>45615</v>
      </c>
      <c r="B85" s="13">
        <v>0.66640046296296296</v>
      </c>
      <c r="C85" s="7">
        <v>34399</v>
      </c>
      <c r="D85" s="7">
        <v>301</v>
      </c>
      <c r="E85" s="7">
        <v>80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>
        <v>45615</v>
      </c>
      <c r="B86" s="13">
        <v>0.66640046296296296</v>
      </c>
      <c r="C86" s="7">
        <v>34468</v>
      </c>
      <c r="D86" s="7">
        <v>299</v>
      </c>
      <c r="E86" s="7">
        <v>80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>
        <v>45615</v>
      </c>
      <c r="B87" s="13">
        <v>0.66640046296296296</v>
      </c>
      <c r="C87" s="7">
        <v>34499</v>
      </c>
      <c r="D87" s="7">
        <v>300</v>
      </c>
      <c r="E87" s="7">
        <v>80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>
        <v>45615</v>
      </c>
      <c r="B88" s="13">
        <v>0.66640046296296296</v>
      </c>
      <c r="C88" s="7">
        <v>34569</v>
      </c>
      <c r="D88" s="7">
        <v>298</v>
      </c>
      <c r="E88" s="7">
        <v>80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>
        <v>45615</v>
      </c>
      <c r="B89" s="13">
        <v>0.66640046296296296</v>
      </c>
      <c r="C89" s="7">
        <v>34601</v>
      </c>
      <c r="D89" s="7">
        <v>295</v>
      </c>
      <c r="E89" s="7">
        <v>80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>
        <v>45615</v>
      </c>
      <c r="B90" s="13">
        <v>0.66640046296296296</v>
      </c>
      <c r="C90" s="7">
        <v>34670</v>
      </c>
      <c r="D90" s="7">
        <v>292</v>
      </c>
      <c r="E90" s="7">
        <v>80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>
        <v>45615</v>
      </c>
      <c r="B91" s="13">
        <v>0.66640046296296296</v>
      </c>
      <c r="C91" s="7">
        <v>34702</v>
      </c>
      <c r="D91" s="7">
        <v>293</v>
      </c>
      <c r="E91" s="7">
        <v>80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>
        <v>45615</v>
      </c>
      <c r="B92" s="13">
        <v>0.66640046296296296</v>
      </c>
      <c r="C92" s="7">
        <v>34771</v>
      </c>
      <c r="D92" s="7">
        <v>290</v>
      </c>
      <c r="E92" s="7">
        <v>80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>
        <v>45615</v>
      </c>
      <c r="B93" s="13">
        <v>0.66640046296296296</v>
      </c>
      <c r="C93" s="7">
        <v>34803</v>
      </c>
      <c r="D93" s="7">
        <v>288</v>
      </c>
      <c r="E93" s="7">
        <v>80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>
        <v>45615</v>
      </c>
      <c r="B94" s="13">
        <v>0.66640046296296296</v>
      </c>
      <c r="C94" s="7">
        <v>34872</v>
      </c>
      <c r="D94" s="7">
        <v>286</v>
      </c>
      <c r="E94" s="7">
        <v>80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>
        <v>45615</v>
      </c>
      <c r="B95" s="13">
        <v>0.66640046296296296</v>
      </c>
      <c r="C95" s="7">
        <v>34904</v>
      </c>
      <c r="D95" s="7">
        <v>285</v>
      </c>
      <c r="E95" s="7">
        <v>80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>
        <v>45615</v>
      </c>
      <c r="B96" s="13">
        <v>0.66640046296296296</v>
      </c>
      <c r="C96" s="7">
        <v>34973</v>
      </c>
      <c r="D96" s="7">
        <v>282</v>
      </c>
      <c r="E96" s="7">
        <v>90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>
        <v>45615</v>
      </c>
      <c r="B97" s="13">
        <v>0.66640046296296296</v>
      </c>
      <c r="C97" s="7">
        <v>35005</v>
      </c>
      <c r="D97" s="7">
        <v>281</v>
      </c>
      <c r="E97" s="7">
        <v>95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>
        <v>45615</v>
      </c>
      <c r="B98" s="13">
        <v>0.66640046296296296</v>
      </c>
      <c r="C98" s="7">
        <v>35074</v>
      </c>
      <c r="D98" s="7">
        <v>279</v>
      </c>
      <c r="E98" s="7">
        <v>100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>
        <v>45615</v>
      </c>
      <c r="B99" s="13">
        <v>0.66640046296296296</v>
      </c>
      <c r="C99" s="7">
        <v>35105</v>
      </c>
      <c r="D99" s="7">
        <v>279</v>
      </c>
      <c r="E99" s="7">
        <v>100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>
        <v>45615</v>
      </c>
      <c r="B100" s="13">
        <v>0.66641203703703711</v>
      </c>
      <c r="C100" s="7">
        <v>35175</v>
      </c>
      <c r="D100" s="7">
        <v>278</v>
      </c>
      <c r="E100" s="7">
        <v>100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>
        <v>45615</v>
      </c>
      <c r="B101" s="13">
        <v>0.66641203703703711</v>
      </c>
      <c r="C101" s="7">
        <v>35207</v>
      </c>
      <c r="D101" s="7">
        <v>276</v>
      </c>
      <c r="E101" s="7">
        <v>100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>
        <v>45615</v>
      </c>
      <c r="B102" s="13">
        <v>0.66641203703703711</v>
      </c>
      <c r="C102" s="7">
        <v>35267</v>
      </c>
      <c r="D102" s="7">
        <v>276</v>
      </c>
      <c r="E102" s="7">
        <v>100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>
        <v>45615</v>
      </c>
      <c r="B103" s="13">
        <v>0.66641203703703711</v>
      </c>
      <c r="C103" s="7">
        <v>35336</v>
      </c>
      <c r="D103" s="7">
        <v>279</v>
      </c>
      <c r="E103" s="7">
        <v>100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>
        <v>45615</v>
      </c>
      <c r="B104" s="13">
        <v>0.66641203703703711</v>
      </c>
      <c r="C104" s="7">
        <v>35368</v>
      </c>
      <c r="D104" s="7">
        <v>282</v>
      </c>
      <c r="E104" s="7">
        <v>90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>
        <v>45615</v>
      </c>
      <c r="B105" s="13">
        <v>0.66641203703703711</v>
      </c>
      <c r="C105" s="7">
        <v>35437</v>
      </c>
      <c r="D105" s="7">
        <v>287</v>
      </c>
      <c r="E105" s="7">
        <v>80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>
        <v>45615</v>
      </c>
      <c r="B106" s="13">
        <v>0.66641203703703711</v>
      </c>
      <c r="C106" s="7">
        <v>35469</v>
      </c>
      <c r="D106" s="7">
        <v>286</v>
      </c>
      <c r="E106" s="7">
        <v>80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>
        <v>45615</v>
      </c>
      <c r="B107" s="13">
        <v>0.66641203703703711</v>
      </c>
      <c r="C107" s="7">
        <v>35538</v>
      </c>
      <c r="D107" s="7">
        <v>292</v>
      </c>
      <c r="E107" s="7">
        <v>80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>
        <v>45615</v>
      </c>
      <c r="B108" s="13">
        <v>0.66641203703703711</v>
      </c>
      <c r="C108" s="7">
        <v>35569</v>
      </c>
      <c r="D108" s="7">
        <v>297</v>
      </c>
      <c r="E108" s="7">
        <v>80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>
        <v>45615</v>
      </c>
      <c r="B109" s="13">
        <v>0.66641203703703711</v>
      </c>
      <c r="C109" s="7">
        <v>35639</v>
      </c>
      <c r="D109" s="7">
        <v>303</v>
      </c>
      <c r="E109" s="7">
        <v>80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>
        <v>45615</v>
      </c>
      <c r="B110" s="13">
        <v>0.66641203703703711</v>
      </c>
      <c r="C110" s="7">
        <v>35671</v>
      </c>
      <c r="D110" s="7">
        <v>305</v>
      </c>
      <c r="E110" s="7">
        <v>80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>
        <v>45615</v>
      </c>
      <c r="B111" s="13">
        <v>0.66641203703703711</v>
      </c>
      <c r="C111" s="7">
        <v>35740</v>
      </c>
      <c r="D111" s="7">
        <v>309</v>
      </c>
      <c r="E111" s="7">
        <v>80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>
        <v>45615</v>
      </c>
      <c r="B112" s="13">
        <v>0.66641203703703711</v>
      </c>
      <c r="C112" s="7">
        <v>35772</v>
      </c>
      <c r="D112" s="7">
        <v>312</v>
      </c>
      <c r="E112" s="7">
        <v>80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>
        <v>45615</v>
      </c>
      <c r="B113" s="13">
        <v>0.66641203703703711</v>
      </c>
      <c r="C113" s="7">
        <v>35841</v>
      </c>
      <c r="D113" s="7">
        <v>315</v>
      </c>
      <c r="E113" s="7">
        <v>80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>
        <v>45615</v>
      </c>
      <c r="B114" s="13">
        <v>0.66641203703703711</v>
      </c>
      <c r="C114" s="7">
        <v>35873</v>
      </c>
      <c r="D114" s="7">
        <v>316</v>
      </c>
      <c r="E114" s="7">
        <v>80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>
        <v>45615</v>
      </c>
      <c r="B115" s="13">
        <v>0.66641203703703711</v>
      </c>
      <c r="C115" s="7">
        <v>35933</v>
      </c>
      <c r="D115" s="7">
        <v>317</v>
      </c>
      <c r="E115" s="7">
        <v>80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>
        <v>45615</v>
      </c>
      <c r="B116" s="13">
        <v>0.66641203703703711</v>
      </c>
      <c r="C116" s="7">
        <v>36002</v>
      </c>
      <c r="D116" s="7">
        <v>317</v>
      </c>
      <c r="E116" s="7">
        <v>80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>
        <v>45615</v>
      </c>
      <c r="B117" s="13">
        <v>0.66641203703703711</v>
      </c>
      <c r="C117" s="7">
        <v>36033</v>
      </c>
      <c r="D117" s="7">
        <v>315</v>
      </c>
      <c r="E117" s="7">
        <v>80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>
        <v>45615</v>
      </c>
      <c r="B118" s="13">
        <v>0.66641203703703711</v>
      </c>
      <c r="C118" s="7">
        <v>36103</v>
      </c>
      <c r="D118" s="7">
        <v>313</v>
      </c>
      <c r="E118" s="7">
        <v>80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>
        <v>45615</v>
      </c>
      <c r="B119" s="13">
        <v>0.66642361111111115</v>
      </c>
      <c r="C119" s="7">
        <v>36135</v>
      </c>
      <c r="D119" s="7">
        <v>313</v>
      </c>
      <c r="E119" s="7">
        <v>80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>
        <v>45615</v>
      </c>
      <c r="B120" s="13">
        <v>0.66642361111111115</v>
      </c>
      <c r="C120" s="7">
        <v>36204</v>
      </c>
      <c r="D120" s="7">
        <v>310</v>
      </c>
      <c r="E120" s="7">
        <v>80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>
        <v>45615</v>
      </c>
      <c r="B121" s="13">
        <v>0.66642361111111115</v>
      </c>
      <c r="C121" s="7">
        <v>36236</v>
      </c>
      <c r="D121" s="7">
        <v>307</v>
      </c>
      <c r="E121" s="7">
        <v>80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>
        <v>45615</v>
      </c>
      <c r="B122" s="13">
        <v>0.66642361111111115</v>
      </c>
      <c r="C122" s="7">
        <v>36305</v>
      </c>
      <c r="D122" s="7">
        <v>304</v>
      </c>
      <c r="E122" s="7">
        <v>80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>
        <v>45615</v>
      </c>
      <c r="B123" s="13">
        <v>0.66642361111111115</v>
      </c>
      <c r="C123" s="7">
        <v>36337</v>
      </c>
      <c r="D123" s="7">
        <v>304</v>
      </c>
      <c r="E123" s="7">
        <v>80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>
        <v>45615</v>
      </c>
      <c r="B124" s="13">
        <v>0.66642361111111115</v>
      </c>
      <c r="C124" s="7">
        <v>36406</v>
      </c>
      <c r="D124" s="7">
        <v>300</v>
      </c>
      <c r="E124" s="7">
        <v>80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>
        <v>45615</v>
      </c>
      <c r="B125" s="13">
        <v>0.66642361111111115</v>
      </c>
      <c r="C125" s="7">
        <v>36438</v>
      </c>
      <c r="D125" s="7">
        <v>298</v>
      </c>
      <c r="E125" s="7">
        <v>80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>
        <v>45615</v>
      </c>
      <c r="B126" s="13">
        <v>0.66642361111111115</v>
      </c>
      <c r="C126" s="7">
        <v>36507</v>
      </c>
      <c r="D126" s="7">
        <v>295</v>
      </c>
      <c r="E126" s="7">
        <v>80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>
        <v>45615</v>
      </c>
      <c r="B127" s="13">
        <v>0.66642361111111115</v>
      </c>
      <c r="C127" s="7">
        <v>36539</v>
      </c>
      <c r="D127" s="7">
        <v>293</v>
      </c>
      <c r="E127" s="7">
        <v>80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>
        <v>45615</v>
      </c>
      <c r="B128" s="13">
        <v>0.66642361111111115</v>
      </c>
      <c r="C128" s="7">
        <v>36608</v>
      </c>
      <c r="D128" s="7">
        <v>289</v>
      </c>
      <c r="E128" s="7">
        <v>80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>
        <v>45615</v>
      </c>
      <c r="B129" s="13">
        <v>0.66642361111111115</v>
      </c>
      <c r="C129" s="7">
        <v>36640</v>
      </c>
      <c r="D129" s="7">
        <v>288</v>
      </c>
      <c r="E129" s="7">
        <v>80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>
        <v>45615</v>
      </c>
      <c r="B130" s="13">
        <v>0.66642361111111115</v>
      </c>
      <c r="C130" s="7">
        <v>36709</v>
      </c>
      <c r="D130" s="7">
        <v>284</v>
      </c>
      <c r="E130" s="7">
        <v>80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>
        <v>45615</v>
      </c>
      <c r="B131" s="13">
        <v>0.66642361111111115</v>
      </c>
      <c r="C131" s="7">
        <v>36741</v>
      </c>
      <c r="D131" s="7">
        <v>281</v>
      </c>
      <c r="E131" s="7">
        <v>95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>
        <v>45615</v>
      </c>
      <c r="B132" s="13">
        <v>0.66642361111111115</v>
      </c>
      <c r="C132" s="7">
        <v>36801</v>
      </c>
      <c r="D132" s="7">
        <v>277</v>
      </c>
      <c r="E132" s="7">
        <v>100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>
        <v>45615</v>
      </c>
      <c r="B133" s="13">
        <v>0.66642361111111115</v>
      </c>
      <c r="C133" s="7">
        <v>36870</v>
      </c>
      <c r="D133" s="7">
        <v>273</v>
      </c>
      <c r="E133" s="7">
        <v>100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>
        <v>45615</v>
      </c>
      <c r="B134" s="13">
        <v>0.66642361111111115</v>
      </c>
      <c r="C134" s="7">
        <v>36901</v>
      </c>
      <c r="D134" s="7">
        <v>274</v>
      </c>
      <c r="E134" s="7">
        <v>100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>
        <v>45615</v>
      </c>
      <c r="B135" s="13">
        <v>0.66642361111111115</v>
      </c>
      <c r="C135" s="7">
        <v>36971</v>
      </c>
      <c r="D135" s="7">
        <v>271</v>
      </c>
      <c r="E135" s="7">
        <v>100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>
        <v>45615</v>
      </c>
      <c r="B136" s="13">
        <v>0.66642361111111115</v>
      </c>
      <c r="C136" s="7">
        <v>37003</v>
      </c>
      <c r="D136" s="7">
        <v>268</v>
      </c>
      <c r="E136" s="7">
        <v>100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>
        <v>45615</v>
      </c>
      <c r="B137" s="13">
        <v>0.66642361111111115</v>
      </c>
      <c r="C137" s="7">
        <v>37072</v>
      </c>
      <c r="D137" s="7">
        <v>268</v>
      </c>
      <c r="E137" s="7">
        <v>100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>
        <v>45615</v>
      </c>
      <c r="B138" s="13">
        <v>0.66642361111111115</v>
      </c>
      <c r="C138" s="7">
        <v>37103</v>
      </c>
      <c r="D138" s="7">
        <v>270</v>
      </c>
      <c r="E138" s="7">
        <v>100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>
        <v>45615</v>
      </c>
      <c r="B139" s="13">
        <v>0.66643518518518519</v>
      </c>
      <c r="C139" s="7">
        <v>37173</v>
      </c>
      <c r="D139" s="7">
        <v>271</v>
      </c>
      <c r="E139" s="7">
        <v>100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>
        <v>45615</v>
      </c>
      <c r="B140" s="13">
        <v>0.66643518518518519</v>
      </c>
      <c r="C140" s="7">
        <v>37205</v>
      </c>
      <c r="D140" s="7">
        <v>271</v>
      </c>
      <c r="E140" s="7">
        <v>100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>
        <v>45615</v>
      </c>
      <c r="B141" s="13">
        <v>0.66643518518518519</v>
      </c>
      <c r="C141" s="7">
        <v>37274</v>
      </c>
      <c r="D141" s="7">
        <v>274</v>
      </c>
      <c r="E141" s="7">
        <v>100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>
        <v>45615</v>
      </c>
      <c r="B142" s="13">
        <v>0.66643518518518519</v>
      </c>
      <c r="C142" s="7">
        <v>37306</v>
      </c>
      <c r="D142" s="7">
        <v>277</v>
      </c>
      <c r="E142" s="7">
        <v>100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>
        <v>45615</v>
      </c>
      <c r="B143" s="13">
        <v>0.66643518518518519</v>
      </c>
      <c r="C143" s="7">
        <v>37375</v>
      </c>
      <c r="D143" s="7">
        <v>282</v>
      </c>
      <c r="E143" s="7">
        <v>90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>
        <v>45615</v>
      </c>
      <c r="B144" s="13">
        <v>0.66643518518518519</v>
      </c>
      <c r="C144" s="7">
        <v>37407</v>
      </c>
      <c r="D144" s="7">
        <v>284</v>
      </c>
      <c r="E144" s="7">
        <v>80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>
        <v>45615</v>
      </c>
      <c r="B145" s="13">
        <v>0.66643518518518519</v>
      </c>
      <c r="C145" s="7">
        <v>37476</v>
      </c>
      <c r="D145" s="7">
        <v>289</v>
      </c>
      <c r="E145" s="7">
        <v>80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>
        <v>45615</v>
      </c>
      <c r="B146" s="13">
        <v>0.66643518518518519</v>
      </c>
      <c r="C146" s="7">
        <v>37508</v>
      </c>
      <c r="D146" s="7">
        <v>294</v>
      </c>
      <c r="E146" s="7">
        <v>80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>
        <v>45615</v>
      </c>
      <c r="B147" s="13">
        <v>0.66643518518518519</v>
      </c>
      <c r="C147" s="7">
        <v>37577</v>
      </c>
      <c r="D147" s="7">
        <v>299</v>
      </c>
      <c r="E147" s="7">
        <v>80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>
        <v>45615</v>
      </c>
      <c r="B148" s="13">
        <v>0.66643518518518519</v>
      </c>
      <c r="C148" s="7">
        <v>37609</v>
      </c>
      <c r="D148" s="7">
        <v>299</v>
      </c>
      <c r="E148" s="7">
        <v>80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>
        <v>45615</v>
      </c>
      <c r="B149" s="13">
        <v>0.66643518518518519</v>
      </c>
      <c r="C149" s="7">
        <v>37678</v>
      </c>
      <c r="D149" s="7">
        <v>303</v>
      </c>
      <c r="E149" s="7">
        <v>80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>
        <v>45615</v>
      </c>
      <c r="B150" s="13">
        <v>0.66643518518518519</v>
      </c>
      <c r="C150" s="7">
        <v>37710</v>
      </c>
      <c r="D150" s="7">
        <v>306</v>
      </c>
      <c r="E150" s="7">
        <v>80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>
        <v>45615</v>
      </c>
      <c r="B151" s="13">
        <v>0.66643518518518519</v>
      </c>
      <c r="C151" s="7">
        <v>37779</v>
      </c>
      <c r="D151" s="7">
        <v>309</v>
      </c>
      <c r="E151" s="7">
        <v>80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>
        <v>45615</v>
      </c>
      <c r="B152" s="13">
        <v>0.66643518518518519</v>
      </c>
      <c r="C152" s="7">
        <v>37811</v>
      </c>
      <c r="D152" s="7">
        <v>308</v>
      </c>
      <c r="E152" s="7">
        <v>80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>
        <v>45615</v>
      </c>
      <c r="B153" s="13">
        <v>0.66643518518518519</v>
      </c>
      <c r="C153" s="7">
        <v>37871</v>
      </c>
      <c r="D153" s="7">
        <v>309</v>
      </c>
      <c r="E153" s="7">
        <v>80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>
        <v>45615</v>
      </c>
      <c r="B154" s="13">
        <v>0.66643518518518519</v>
      </c>
      <c r="C154" s="7">
        <v>37940</v>
      </c>
      <c r="D154" s="7">
        <v>307</v>
      </c>
      <c r="E154" s="7">
        <v>80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>
        <v>45615</v>
      </c>
      <c r="B155" s="13">
        <v>0.66643518518518519</v>
      </c>
      <c r="C155" s="7">
        <v>37971</v>
      </c>
      <c r="D155" s="7">
        <v>307</v>
      </c>
      <c r="E155" s="7">
        <v>80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>
        <v>45615</v>
      </c>
      <c r="B156" s="13">
        <v>0.66643518518518519</v>
      </c>
      <c r="C156" s="7">
        <v>38041</v>
      </c>
      <c r="D156" s="7">
        <v>305</v>
      </c>
      <c r="E156" s="7">
        <v>80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>
        <v>45615</v>
      </c>
      <c r="B157" s="13">
        <v>0.66643518518518519</v>
      </c>
      <c r="C157" s="7">
        <v>38073</v>
      </c>
      <c r="D157" s="7">
        <v>304</v>
      </c>
      <c r="E157" s="7">
        <v>80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>
        <v>45615</v>
      </c>
      <c r="B158" s="13">
        <v>0.66644675925925922</v>
      </c>
      <c r="C158" s="7">
        <v>38142</v>
      </c>
      <c r="D158" s="7">
        <v>300</v>
      </c>
      <c r="E158" s="7">
        <v>80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>
        <v>45615</v>
      </c>
      <c r="B159" s="13">
        <v>0.66644675925925922</v>
      </c>
      <c r="C159" s="7">
        <v>38173</v>
      </c>
      <c r="D159" s="7">
        <v>298</v>
      </c>
      <c r="E159" s="7">
        <v>80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>
        <v>45615</v>
      </c>
      <c r="B160" s="13">
        <v>0.66644675925925922</v>
      </c>
      <c r="C160" s="7">
        <v>38243</v>
      </c>
      <c r="D160" s="7">
        <v>294</v>
      </c>
      <c r="E160" s="7">
        <v>80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>
        <v>45615</v>
      </c>
      <c r="B161" s="13">
        <v>0.66644675925925922</v>
      </c>
      <c r="C161" s="7">
        <v>38275</v>
      </c>
      <c r="D161" s="7">
        <v>291</v>
      </c>
      <c r="E161" s="7">
        <v>80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>
        <v>45615</v>
      </c>
      <c r="B162" s="13">
        <v>0.66644675925925922</v>
      </c>
      <c r="C162" s="7">
        <v>38344</v>
      </c>
      <c r="D162" s="7">
        <v>287</v>
      </c>
      <c r="E162" s="7">
        <v>80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>
        <v>45615</v>
      </c>
      <c r="B163" s="13">
        <v>0.66644675925925922</v>
      </c>
      <c r="C163" s="7">
        <v>38376</v>
      </c>
      <c r="D163" s="7">
        <v>286</v>
      </c>
      <c r="E163" s="7">
        <v>80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>
        <v>45615</v>
      </c>
      <c r="B164" s="13">
        <v>0.66644675925925922</v>
      </c>
      <c r="C164" s="7">
        <v>38445</v>
      </c>
      <c r="D164" s="7">
        <v>281</v>
      </c>
      <c r="E164" s="7">
        <v>95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>
        <v>45615</v>
      </c>
      <c r="B165" s="13">
        <v>0.66644675925925922</v>
      </c>
      <c r="C165" s="7">
        <v>38477</v>
      </c>
      <c r="D165" s="7">
        <v>279</v>
      </c>
      <c r="E165" s="7">
        <v>100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>
        <v>45615</v>
      </c>
      <c r="B166" s="13">
        <v>0.66644675925925922</v>
      </c>
      <c r="C166" s="7">
        <v>38546</v>
      </c>
      <c r="D166" s="7">
        <v>275</v>
      </c>
      <c r="E166" s="7">
        <v>100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>
        <v>45615</v>
      </c>
      <c r="B167" s="13">
        <v>0.66644675925925922</v>
      </c>
      <c r="C167" s="7">
        <v>38578</v>
      </c>
      <c r="D167" s="7">
        <v>273</v>
      </c>
      <c r="E167" s="7">
        <v>100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>
        <v>45615</v>
      </c>
      <c r="B168" s="13">
        <v>0.66644675925925922</v>
      </c>
      <c r="C168" s="7">
        <v>38647</v>
      </c>
      <c r="D168" s="7">
        <v>270</v>
      </c>
      <c r="E168" s="7">
        <v>100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>
        <v>45615</v>
      </c>
      <c r="B169" s="13">
        <v>0.66644675925925922</v>
      </c>
      <c r="C169" s="7">
        <v>38679</v>
      </c>
      <c r="D169" s="7">
        <v>268</v>
      </c>
      <c r="E169" s="7">
        <v>100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>
        <v>45615</v>
      </c>
      <c r="B170" s="13">
        <v>0.66644675925925922</v>
      </c>
      <c r="C170" s="7">
        <v>38739</v>
      </c>
      <c r="D170" s="7">
        <v>267</v>
      </c>
      <c r="E170" s="7">
        <v>100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>
        <v>45615</v>
      </c>
      <c r="B171" s="13">
        <v>0.66644675925925922</v>
      </c>
      <c r="C171" s="7">
        <v>38808</v>
      </c>
      <c r="D171" s="7">
        <v>267</v>
      </c>
      <c r="E171" s="7">
        <v>100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>
        <v>45615</v>
      </c>
      <c r="B172" s="13">
        <v>0.66644675925925922</v>
      </c>
      <c r="C172" s="7">
        <v>38840</v>
      </c>
      <c r="D172" s="7">
        <v>268</v>
      </c>
      <c r="E172" s="7">
        <v>100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>
        <v>45615</v>
      </c>
      <c r="B173" s="13">
        <v>0.66644675925925922</v>
      </c>
      <c r="C173" s="7">
        <v>38909</v>
      </c>
      <c r="D173" s="7">
        <v>271</v>
      </c>
      <c r="E173" s="7">
        <v>100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>
        <v>45615</v>
      </c>
      <c r="B174" s="13">
        <v>0.66644675925925922</v>
      </c>
      <c r="C174" s="7">
        <v>38941</v>
      </c>
      <c r="D174" s="7">
        <v>271</v>
      </c>
      <c r="E174" s="7">
        <v>100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>
        <v>45615</v>
      </c>
      <c r="B175" s="13">
        <v>0.66644675925925922</v>
      </c>
      <c r="C175" s="7">
        <v>39010</v>
      </c>
      <c r="D175" s="7">
        <v>275</v>
      </c>
      <c r="E175" s="7">
        <v>100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>
        <v>45615</v>
      </c>
      <c r="B176" s="13">
        <v>0.66644675925925922</v>
      </c>
      <c r="C176" s="7">
        <v>39042</v>
      </c>
      <c r="D176" s="7">
        <v>279</v>
      </c>
      <c r="E176" s="7">
        <v>100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>
        <v>45615</v>
      </c>
      <c r="B177" s="13">
        <v>0.66644675925925922</v>
      </c>
      <c r="C177" s="7">
        <v>39111</v>
      </c>
      <c r="D177" s="7">
        <v>284</v>
      </c>
      <c r="E177" s="7">
        <v>80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>
        <v>45615</v>
      </c>
      <c r="B178" s="13">
        <v>0.66645833333333326</v>
      </c>
      <c r="C178" s="7">
        <v>39143</v>
      </c>
      <c r="D178" s="7">
        <v>283</v>
      </c>
      <c r="E178" s="7">
        <v>85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>
        <v>45615</v>
      </c>
      <c r="B179" s="13">
        <v>0.66645833333333326</v>
      </c>
      <c r="C179" s="7">
        <v>39212</v>
      </c>
      <c r="D179" s="7">
        <v>288</v>
      </c>
      <c r="E179" s="7">
        <v>80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>
        <v>45615</v>
      </c>
      <c r="B180" s="13">
        <v>0.66645833333333326</v>
      </c>
      <c r="C180" s="7">
        <v>39244</v>
      </c>
      <c r="D180" s="7">
        <v>294</v>
      </c>
      <c r="E180" s="7">
        <v>80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>
        <v>45615</v>
      </c>
      <c r="B181" s="13">
        <v>0.66645833333333326</v>
      </c>
      <c r="C181" s="7">
        <v>39313</v>
      </c>
      <c r="D181" s="7">
        <v>298</v>
      </c>
      <c r="E181" s="7">
        <v>80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>
        <v>45615</v>
      </c>
      <c r="B182" s="13">
        <v>0.66645833333333326</v>
      </c>
      <c r="C182" s="7">
        <v>39345</v>
      </c>
      <c r="D182" s="7">
        <v>298</v>
      </c>
      <c r="E182" s="7">
        <v>80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>
        <v>45615</v>
      </c>
      <c r="B183" s="13">
        <v>0.66645833333333326</v>
      </c>
      <c r="C183" s="7">
        <v>39414</v>
      </c>
      <c r="D183" s="7">
        <v>301</v>
      </c>
      <c r="E183" s="7">
        <v>80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>
        <v>45615</v>
      </c>
      <c r="B184" s="13">
        <v>0.66645833333333326</v>
      </c>
      <c r="C184" s="7">
        <v>39446</v>
      </c>
      <c r="D184" s="7">
        <v>305</v>
      </c>
      <c r="E184" s="7">
        <v>80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>
        <v>45615</v>
      </c>
      <c r="B185" s="13">
        <v>0.66645833333333326</v>
      </c>
      <c r="C185" s="7">
        <v>39515</v>
      </c>
      <c r="D185" s="7">
        <v>306</v>
      </c>
      <c r="E185" s="7">
        <v>80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>
        <v>45615</v>
      </c>
      <c r="B186" s="13">
        <v>0.66645833333333326</v>
      </c>
      <c r="C186" s="7">
        <v>39547</v>
      </c>
      <c r="D186" s="7">
        <v>304</v>
      </c>
      <c r="E186" s="7">
        <v>80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>
        <v>45615</v>
      </c>
      <c r="B187" s="13">
        <v>0.66645833333333326</v>
      </c>
      <c r="C187" s="7">
        <v>39616</v>
      </c>
      <c r="D187" s="7">
        <v>303</v>
      </c>
      <c r="E187" s="7">
        <v>80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>
        <v>45615</v>
      </c>
      <c r="B188" s="13">
        <v>0.66645833333333326</v>
      </c>
      <c r="C188" s="7">
        <v>39647</v>
      </c>
      <c r="D188" s="7">
        <v>305</v>
      </c>
      <c r="E188" s="7">
        <v>80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>
        <v>45615</v>
      </c>
      <c r="B189" s="13">
        <v>0.66645833333333326</v>
      </c>
      <c r="C189" s="7">
        <v>39708</v>
      </c>
      <c r="D189" s="7">
        <v>303</v>
      </c>
      <c r="E189" s="7">
        <v>80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>
        <v>45615</v>
      </c>
      <c r="B190" s="13">
        <v>0.66645833333333326</v>
      </c>
      <c r="C190" s="7">
        <v>39777</v>
      </c>
      <c r="D190" s="7">
        <v>298</v>
      </c>
      <c r="E190" s="7">
        <v>80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>
        <v>45615</v>
      </c>
      <c r="B191" s="13">
        <v>0.66645833333333326</v>
      </c>
      <c r="C191" s="7">
        <v>39809</v>
      </c>
      <c r="D191" s="7">
        <v>295</v>
      </c>
      <c r="E191" s="7">
        <v>80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>
        <v>45615</v>
      </c>
      <c r="B192" s="13">
        <v>0.66645833333333326</v>
      </c>
      <c r="C192" s="7">
        <v>39878</v>
      </c>
      <c r="D192" s="7">
        <v>290</v>
      </c>
      <c r="E192" s="7">
        <v>80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>
        <v>45615</v>
      </c>
      <c r="B193" s="13">
        <v>0.66645833333333326</v>
      </c>
      <c r="C193" s="7">
        <v>39909</v>
      </c>
      <c r="D193" s="7">
        <v>287</v>
      </c>
      <c r="E193" s="7">
        <v>80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>
        <v>45615</v>
      </c>
      <c r="B194" s="13">
        <v>0.66645833333333326</v>
      </c>
      <c r="C194" s="7">
        <v>39979</v>
      </c>
      <c r="D194" s="7">
        <v>281</v>
      </c>
      <c r="E194" s="7">
        <v>95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>
        <v>45615</v>
      </c>
      <c r="B195" s="13">
        <v>0.66645833333333326</v>
      </c>
      <c r="C195" s="7">
        <v>40011</v>
      </c>
      <c r="D195" s="7">
        <v>279</v>
      </c>
      <c r="E195" s="7">
        <v>100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>
        <v>45615</v>
      </c>
      <c r="B196" s="13">
        <v>0.66645833333333326</v>
      </c>
      <c r="C196" s="7">
        <v>40080</v>
      </c>
      <c r="D196" s="7">
        <v>273</v>
      </c>
      <c r="E196" s="7">
        <v>100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>
        <v>45615</v>
      </c>
      <c r="B197" s="13">
        <v>0.66645833333333326</v>
      </c>
      <c r="C197" s="7">
        <v>40111</v>
      </c>
      <c r="D197" s="7">
        <v>269</v>
      </c>
      <c r="E197" s="7">
        <v>100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>
        <v>45615</v>
      </c>
      <c r="B198" s="13">
        <v>0.66646990740740741</v>
      </c>
      <c r="C198" s="7">
        <v>40181</v>
      </c>
      <c r="D198" s="7">
        <v>265</v>
      </c>
      <c r="E198" s="7">
        <v>100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>
        <v>45615</v>
      </c>
      <c r="B199" s="13">
        <v>0.66646990740740741</v>
      </c>
      <c r="C199" s="7">
        <v>40213</v>
      </c>
      <c r="D199" s="7">
        <v>262</v>
      </c>
      <c r="E199" s="7">
        <v>100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>
        <v>45615</v>
      </c>
      <c r="B200" s="13">
        <v>0.66646990740740741</v>
      </c>
      <c r="C200" s="7">
        <v>40282</v>
      </c>
      <c r="D200" s="7">
        <v>259</v>
      </c>
      <c r="E200" s="7">
        <v>100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2">
        <v>45615</v>
      </c>
      <c r="B201" s="13">
        <v>0.66646990740740741</v>
      </c>
      <c r="C201" s="7">
        <v>40313</v>
      </c>
      <c r="D201" s="7">
        <v>259</v>
      </c>
      <c r="E201" s="7">
        <v>100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2">
        <v>45615</v>
      </c>
      <c r="B202" s="13">
        <v>0.66646990740740741</v>
      </c>
      <c r="C202" s="7">
        <v>40383</v>
      </c>
      <c r="D202" s="7">
        <v>259</v>
      </c>
      <c r="E202" s="7">
        <v>100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2">
        <v>45615</v>
      </c>
      <c r="B203" s="13">
        <v>0.66646990740740741</v>
      </c>
      <c r="C203" s="7">
        <v>40415</v>
      </c>
      <c r="D203" s="7">
        <v>257</v>
      </c>
      <c r="E203" s="7">
        <v>100</v>
      </c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2">
        <v>45615</v>
      </c>
      <c r="B204" s="13">
        <v>0.66646990740740741</v>
      </c>
      <c r="C204" s="7">
        <v>40484</v>
      </c>
      <c r="D204" s="7">
        <v>258</v>
      </c>
      <c r="E204" s="7">
        <v>100</v>
      </c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2">
        <v>45615</v>
      </c>
      <c r="B205" s="13">
        <v>0.66646990740740741</v>
      </c>
      <c r="C205" s="7">
        <v>40515</v>
      </c>
      <c r="D205" s="7">
        <v>262</v>
      </c>
      <c r="E205" s="7">
        <v>100</v>
      </c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2">
        <v>45615</v>
      </c>
      <c r="B206" s="13">
        <v>0.66646990740740741</v>
      </c>
      <c r="C206" s="7">
        <v>40585</v>
      </c>
      <c r="D206" s="7">
        <v>264</v>
      </c>
      <c r="E206" s="7">
        <v>100</v>
      </c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2">
        <v>45615</v>
      </c>
      <c r="B207" s="13">
        <v>0.66646990740740741</v>
      </c>
      <c r="C207" s="7">
        <v>40617</v>
      </c>
      <c r="D207" s="7">
        <v>264</v>
      </c>
      <c r="E207" s="7">
        <v>100</v>
      </c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2">
        <v>45615</v>
      </c>
      <c r="B208" s="13">
        <v>0.66646990740740741</v>
      </c>
      <c r="C208" s="7">
        <v>40686</v>
      </c>
      <c r="D208" s="7">
        <v>268</v>
      </c>
      <c r="E208" s="7">
        <v>100</v>
      </c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2">
        <v>45615</v>
      </c>
      <c r="B209" s="13">
        <v>0.66646990740740741</v>
      </c>
      <c r="C209" s="7">
        <v>40718</v>
      </c>
      <c r="D209" s="7">
        <v>273</v>
      </c>
      <c r="E209" s="7">
        <v>100</v>
      </c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2">
        <v>45615</v>
      </c>
      <c r="B210" s="13">
        <v>0.66646990740740741</v>
      </c>
      <c r="C210" s="7">
        <v>40787</v>
      </c>
      <c r="D210" s="7">
        <v>278</v>
      </c>
      <c r="E210" s="7">
        <v>100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2">
        <v>45615</v>
      </c>
      <c r="B211" s="13">
        <v>0.66646990740740741</v>
      </c>
      <c r="C211" s="7">
        <v>40819</v>
      </c>
      <c r="D211" s="7">
        <v>278</v>
      </c>
      <c r="E211" s="7">
        <v>100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2">
        <v>45615</v>
      </c>
      <c r="B212" s="13">
        <v>0.66646990740740741</v>
      </c>
      <c r="C212" s="7">
        <v>40879</v>
      </c>
      <c r="D212" s="7">
        <v>284</v>
      </c>
      <c r="E212" s="7">
        <v>80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2">
        <v>45615</v>
      </c>
      <c r="B213" s="13">
        <v>0.66646990740740741</v>
      </c>
      <c r="C213" s="7">
        <v>40948</v>
      </c>
      <c r="D213" s="7">
        <v>288</v>
      </c>
      <c r="E213" s="7">
        <v>80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2">
        <v>45615</v>
      </c>
      <c r="B214" s="13">
        <v>0.66646990740740741</v>
      </c>
      <c r="C214" s="7">
        <v>40980</v>
      </c>
      <c r="D214" s="7">
        <v>294</v>
      </c>
      <c r="E214" s="7">
        <v>80</v>
      </c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2">
        <v>45615</v>
      </c>
      <c r="B215" s="13">
        <v>0.66646990740740741</v>
      </c>
      <c r="C215" s="7">
        <v>41049</v>
      </c>
      <c r="D215" s="7">
        <v>298</v>
      </c>
      <c r="E215" s="7">
        <v>80</v>
      </c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2">
        <v>45615</v>
      </c>
      <c r="B216" s="13">
        <v>0.66646990740740741</v>
      </c>
      <c r="C216" s="7">
        <v>41081</v>
      </c>
      <c r="D216" s="7">
        <v>298</v>
      </c>
      <c r="E216" s="7">
        <v>80</v>
      </c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2">
        <v>45615</v>
      </c>
      <c r="B217" s="13">
        <v>0.66648148148148145</v>
      </c>
      <c r="C217" s="7">
        <v>41150</v>
      </c>
      <c r="D217" s="7">
        <v>302</v>
      </c>
      <c r="E217" s="7">
        <v>80</v>
      </c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2">
        <v>45615</v>
      </c>
      <c r="B218" s="13">
        <v>0.66648148148148145</v>
      </c>
      <c r="C218" s="7">
        <v>41182</v>
      </c>
      <c r="D218" s="7">
        <v>305</v>
      </c>
      <c r="E218" s="7">
        <v>80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2">
        <v>45615</v>
      </c>
      <c r="B219" s="13">
        <v>0.66648148148148145</v>
      </c>
      <c r="C219" s="7">
        <v>41251</v>
      </c>
      <c r="D219" s="7">
        <v>306</v>
      </c>
      <c r="E219" s="7">
        <v>80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2">
        <v>45615</v>
      </c>
      <c r="B220" s="13">
        <v>0.66648148148148145</v>
      </c>
      <c r="C220" s="7">
        <v>41283</v>
      </c>
      <c r="D220" s="7">
        <v>304</v>
      </c>
      <c r="E220" s="7">
        <v>80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2">
        <v>45615</v>
      </c>
      <c r="B221" s="13">
        <v>0.66648148148148145</v>
      </c>
      <c r="C221" s="7">
        <v>41352</v>
      </c>
      <c r="D221" s="7">
        <v>304</v>
      </c>
      <c r="E221" s="7">
        <v>80</v>
      </c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2">
        <v>45615</v>
      </c>
      <c r="B222" s="13">
        <v>0.66648148148148145</v>
      </c>
      <c r="C222" s="7">
        <v>41384</v>
      </c>
      <c r="D222" s="7">
        <v>303</v>
      </c>
      <c r="E222" s="7">
        <v>80</v>
      </c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2">
        <v>45615</v>
      </c>
      <c r="B223" s="13">
        <v>0.66648148148148145</v>
      </c>
      <c r="C223" s="7">
        <v>41453</v>
      </c>
      <c r="D223" s="7">
        <v>299</v>
      </c>
      <c r="E223" s="7">
        <v>80</v>
      </c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2">
        <v>45615</v>
      </c>
      <c r="B224" s="13">
        <v>0.66648148148148145</v>
      </c>
      <c r="C224" s="7">
        <v>41485</v>
      </c>
      <c r="D224" s="7">
        <v>296</v>
      </c>
      <c r="E224" s="7">
        <v>80</v>
      </c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2">
        <v>45615</v>
      </c>
      <c r="B225" s="13">
        <v>0.66648148148148145</v>
      </c>
      <c r="C225" s="7">
        <v>41554</v>
      </c>
      <c r="D225" s="7">
        <v>290</v>
      </c>
      <c r="E225" s="7">
        <v>80</v>
      </c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2">
        <v>45615</v>
      </c>
      <c r="B226" s="13">
        <v>0.66648148148148145</v>
      </c>
      <c r="C226" s="7">
        <v>41585</v>
      </c>
      <c r="D226" s="7">
        <v>287</v>
      </c>
      <c r="E226" s="7">
        <v>80</v>
      </c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2">
        <v>45615</v>
      </c>
      <c r="B227" s="13">
        <v>0.66648148148148145</v>
      </c>
      <c r="C227" s="7">
        <v>41655</v>
      </c>
      <c r="D227" s="7">
        <v>281</v>
      </c>
      <c r="E227" s="7">
        <v>95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2">
        <v>45615</v>
      </c>
      <c r="B228" s="13">
        <v>0.66648148148148145</v>
      </c>
      <c r="C228" s="7">
        <v>41687</v>
      </c>
      <c r="D228" s="7">
        <v>278</v>
      </c>
      <c r="E228" s="7">
        <v>100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2">
        <v>45615</v>
      </c>
      <c r="B229" s="13">
        <v>0.66648148148148145</v>
      </c>
      <c r="C229" s="7">
        <v>41756</v>
      </c>
      <c r="D229" s="7">
        <v>270</v>
      </c>
      <c r="E229" s="7">
        <v>100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2">
        <v>45615</v>
      </c>
      <c r="B230" s="13">
        <v>0.66648148148148145</v>
      </c>
      <c r="C230" s="7">
        <v>41788</v>
      </c>
      <c r="D230" s="7">
        <v>269</v>
      </c>
      <c r="E230" s="7">
        <v>100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2">
        <v>45615</v>
      </c>
      <c r="B231" s="13">
        <v>0.66648148148148145</v>
      </c>
      <c r="C231" s="7">
        <v>41857</v>
      </c>
      <c r="D231" s="7">
        <v>263</v>
      </c>
      <c r="E231" s="7">
        <v>100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2">
        <v>45615</v>
      </c>
      <c r="B232" s="13">
        <v>0.66648148148148145</v>
      </c>
      <c r="C232" s="7">
        <v>41889</v>
      </c>
      <c r="D232" s="7">
        <v>259</v>
      </c>
      <c r="E232" s="7">
        <v>100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2">
        <v>45615</v>
      </c>
      <c r="B233" s="13">
        <v>0.66648148148148145</v>
      </c>
      <c r="C233" s="7">
        <v>41958</v>
      </c>
      <c r="D233" s="7">
        <v>256</v>
      </c>
      <c r="E233" s="7">
        <v>100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2">
        <v>45615</v>
      </c>
      <c r="B234" s="13">
        <v>0.66648148148148145</v>
      </c>
      <c r="C234" s="7">
        <v>41989</v>
      </c>
      <c r="D234" s="7">
        <v>256</v>
      </c>
      <c r="E234" s="7">
        <v>100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2">
        <v>45615</v>
      </c>
      <c r="B235" s="13">
        <v>0.66648148148148145</v>
      </c>
      <c r="C235" s="7">
        <v>42049</v>
      </c>
      <c r="D235" s="7">
        <v>255</v>
      </c>
      <c r="E235" s="7">
        <v>100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2">
        <v>45615</v>
      </c>
      <c r="B236" s="13">
        <v>0.66648148148148145</v>
      </c>
      <c r="C236" s="7">
        <v>42119</v>
      </c>
      <c r="D236" s="7">
        <v>255</v>
      </c>
      <c r="E236" s="7">
        <v>100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2">
        <v>45615</v>
      </c>
      <c r="B237" s="13">
        <v>0.6664930555555556</v>
      </c>
      <c r="C237" s="7">
        <v>42151</v>
      </c>
      <c r="D237" s="7">
        <v>254</v>
      </c>
      <c r="E237" s="7">
        <v>100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2">
        <v>45615</v>
      </c>
      <c r="B238" s="13">
        <v>0.6664930555555556</v>
      </c>
      <c r="C238" s="7">
        <v>42220</v>
      </c>
      <c r="D238" s="7">
        <v>257</v>
      </c>
      <c r="E238" s="7">
        <v>100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2">
        <v>45615</v>
      </c>
      <c r="B239" s="13">
        <v>0.6664930555555556</v>
      </c>
      <c r="C239" s="7">
        <v>42251</v>
      </c>
      <c r="D239" s="7">
        <v>261</v>
      </c>
      <c r="E239" s="7">
        <v>100</v>
      </c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2">
        <v>45615</v>
      </c>
      <c r="B240" s="13">
        <v>0.6664930555555556</v>
      </c>
      <c r="C240" s="7">
        <v>42321</v>
      </c>
      <c r="D240" s="7">
        <v>265</v>
      </c>
      <c r="E240" s="7">
        <v>100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2">
        <v>45615</v>
      </c>
      <c r="B241" s="13">
        <v>0.6664930555555556</v>
      </c>
      <c r="C241" s="7">
        <v>42353</v>
      </c>
      <c r="D241" s="7">
        <v>264</v>
      </c>
      <c r="E241" s="7">
        <v>100</v>
      </c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2">
        <v>45615</v>
      </c>
      <c r="B242" s="13">
        <v>0.6664930555555556</v>
      </c>
      <c r="C242" s="7">
        <v>42422</v>
      </c>
      <c r="D242" s="7">
        <v>269</v>
      </c>
      <c r="E242" s="7">
        <v>100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2">
        <v>45615</v>
      </c>
      <c r="B243" s="13">
        <v>0.6664930555555556</v>
      </c>
      <c r="C243" s="7">
        <v>42453</v>
      </c>
      <c r="D243" s="7">
        <v>274</v>
      </c>
      <c r="E243" s="7">
        <v>100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2">
        <v>45615</v>
      </c>
      <c r="B244" s="13">
        <v>0.6664930555555556</v>
      </c>
      <c r="C244" s="7">
        <v>42523</v>
      </c>
      <c r="D244" s="7">
        <v>279</v>
      </c>
      <c r="E244" s="7">
        <v>100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2">
        <v>45615</v>
      </c>
      <c r="B245" s="13">
        <v>0.6664930555555556</v>
      </c>
      <c r="C245" s="7">
        <v>42555</v>
      </c>
      <c r="D245" s="7">
        <v>279</v>
      </c>
      <c r="E245" s="7">
        <v>100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2">
        <v>45615</v>
      </c>
      <c r="B246" s="13">
        <v>0.6664930555555556</v>
      </c>
      <c r="C246" s="7">
        <v>42624</v>
      </c>
      <c r="D246" s="7">
        <v>284</v>
      </c>
      <c r="E246" s="7">
        <v>80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2">
        <v>45615</v>
      </c>
      <c r="B247" s="13">
        <v>0.6664930555555556</v>
      </c>
      <c r="C247" s="7">
        <v>42656</v>
      </c>
      <c r="D247" s="7">
        <v>289</v>
      </c>
      <c r="E247" s="7">
        <v>80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2">
        <v>45615</v>
      </c>
      <c r="B248" s="13">
        <v>0.6664930555555556</v>
      </c>
      <c r="C248" s="7">
        <v>42725</v>
      </c>
      <c r="D248" s="7">
        <v>294</v>
      </c>
      <c r="E248" s="7">
        <v>80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2">
        <v>45615</v>
      </c>
      <c r="B249" s="13">
        <v>0.6664930555555556</v>
      </c>
      <c r="C249" s="7">
        <v>42757</v>
      </c>
      <c r="D249" s="7">
        <v>294</v>
      </c>
      <c r="E249" s="7">
        <v>80</v>
      </c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2">
        <v>45615</v>
      </c>
      <c r="B250" s="13">
        <v>0.6664930555555556</v>
      </c>
      <c r="C250" s="7">
        <v>42826</v>
      </c>
      <c r="D250" s="7">
        <v>298</v>
      </c>
      <c r="E250" s="7">
        <v>80</v>
      </c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2">
        <v>45615</v>
      </c>
      <c r="B251" s="13">
        <v>0.6664930555555556</v>
      </c>
      <c r="C251" s="7">
        <v>42858</v>
      </c>
      <c r="D251" s="7">
        <v>301</v>
      </c>
      <c r="E251" s="7">
        <v>80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2">
        <v>45615</v>
      </c>
      <c r="B252" s="13">
        <v>0.6664930555555556</v>
      </c>
      <c r="C252" s="7">
        <v>42927</v>
      </c>
      <c r="D252" s="7">
        <v>302</v>
      </c>
      <c r="E252" s="7">
        <v>80</v>
      </c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2">
        <v>45615</v>
      </c>
      <c r="B253" s="13">
        <v>0.6664930555555556</v>
      </c>
      <c r="C253" s="7">
        <v>42959</v>
      </c>
      <c r="D253" s="7">
        <v>301</v>
      </c>
      <c r="E253" s="7">
        <v>80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2">
        <v>45615</v>
      </c>
      <c r="B254" s="13">
        <v>0.6664930555555556</v>
      </c>
      <c r="C254" s="7">
        <v>43028</v>
      </c>
      <c r="D254" s="7">
        <v>300</v>
      </c>
      <c r="E254" s="7">
        <v>80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2">
        <v>45615</v>
      </c>
      <c r="B255" s="13">
        <v>0.6664930555555556</v>
      </c>
      <c r="C255" s="7">
        <v>43060</v>
      </c>
      <c r="D255" s="7">
        <v>299</v>
      </c>
      <c r="E255" s="7">
        <v>80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2">
        <v>45615</v>
      </c>
      <c r="B256" s="13">
        <v>0.6664930555555556</v>
      </c>
      <c r="C256" s="7">
        <v>43120</v>
      </c>
      <c r="D256" s="7">
        <v>297</v>
      </c>
      <c r="E256" s="7">
        <v>80</v>
      </c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2">
        <v>45615</v>
      </c>
      <c r="B257" s="13">
        <v>0.66650462962962964</v>
      </c>
      <c r="C257" s="7">
        <v>43189</v>
      </c>
      <c r="D257" s="7">
        <v>292</v>
      </c>
      <c r="E257" s="7">
        <v>80</v>
      </c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2">
        <v>45615</v>
      </c>
      <c r="B258" s="13">
        <v>0.66650462962962964</v>
      </c>
      <c r="C258" s="7">
        <v>43221</v>
      </c>
      <c r="D258" s="7">
        <v>288</v>
      </c>
      <c r="E258" s="7">
        <v>80</v>
      </c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2">
        <v>45615</v>
      </c>
      <c r="B259" s="13">
        <v>0.66650462962962964</v>
      </c>
      <c r="C259" s="7">
        <v>43290</v>
      </c>
      <c r="D259" s="7">
        <v>281</v>
      </c>
      <c r="E259" s="7">
        <v>95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2">
        <v>45615</v>
      </c>
      <c r="B260" s="13">
        <v>0.66650462962962964</v>
      </c>
      <c r="C260" s="7">
        <v>43321</v>
      </c>
      <c r="D260" s="7">
        <v>279</v>
      </c>
      <c r="E260" s="7">
        <v>100</v>
      </c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2">
        <v>45615</v>
      </c>
      <c r="B261" s="13">
        <v>0.66650462962962964</v>
      </c>
      <c r="C261" s="7">
        <v>43391</v>
      </c>
      <c r="D261" s="7">
        <v>272</v>
      </c>
      <c r="E261" s="7">
        <v>100</v>
      </c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2">
        <v>45615</v>
      </c>
      <c r="B262" s="13">
        <v>0.66650462962962964</v>
      </c>
      <c r="C262" s="7">
        <v>43423</v>
      </c>
      <c r="D262" s="7">
        <v>267</v>
      </c>
      <c r="E262" s="7">
        <v>100</v>
      </c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2">
        <v>45615</v>
      </c>
      <c r="B263" s="13">
        <v>0.66650462962962964</v>
      </c>
      <c r="C263" s="7">
        <v>43472</v>
      </c>
      <c r="D263" s="7">
        <v>260</v>
      </c>
      <c r="E263" s="7">
        <v>100</v>
      </c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2">
        <v>45615</v>
      </c>
      <c r="B264" s="13">
        <v>0.66650462962962964</v>
      </c>
      <c r="C264" s="7">
        <v>43524</v>
      </c>
      <c r="D264" s="7">
        <v>260</v>
      </c>
      <c r="E264" s="7">
        <v>100</v>
      </c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12">
        <v>45615</v>
      </c>
      <c r="B265" s="13">
        <v>0.66650462962962964</v>
      </c>
      <c r="C265" s="7">
        <v>43593</v>
      </c>
      <c r="D265" s="7">
        <v>254</v>
      </c>
      <c r="E265" s="7">
        <v>100</v>
      </c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12">
        <v>45615</v>
      </c>
      <c r="B266" s="13">
        <v>0.66650462962962964</v>
      </c>
      <c r="C266" s="7">
        <v>43625</v>
      </c>
      <c r="D266" s="7">
        <v>251</v>
      </c>
      <c r="E266" s="7">
        <v>100</v>
      </c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12">
        <v>45615</v>
      </c>
      <c r="B267" s="13">
        <v>0.66650462962962964</v>
      </c>
      <c r="C267" s="7">
        <v>43694</v>
      </c>
      <c r="D267" s="7">
        <v>248</v>
      </c>
      <c r="E267" s="7">
        <v>100</v>
      </c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12">
        <v>45615</v>
      </c>
      <c r="B268" s="13">
        <v>0.66650462962962964</v>
      </c>
      <c r="C268" s="7">
        <v>43725</v>
      </c>
      <c r="D268" s="7">
        <v>251</v>
      </c>
      <c r="E268" s="7">
        <v>100</v>
      </c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12">
        <v>45615</v>
      </c>
      <c r="B269" s="13">
        <v>0.66650462962962964</v>
      </c>
      <c r="C269" s="7">
        <v>43795</v>
      </c>
      <c r="D269" s="7">
        <v>252</v>
      </c>
      <c r="E269" s="7">
        <v>100</v>
      </c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12">
        <v>45615</v>
      </c>
      <c r="B270" s="13">
        <v>0.66650462962962964</v>
      </c>
      <c r="C270" s="7">
        <v>43827</v>
      </c>
      <c r="D270" s="7">
        <v>250</v>
      </c>
      <c r="E270" s="7">
        <v>100</v>
      </c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12">
        <v>45615</v>
      </c>
      <c r="B271" s="13">
        <v>0.66650462962962964</v>
      </c>
      <c r="C271" s="7">
        <v>43896</v>
      </c>
      <c r="D271" s="7">
        <v>253</v>
      </c>
      <c r="E271" s="7">
        <v>100</v>
      </c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12">
        <v>45615</v>
      </c>
      <c r="B272" s="13">
        <v>0.66650462962962964</v>
      </c>
      <c r="C272" s="7">
        <v>43927</v>
      </c>
      <c r="D272" s="7">
        <v>258</v>
      </c>
      <c r="E272" s="7">
        <v>100</v>
      </c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12">
        <v>45615</v>
      </c>
      <c r="B273" s="13">
        <v>0.66650462962962964</v>
      </c>
      <c r="C273" s="7">
        <v>43997</v>
      </c>
      <c r="D273" s="7">
        <v>263</v>
      </c>
      <c r="E273" s="7">
        <v>100</v>
      </c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12">
        <v>45615</v>
      </c>
      <c r="B274" s="13">
        <v>0.66650462962962964</v>
      </c>
      <c r="C274" s="7">
        <v>44029</v>
      </c>
      <c r="D274" s="7">
        <v>263</v>
      </c>
      <c r="E274" s="7">
        <v>100</v>
      </c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2">
        <v>45615</v>
      </c>
      <c r="B275" s="13">
        <v>0.66650462962962964</v>
      </c>
      <c r="C275" s="7">
        <v>44098</v>
      </c>
      <c r="D275" s="7">
        <v>268</v>
      </c>
      <c r="E275" s="7">
        <v>100</v>
      </c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2">
        <v>45615</v>
      </c>
      <c r="B276" s="13">
        <v>0.66651620370370368</v>
      </c>
      <c r="C276" s="7">
        <v>44129</v>
      </c>
      <c r="D276" s="7">
        <v>271</v>
      </c>
      <c r="E276" s="7">
        <v>100</v>
      </c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2">
        <v>45615</v>
      </c>
      <c r="B277" s="13">
        <v>0.66651620370370368</v>
      </c>
      <c r="C277" s="7">
        <v>44199</v>
      </c>
      <c r="D277" s="7">
        <v>276</v>
      </c>
      <c r="E277" s="7">
        <v>100</v>
      </c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2">
        <v>45615</v>
      </c>
      <c r="B278" s="13">
        <v>0.66651620370370368</v>
      </c>
      <c r="C278" s="7">
        <v>44231</v>
      </c>
      <c r="D278" s="7">
        <v>277</v>
      </c>
      <c r="E278" s="7">
        <v>100</v>
      </c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2">
        <v>45615</v>
      </c>
      <c r="B279" s="13">
        <v>0.66651620370370368</v>
      </c>
      <c r="C279" s="7">
        <v>44300</v>
      </c>
      <c r="D279" s="7">
        <v>282</v>
      </c>
      <c r="E279" s="7">
        <v>90</v>
      </c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2">
        <v>45615</v>
      </c>
      <c r="B280" s="13">
        <v>0.66651620370370368</v>
      </c>
      <c r="C280" s="7">
        <v>44332</v>
      </c>
      <c r="D280" s="7">
        <v>284</v>
      </c>
      <c r="E280" s="7">
        <v>80</v>
      </c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2">
        <v>45615</v>
      </c>
      <c r="B281" s="13">
        <v>0.66651620370370368</v>
      </c>
      <c r="C281" s="7">
        <v>44392</v>
      </c>
      <c r="D281" s="7">
        <v>289</v>
      </c>
      <c r="E281" s="7">
        <v>80</v>
      </c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2">
        <v>45615</v>
      </c>
      <c r="B282" s="13">
        <v>0.66651620370370368</v>
      </c>
      <c r="C282" s="7">
        <v>44462</v>
      </c>
      <c r="D282" s="7">
        <v>294</v>
      </c>
      <c r="E282" s="7">
        <v>80</v>
      </c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2">
        <v>45615</v>
      </c>
      <c r="B283" s="13">
        <v>0.66651620370370368</v>
      </c>
      <c r="C283" s="7">
        <v>44494</v>
      </c>
      <c r="D283" s="7">
        <v>294</v>
      </c>
      <c r="E283" s="7">
        <v>80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2">
        <v>45615</v>
      </c>
      <c r="B284" s="13">
        <v>0.66651620370370368</v>
      </c>
      <c r="C284" s="7">
        <v>44543</v>
      </c>
      <c r="D284" s="7">
        <v>298</v>
      </c>
      <c r="E284" s="7">
        <v>80</v>
      </c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2">
        <v>45615</v>
      </c>
      <c r="B285" s="13">
        <v>0.66651620370370368</v>
      </c>
      <c r="C285" s="7">
        <v>44594</v>
      </c>
      <c r="D285" s="7">
        <v>301</v>
      </c>
      <c r="E285" s="7">
        <v>80</v>
      </c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2">
        <v>45615</v>
      </c>
      <c r="B286" s="13">
        <v>0.66651620370370368</v>
      </c>
      <c r="C286" s="7">
        <v>44663</v>
      </c>
      <c r="D286" s="7">
        <v>303</v>
      </c>
      <c r="E286" s="7">
        <v>80</v>
      </c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2">
        <v>45615</v>
      </c>
      <c r="B287" s="13">
        <v>0.66651620370370368</v>
      </c>
      <c r="C287" s="7">
        <v>44695</v>
      </c>
      <c r="D287" s="7">
        <v>301</v>
      </c>
      <c r="E287" s="7">
        <v>80</v>
      </c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2">
        <v>45615</v>
      </c>
      <c r="B288" s="13">
        <v>0.66651620370370368</v>
      </c>
      <c r="C288" s="7">
        <v>44764</v>
      </c>
      <c r="D288" s="7">
        <v>300</v>
      </c>
      <c r="E288" s="7">
        <v>80</v>
      </c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2">
        <v>45615</v>
      </c>
      <c r="B289" s="13">
        <v>0.66651620370370368</v>
      </c>
      <c r="C289" s="7">
        <v>44796</v>
      </c>
      <c r="D289" s="7">
        <v>302</v>
      </c>
      <c r="E289" s="7">
        <v>80</v>
      </c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2">
        <v>45615</v>
      </c>
      <c r="B290" s="13">
        <v>0.66651620370370368</v>
      </c>
      <c r="C290" s="7">
        <v>44865</v>
      </c>
      <c r="D290" s="7">
        <v>298</v>
      </c>
      <c r="E290" s="7">
        <v>80</v>
      </c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2">
        <v>45615</v>
      </c>
      <c r="B291" s="13">
        <v>0.66651620370370368</v>
      </c>
      <c r="C291" s="7">
        <v>44897</v>
      </c>
      <c r="D291" s="7">
        <v>294</v>
      </c>
      <c r="E291" s="7">
        <v>80</v>
      </c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2">
        <v>45615</v>
      </c>
      <c r="B292" s="13">
        <v>0.66651620370370368</v>
      </c>
      <c r="C292" s="7">
        <v>44966</v>
      </c>
      <c r="D292" s="7">
        <v>289</v>
      </c>
      <c r="E292" s="7">
        <v>80</v>
      </c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2">
        <v>45615</v>
      </c>
      <c r="B293" s="13">
        <v>0.66651620370370368</v>
      </c>
      <c r="C293" s="7">
        <v>44998</v>
      </c>
      <c r="D293" s="7">
        <v>286</v>
      </c>
      <c r="E293" s="7">
        <v>80</v>
      </c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2">
        <v>45615</v>
      </c>
      <c r="B294" s="13">
        <v>0.66651620370370368</v>
      </c>
      <c r="C294" s="7">
        <v>45067</v>
      </c>
      <c r="D294" s="7">
        <v>278</v>
      </c>
      <c r="E294" s="7">
        <v>100</v>
      </c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2">
        <v>45615</v>
      </c>
      <c r="B295" s="13">
        <v>0.66651620370370368</v>
      </c>
      <c r="C295" s="7">
        <v>45099</v>
      </c>
      <c r="D295" s="7">
        <v>273</v>
      </c>
      <c r="E295" s="7">
        <v>100</v>
      </c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2">
        <v>45615</v>
      </c>
      <c r="B296" s="13">
        <v>0.66652777777777772</v>
      </c>
      <c r="C296" s="7">
        <v>45168</v>
      </c>
      <c r="D296" s="7">
        <v>266</v>
      </c>
      <c r="E296" s="7">
        <v>100</v>
      </c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2">
        <v>45615</v>
      </c>
      <c r="B297" s="13">
        <v>0.66652777777777772</v>
      </c>
      <c r="C297" s="7">
        <v>45200</v>
      </c>
      <c r="D297" s="7">
        <v>263</v>
      </c>
      <c r="E297" s="7">
        <v>100</v>
      </c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2">
        <v>45615</v>
      </c>
      <c r="B298" s="13">
        <v>0.66652777777777772</v>
      </c>
      <c r="C298" s="7">
        <v>45269</v>
      </c>
      <c r="D298" s="7">
        <v>256</v>
      </c>
      <c r="E298" s="7">
        <v>100</v>
      </c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2">
        <v>45615</v>
      </c>
      <c r="B299" s="13">
        <v>0.66652777777777772</v>
      </c>
      <c r="C299" s="7">
        <v>45301</v>
      </c>
      <c r="D299" s="7">
        <v>254</v>
      </c>
      <c r="E299" s="7">
        <v>100</v>
      </c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2">
        <v>45615</v>
      </c>
      <c r="B300" s="13">
        <v>0.66652777777777772</v>
      </c>
      <c r="C300" s="7">
        <v>45370</v>
      </c>
      <c r="D300" s="7">
        <v>249</v>
      </c>
      <c r="E300" s="7">
        <v>100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2">
        <v>45615</v>
      </c>
      <c r="B301" s="13">
        <v>0.66652777777777772</v>
      </c>
      <c r="C301" s="7">
        <v>45401</v>
      </c>
      <c r="D301" s="7">
        <v>249</v>
      </c>
      <c r="E301" s="7">
        <v>100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2">
        <v>45615</v>
      </c>
      <c r="B302" s="13">
        <v>0.66652777777777772</v>
      </c>
      <c r="C302" s="7">
        <v>45471</v>
      </c>
      <c r="D302" s="7">
        <v>249</v>
      </c>
      <c r="E302" s="7">
        <v>100</v>
      </c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2">
        <v>45615</v>
      </c>
      <c r="B303" s="13">
        <v>0.66652777777777772</v>
      </c>
      <c r="C303" s="7">
        <v>45503</v>
      </c>
      <c r="D303" s="7">
        <v>249</v>
      </c>
      <c r="E303" s="7">
        <v>100</v>
      </c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2">
        <v>45615</v>
      </c>
      <c r="B304" s="13">
        <v>0.66652777777777772</v>
      </c>
      <c r="C304" s="7">
        <v>45564</v>
      </c>
      <c r="D304" s="7">
        <v>251</v>
      </c>
      <c r="E304" s="7">
        <v>100</v>
      </c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2">
        <v>45615</v>
      </c>
      <c r="B305" s="13">
        <v>0.66652777777777772</v>
      </c>
      <c r="C305" s="7">
        <v>45633</v>
      </c>
      <c r="D305" s="7">
        <v>254</v>
      </c>
      <c r="E305" s="7">
        <v>100</v>
      </c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2">
        <v>45615</v>
      </c>
      <c r="B306" s="13">
        <v>0.66652777777777772</v>
      </c>
      <c r="C306" s="7">
        <v>45664</v>
      </c>
      <c r="D306" s="7">
        <v>259</v>
      </c>
      <c r="E306" s="7">
        <v>100</v>
      </c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2">
        <v>45615</v>
      </c>
      <c r="B307" s="13">
        <v>0.66652777777777772</v>
      </c>
      <c r="C307" s="7">
        <v>45734</v>
      </c>
      <c r="D307" s="7">
        <v>262</v>
      </c>
      <c r="E307" s="7">
        <v>100</v>
      </c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2">
        <v>45615</v>
      </c>
      <c r="B308" s="13">
        <v>0.66652777777777772</v>
      </c>
      <c r="C308" s="7">
        <v>45766</v>
      </c>
      <c r="D308" s="7">
        <v>262</v>
      </c>
      <c r="E308" s="7">
        <v>100</v>
      </c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2">
        <v>45615</v>
      </c>
      <c r="B309" s="13">
        <v>0.66652777777777772</v>
      </c>
      <c r="C309" s="7">
        <v>45835</v>
      </c>
      <c r="D309" s="7">
        <v>266</v>
      </c>
      <c r="E309" s="7">
        <v>100</v>
      </c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2">
        <v>45615</v>
      </c>
      <c r="B310" s="13">
        <v>0.66652777777777772</v>
      </c>
      <c r="C310" s="7">
        <v>45866</v>
      </c>
      <c r="D310" s="7">
        <v>272</v>
      </c>
      <c r="E310" s="7">
        <v>100</v>
      </c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12">
        <v>45615</v>
      </c>
      <c r="B311" s="13">
        <v>0.66652777777777772</v>
      </c>
      <c r="C311" s="7">
        <v>45936</v>
      </c>
      <c r="D311" s="7">
        <v>276</v>
      </c>
      <c r="E311" s="7">
        <v>100</v>
      </c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12">
        <v>45615</v>
      </c>
      <c r="B312" s="13">
        <v>0.66652777777777772</v>
      </c>
      <c r="C312" s="7">
        <v>45968</v>
      </c>
      <c r="D312" s="7">
        <v>274</v>
      </c>
      <c r="E312" s="7">
        <v>100</v>
      </c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12">
        <v>45615</v>
      </c>
      <c r="B313" s="13">
        <v>0.66652777777777772</v>
      </c>
      <c r="C313" s="7">
        <v>46037</v>
      </c>
      <c r="D313" s="7">
        <v>279</v>
      </c>
      <c r="E313" s="7">
        <v>100</v>
      </c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12">
        <v>45615</v>
      </c>
      <c r="B314" s="13">
        <v>0.66652777777777772</v>
      </c>
      <c r="C314" s="7">
        <v>46069</v>
      </c>
      <c r="D314" s="7">
        <v>284</v>
      </c>
      <c r="E314" s="7">
        <v>80</v>
      </c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12">
        <v>45615</v>
      </c>
      <c r="B315" s="13">
        <v>0.66653935185185187</v>
      </c>
      <c r="C315" s="7">
        <v>46138</v>
      </c>
      <c r="D315" s="7">
        <v>288</v>
      </c>
      <c r="E315" s="7">
        <v>80</v>
      </c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12">
        <v>45615</v>
      </c>
      <c r="B316" s="13">
        <v>0.66653935185185187</v>
      </c>
      <c r="C316" s="7">
        <v>46170</v>
      </c>
      <c r="D316" s="7">
        <v>287</v>
      </c>
      <c r="E316" s="7">
        <v>80</v>
      </c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12">
        <v>45615</v>
      </c>
      <c r="B317" s="13">
        <v>0.66653935185185187</v>
      </c>
      <c r="C317" s="7">
        <v>46239</v>
      </c>
      <c r="D317" s="7">
        <v>290</v>
      </c>
      <c r="E317" s="7">
        <v>80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12">
        <v>45615</v>
      </c>
      <c r="B318" s="13">
        <v>0.66653935185185187</v>
      </c>
      <c r="C318" s="7">
        <v>46271</v>
      </c>
      <c r="D318" s="7">
        <v>294</v>
      </c>
      <c r="E318" s="7">
        <v>80</v>
      </c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12">
        <v>45615</v>
      </c>
      <c r="B319" s="13">
        <v>0.66653935185185187</v>
      </c>
      <c r="C319" s="7">
        <v>46340</v>
      </c>
      <c r="D319" s="7">
        <v>296</v>
      </c>
      <c r="E319" s="7">
        <v>80</v>
      </c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12">
        <v>45615</v>
      </c>
      <c r="B320" s="13">
        <v>0.66653935185185187</v>
      </c>
      <c r="C320" s="7">
        <v>46372</v>
      </c>
      <c r="D320" s="7">
        <v>293</v>
      </c>
      <c r="E320" s="7">
        <v>80</v>
      </c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12">
        <v>45615</v>
      </c>
      <c r="B321" s="13">
        <v>0.66653935185185187</v>
      </c>
      <c r="C321" s="7">
        <v>46441</v>
      </c>
      <c r="D321" s="7">
        <v>294</v>
      </c>
      <c r="E321" s="7">
        <v>80</v>
      </c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12">
        <v>45615</v>
      </c>
      <c r="B322" s="13">
        <v>0.66653935185185187</v>
      </c>
      <c r="C322" s="7">
        <v>46472</v>
      </c>
      <c r="D322" s="7">
        <v>294</v>
      </c>
      <c r="E322" s="7">
        <v>80</v>
      </c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12">
        <v>45615</v>
      </c>
      <c r="B323" s="13">
        <v>0.66653935185185187</v>
      </c>
      <c r="C323" s="7">
        <v>46542</v>
      </c>
      <c r="D323" s="7">
        <v>292</v>
      </c>
      <c r="E323" s="7">
        <v>80</v>
      </c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12">
        <v>45615</v>
      </c>
      <c r="B324" s="13">
        <v>0.66653935185185187</v>
      </c>
      <c r="C324" s="7">
        <v>46574</v>
      </c>
      <c r="D324" s="7">
        <v>289</v>
      </c>
      <c r="E324" s="7">
        <v>80</v>
      </c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12">
        <v>45615</v>
      </c>
      <c r="B325" s="13">
        <v>0.66653935185185187</v>
      </c>
      <c r="C325" s="7">
        <v>46634</v>
      </c>
      <c r="D325" s="7">
        <v>283</v>
      </c>
      <c r="E325" s="7">
        <v>85</v>
      </c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12">
        <v>45615</v>
      </c>
      <c r="B326" s="13">
        <v>0.66653935185185187</v>
      </c>
      <c r="C326" s="7">
        <v>46703</v>
      </c>
      <c r="D326" s="7">
        <v>278</v>
      </c>
      <c r="E326" s="7">
        <v>100</v>
      </c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12">
        <v>45615</v>
      </c>
      <c r="B327" s="13">
        <v>0.66653935185185187</v>
      </c>
      <c r="C327" s="7">
        <v>46734</v>
      </c>
      <c r="D327" s="7">
        <v>274</v>
      </c>
      <c r="E327" s="7">
        <v>100</v>
      </c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12">
        <v>45615</v>
      </c>
      <c r="B328" s="13">
        <v>0.66653935185185187</v>
      </c>
      <c r="C328" s="7">
        <v>46804</v>
      </c>
      <c r="D328" s="7">
        <v>266</v>
      </c>
      <c r="E328" s="7">
        <v>100</v>
      </c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12">
        <v>45615</v>
      </c>
      <c r="B329" s="13">
        <v>0.66653935185185187</v>
      </c>
      <c r="C329" s="7">
        <v>46836</v>
      </c>
      <c r="D329" s="7">
        <v>262</v>
      </c>
      <c r="E329" s="7">
        <v>100</v>
      </c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12">
        <v>45615</v>
      </c>
      <c r="B330" s="13">
        <v>0.66653935185185187</v>
      </c>
      <c r="C330" s="7">
        <v>46905</v>
      </c>
      <c r="D330" s="7">
        <v>255</v>
      </c>
      <c r="E330" s="7">
        <v>100</v>
      </c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12">
        <v>45615</v>
      </c>
      <c r="B331" s="13">
        <v>0.66653935185185187</v>
      </c>
      <c r="C331" s="7">
        <v>46936</v>
      </c>
      <c r="D331" s="7">
        <v>254</v>
      </c>
      <c r="E331" s="7">
        <v>100</v>
      </c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12">
        <v>45615</v>
      </c>
      <c r="B332" s="13">
        <v>0.66653935185185187</v>
      </c>
      <c r="C332" s="7">
        <v>47006</v>
      </c>
      <c r="D332" s="7">
        <v>249</v>
      </c>
      <c r="E332" s="7">
        <v>100</v>
      </c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12">
        <v>45615</v>
      </c>
      <c r="B333" s="13">
        <v>0.66653935185185187</v>
      </c>
      <c r="C333" s="7">
        <v>47038</v>
      </c>
      <c r="D333" s="7">
        <v>248</v>
      </c>
      <c r="E333" s="7">
        <v>100</v>
      </c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12">
        <v>45615</v>
      </c>
      <c r="B334" s="13">
        <v>0.66653935185185187</v>
      </c>
      <c r="C334" s="7">
        <v>47107</v>
      </c>
      <c r="D334" s="7">
        <v>246</v>
      </c>
      <c r="E334" s="7">
        <v>100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12">
        <v>45615</v>
      </c>
      <c r="B335" s="13">
        <v>0.66655092592592591</v>
      </c>
      <c r="C335" s="7">
        <v>47138</v>
      </c>
      <c r="D335" s="7">
        <v>247</v>
      </c>
      <c r="E335" s="7">
        <v>100</v>
      </c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12">
        <v>45615</v>
      </c>
      <c r="B336" s="13">
        <v>0.66655092592592591</v>
      </c>
      <c r="C336" s="7">
        <v>47208</v>
      </c>
      <c r="D336" s="7">
        <v>249</v>
      </c>
      <c r="E336" s="7">
        <v>100</v>
      </c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12">
        <v>45615</v>
      </c>
      <c r="B337" s="13">
        <v>0.66655092592592591</v>
      </c>
      <c r="C337" s="7">
        <v>47240</v>
      </c>
      <c r="D337" s="7">
        <v>249</v>
      </c>
      <c r="E337" s="7">
        <v>100</v>
      </c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12">
        <v>45615</v>
      </c>
      <c r="B338" s="13">
        <v>0.66655092592592591</v>
      </c>
      <c r="C338" s="7">
        <v>47309</v>
      </c>
      <c r="D338" s="7">
        <v>252</v>
      </c>
      <c r="E338" s="7">
        <v>100</v>
      </c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12">
        <v>45615</v>
      </c>
      <c r="B339" s="13">
        <v>0.66655092592592591</v>
      </c>
      <c r="C339" s="7">
        <v>47340</v>
      </c>
      <c r="D339" s="7">
        <v>256</v>
      </c>
      <c r="E339" s="7">
        <v>100</v>
      </c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12">
        <v>45615</v>
      </c>
      <c r="B340" s="13">
        <v>0.66655092592592591</v>
      </c>
      <c r="C340" s="7">
        <v>47410</v>
      </c>
      <c r="D340" s="7">
        <v>260</v>
      </c>
      <c r="E340" s="7">
        <v>100</v>
      </c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12">
        <v>45615</v>
      </c>
      <c r="B341" s="13">
        <v>0.66655092592592591</v>
      </c>
      <c r="C341" s="7">
        <v>47442</v>
      </c>
      <c r="D341" s="7">
        <v>260</v>
      </c>
      <c r="E341" s="7">
        <v>100</v>
      </c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12">
        <v>45615</v>
      </c>
      <c r="B342" s="13">
        <v>0.66655092592592591</v>
      </c>
      <c r="C342" s="7">
        <v>47511</v>
      </c>
      <c r="D342" s="7">
        <v>264</v>
      </c>
      <c r="E342" s="7">
        <v>100</v>
      </c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12">
        <v>45615</v>
      </c>
      <c r="B343" s="13">
        <v>0.66655092592592591</v>
      </c>
      <c r="C343" s="7">
        <v>47543</v>
      </c>
      <c r="D343" s="7">
        <v>269</v>
      </c>
      <c r="E343" s="7">
        <v>100</v>
      </c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12">
        <v>45615</v>
      </c>
      <c r="B344" s="13">
        <v>0.66655092592592591</v>
      </c>
      <c r="C344" s="7">
        <v>47612</v>
      </c>
      <c r="D344" s="7">
        <v>273</v>
      </c>
      <c r="E344" s="7">
        <v>100</v>
      </c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12">
        <v>45615</v>
      </c>
      <c r="B345" s="13">
        <v>0.66655092592592591</v>
      </c>
      <c r="C345" s="7">
        <v>47644</v>
      </c>
      <c r="D345" s="7">
        <v>272</v>
      </c>
      <c r="E345" s="7">
        <v>100</v>
      </c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12">
        <v>45615</v>
      </c>
      <c r="B346" s="13">
        <v>0.66655092592592591</v>
      </c>
      <c r="C346" s="7">
        <v>47713</v>
      </c>
      <c r="D346" s="7">
        <v>276</v>
      </c>
      <c r="E346" s="7">
        <v>100</v>
      </c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12">
        <v>45615</v>
      </c>
      <c r="B347" s="13">
        <v>0.66655092592592591</v>
      </c>
      <c r="C347" s="7">
        <v>47744</v>
      </c>
      <c r="D347" s="7">
        <v>279</v>
      </c>
      <c r="E347" s="7">
        <v>100</v>
      </c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12">
        <v>45615</v>
      </c>
      <c r="B348" s="13">
        <v>0.66655092592592591</v>
      </c>
      <c r="C348" s="7">
        <v>47805</v>
      </c>
      <c r="D348" s="7">
        <v>283</v>
      </c>
      <c r="E348" s="7">
        <v>85</v>
      </c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12">
        <v>45615</v>
      </c>
      <c r="B349" s="13">
        <v>0.66655092592592591</v>
      </c>
      <c r="C349" s="7">
        <v>47874</v>
      </c>
      <c r="D349" s="7">
        <v>285</v>
      </c>
      <c r="E349" s="7">
        <v>80</v>
      </c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12">
        <v>45615</v>
      </c>
      <c r="B350" s="13">
        <v>0.66655092592592591</v>
      </c>
      <c r="C350" s="7">
        <v>47906</v>
      </c>
      <c r="D350" s="7">
        <v>286</v>
      </c>
      <c r="E350" s="7">
        <v>80</v>
      </c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12">
        <v>45615</v>
      </c>
      <c r="B351" s="13">
        <v>0.66655092592592591</v>
      </c>
      <c r="C351" s="7">
        <v>47976</v>
      </c>
      <c r="D351" s="7">
        <v>290</v>
      </c>
      <c r="E351" s="7">
        <v>80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12">
        <v>45615</v>
      </c>
      <c r="B352" s="13">
        <v>0.66655092592592591</v>
      </c>
      <c r="C352" s="7">
        <v>48006</v>
      </c>
      <c r="D352" s="7">
        <v>291</v>
      </c>
      <c r="E352" s="7">
        <v>80</v>
      </c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12">
        <v>45615</v>
      </c>
      <c r="B353" s="13">
        <v>0.66655092592592591</v>
      </c>
      <c r="C353" s="7">
        <v>48056</v>
      </c>
      <c r="D353" s="7">
        <v>292</v>
      </c>
      <c r="E353" s="7">
        <v>80</v>
      </c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12">
        <v>45615</v>
      </c>
      <c r="B354" s="13">
        <v>0.66655092592592591</v>
      </c>
      <c r="C354" s="7">
        <v>48107</v>
      </c>
      <c r="D354" s="7">
        <v>293</v>
      </c>
      <c r="E354" s="7">
        <v>80</v>
      </c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12">
        <v>45615</v>
      </c>
      <c r="B355" s="13">
        <v>0.66656250000000006</v>
      </c>
      <c r="C355" s="7">
        <v>48176</v>
      </c>
      <c r="D355" s="7">
        <v>293</v>
      </c>
      <c r="E355" s="7">
        <v>80</v>
      </c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12">
        <v>45615</v>
      </c>
      <c r="B356" s="13">
        <v>0.66656250000000006</v>
      </c>
      <c r="C356" s="7">
        <v>48208</v>
      </c>
      <c r="D356" s="7">
        <v>292</v>
      </c>
      <c r="E356" s="7">
        <v>80</v>
      </c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12">
        <v>45615</v>
      </c>
      <c r="B357" s="13">
        <v>0.66656250000000006</v>
      </c>
      <c r="C357" s="7">
        <v>48279</v>
      </c>
      <c r="D357" s="7">
        <v>290</v>
      </c>
      <c r="E357" s="7">
        <v>80</v>
      </c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12">
        <v>45615</v>
      </c>
      <c r="B358" s="13">
        <v>0.66656250000000006</v>
      </c>
      <c r="C358" s="7">
        <v>48310</v>
      </c>
      <c r="D358" s="7">
        <v>289</v>
      </c>
      <c r="E358" s="7">
        <v>80</v>
      </c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12">
        <v>45615</v>
      </c>
      <c r="B359" s="13">
        <v>0.66656250000000006</v>
      </c>
      <c r="C359" s="7">
        <v>48379</v>
      </c>
      <c r="D359" s="7">
        <v>283</v>
      </c>
      <c r="E359" s="7">
        <v>85</v>
      </c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12">
        <v>45615</v>
      </c>
      <c r="B360" s="13">
        <v>0.66656250000000006</v>
      </c>
      <c r="C360" s="7">
        <v>48411</v>
      </c>
      <c r="D360" s="7">
        <v>278</v>
      </c>
      <c r="E360" s="7">
        <v>100</v>
      </c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12">
        <v>45615</v>
      </c>
      <c r="B361" s="13">
        <v>0.66656250000000006</v>
      </c>
      <c r="C361" s="7">
        <v>48480</v>
      </c>
      <c r="D361" s="7">
        <v>271</v>
      </c>
      <c r="E361" s="7">
        <v>100</v>
      </c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12">
        <v>45615</v>
      </c>
      <c r="B362" s="13">
        <v>0.66656250000000006</v>
      </c>
      <c r="C362" s="7">
        <v>48512</v>
      </c>
      <c r="D362" s="7">
        <v>266</v>
      </c>
      <c r="E362" s="7">
        <v>100</v>
      </c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12">
        <v>45615</v>
      </c>
      <c r="B363" s="13">
        <v>0.66656250000000006</v>
      </c>
      <c r="C363" s="7">
        <v>48561</v>
      </c>
      <c r="D363" s="7">
        <v>257</v>
      </c>
      <c r="E363" s="7">
        <v>100</v>
      </c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12">
        <v>45615</v>
      </c>
      <c r="B364" s="13">
        <v>0.66656250000000006</v>
      </c>
      <c r="C364" s="7">
        <v>48611</v>
      </c>
      <c r="D364" s="7">
        <v>255</v>
      </c>
      <c r="E364" s="7">
        <v>100</v>
      </c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12">
        <v>45615</v>
      </c>
      <c r="B365" s="13">
        <v>0.66656250000000006</v>
      </c>
      <c r="C365" s="7">
        <v>48681</v>
      </c>
      <c r="D365" s="7">
        <v>249</v>
      </c>
      <c r="E365" s="7">
        <v>100</v>
      </c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12">
        <v>45615</v>
      </c>
      <c r="B366" s="13">
        <v>0.66656250000000006</v>
      </c>
      <c r="C366" s="7">
        <v>48713</v>
      </c>
      <c r="D366" s="7">
        <v>245</v>
      </c>
      <c r="E366" s="7">
        <v>100</v>
      </c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12">
        <v>45615</v>
      </c>
      <c r="B367" s="13">
        <v>0.66656250000000006</v>
      </c>
      <c r="C367" s="7">
        <v>48782</v>
      </c>
      <c r="D367" s="7">
        <v>242</v>
      </c>
      <c r="E367" s="7">
        <v>100</v>
      </c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12">
        <v>45615</v>
      </c>
      <c r="B368" s="13">
        <v>0.66656250000000006</v>
      </c>
      <c r="C368" s="7">
        <v>48813</v>
      </c>
      <c r="D368" s="7">
        <v>243</v>
      </c>
      <c r="E368" s="7">
        <v>100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12">
        <v>45615</v>
      </c>
      <c r="B369" s="13">
        <v>0.66656250000000006</v>
      </c>
      <c r="C369" s="7">
        <v>48883</v>
      </c>
      <c r="D369" s="7">
        <v>242</v>
      </c>
      <c r="E369" s="7">
        <v>100</v>
      </c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12">
        <v>45615</v>
      </c>
      <c r="B370" s="13">
        <v>0.66656250000000006</v>
      </c>
      <c r="C370" s="7">
        <v>48915</v>
      </c>
      <c r="D370" s="7">
        <v>243</v>
      </c>
      <c r="E370" s="7">
        <v>100</v>
      </c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12">
        <v>45615</v>
      </c>
      <c r="B371" s="13">
        <v>0.66656250000000006</v>
      </c>
      <c r="C371" s="7">
        <v>48984</v>
      </c>
      <c r="D371" s="7">
        <v>246</v>
      </c>
      <c r="E371" s="7">
        <v>100</v>
      </c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12">
        <v>45615</v>
      </c>
      <c r="B372" s="13">
        <v>0.66656250000000006</v>
      </c>
      <c r="C372" s="7">
        <v>49015</v>
      </c>
      <c r="D372" s="7">
        <v>247</v>
      </c>
      <c r="E372" s="7">
        <v>100</v>
      </c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12">
        <v>45615</v>
      </c>
      <c r="B373" s="13">
        <v>0.66656250000000006</v>
      </c>
      <c r="C373" s="7">
        <v>49085</v>
      </c>
      <c r="D373" s="7">
        <v>251</v>
      </c>
      <c r="E373" s="7">
        <v>100</v>
      </c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12">
        <v>45615</v>
      </c>
      <c r="B374" s="13">
        <v>0.66656250000000006</v>
      </c>
      <c r="C374" s="7">
        <v>49117</v>
      </c>
      <c r="D374" s="7">
        <v>252</v>
      </c>
      <c r="E374" s="7">
        <v>100</v>
      </c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12">
        <v>45615</v>
      </c>
      <c r="B375" s="13">
        <v>0.6665740740740741</v>
      </c>
      <c r="C375" s="7">
        <v>49186</v>
      </c>
      <c r="D375" s="7">
        <v>256</v>
      </c>
      <c r="E375" s="7">
        <v>100</v>
      </c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12">
        <v>45615</v>
      </c>
      <c r="B376" s="13">
        <v>0.6665740740740741</v>
      </c>
      <c r="C376" s="7">
        <v>49217</v>
      </c>
      <c r="D376" s="7">
        <v>260</v>
      </c>
      <c r="E376" s="7">
        <v>100</v>
      </c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12">
        <v>45615</v>
      </c>
      <c r="B377" s="13">
        <v>0.6665740740740741</v>
      </c>
      <c r="C377" s="7">
        <v>49277</v>
      </c>
      <c r="D377" s="7">
        <v>265</v>
      </c>
      <c r="E377" s="7">
        <v>100</v>
      </c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12">
        <v>45615</v>
      </c>
      <c r="B378" s="13">
        <v>0.6665740740740741</v>
      </c>
      <c r="C378" s="7">
        <v>49347</v>
      </c>
      <c r="D378" s="7">
        <v>269</v>
      </c>
      <c r="E378" s="7">
        <v>100</v>
      </c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12">
        <v>45615</v>
      </c>
      <c r="B379" s="13">
        <v>0.6665740740740741</v>
      </c>
      <c r="C379" s="7">
        <v>49379</v>
      </c>
      <c r="D379" s="7">
        <v>269</v>
      </c>
      <c r="E379" s="7">
        <v>100</v>
      </c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12">
        <v>45615</v>
      </c>
      <c r="B380" s="13">
        <v>0.6665740740740741</v>
      </c>
      <c r="C380" s="7">
        <v>49448</v>
      </c>
      <c r="D380" s="7">
        <v>274</v>
      </c>
      <c r="E380" s="7">
        <v>100</v>
      </c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12">
        <v>45615</v>
      </c>
      <c r="B381" s="13">
        <v>0.6665740740740741</v>
      </c>
      <c r="C381" s="7">
        <v>49480</v>
      </c>
      <c r="D381" s="7">
        <v>276</v>
      </c>
      <c r="E381" s="7">
        <v>100</v>
      </c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12">
        <v>45615</v>
      </c>
      <c r="B382" s="13">
        <v>0.6665740740740741</v>
      </c>
      <c r="C382" s="7">
        <v>49549</v>
      </c>
      <c r="D382" s="7">
        <v>279</v>
      </c>
      <c r="E382" s="7">
        <v>100</v>
      </c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12">
        <v>45615</v>
      </c>
      <c r="B383" s="13">
        <v>0.6665740740740741</v>
      </c>
      <c r="C383" s="7">
        <v>49581</v>
      </c>
      <c r="D383" s="7">
        <v>279</v>
      </c>
      <c r="E383" s="7">
        <v>100</v>
      </c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12">
        <v>45615</v>
      </c>
      <c r="B384" s="13">
        <v>0.6665740740740741</v>
      </c>
      <c r="C384" s="7">
        <v>49650</v>
      </c>
      <c r="D384" s="7">
        <v>281</v>
      </c>
      <c r="E384" s="7">
        <v>95</v>
      </c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12">
        <v>45615</v>
      </c>
      <c r="B385" s="13">
        <v>0.6665740740740741</v>
      </c>
      <c r="C385" s="7">
        <v>49682</v>
      </c>
      <c r="D385" s="7">
        <v>283</v>
      </c>
      <c r="E385" s="7">
        <v>85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12">
        <v>45615</v>
      </c>
      <c r="B386" s="13">
        <v>0.6665740740740741</v>
      </c>
      <c r="C386" s="7">
        <v>49751</v>
      </c>
      <c r="D386" s="7">
        <v>286</v>
      </c>
      <c r="E386" s="7">
        <v>80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12">
        <v>45615</v>
      </c>
      <c r="B387" s="13">
        <v>0.6665740740740741</v>
      </c>
      <c r="C387" s="7">
        <v>49783</v>
      </c>
      <c r="D387" s="7">
        <v>286</v>
      </c>
      <c r="E387" s="7">
        <v>80</v>
      </c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12">
        <v>45615</v>
      </c>
      <c r="B388" s="13">
        <v>0.6665740740740741</v>
      </c>
      <c r="C388" s="7">
        <v>49852</v>
      </c>
      <c r="D388" s="7">
        <v>287</v>
      </c>
      <c r="E388" s="7">
        <v>80</v>
      </c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12">
        <v>45615</v>
      </c>
      <c r="B389" s="13">
        <v>0.6665740740740741</v>
      </c>
      <c r="C389" s="7">
        <v>49883</v>
      </c>
      <c r="D389" s="7">
        <v>289</v>
      </c>
      <c r="E389" s="7">
        <v>80</v>
      </c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12">
        <v>45615</v>
      </c>
      <c r="B390" s="13">
        <v>0.6665740740740741</v>
      </c>
      <c r="C390" s="7">
        <v>49953</v>
      </c>
      <c r="D390" s="7">
        <v>290</v>
      </c>
      <c r="E390" s="7">
        <v>80</v>
      </c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12">
        <v>45615</v>
      </c>
      <c r="B391" s="13">
        <v>0.6665740740740741</v>
      </c>
      <c r="C391" s="7">
        <v>49985</v>
      </c>
      <c r="D391" s="7">
        <v>289</v>
      </c>
      <c r="E391" s="7">
        <v>80</v>
      </c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12">
        <v>45615</v>
      </c>
      <c r="B392" s="13">
        <v>0.6665740740740741</v>
      </c>
      <c r="C392" s="7">
        <v>50054</v>
      </c>
      <c r="D392" s="7">
        <v>288</v>
      </c>
      <c r="E392" s="7">
        <v>80</v>
      </c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12">
        <v>45615</v>
      </c>
      <c r="B393" s="13">
        <v>0.6665740740740741</v>
      </c>
      <c r="C393" s="7">
        <v>50085</v>
      </c>
      <c r="D393" s="7">
        <v>288</v>
      </c>
      <c r="E393" s="7">
        <v>80</v>
      </c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12">
        <v>45615</v>
      </c>
      <c r="B394" s="13">
        <v>0.66658564814814814</v>
      </c>
      <c r="C394" s="7">
        <v>50155</v>
      </c>
      <c r="D394" s="7">
        <v>285</v>
      </c>
      <c r="E394" s="7">
        <v>80</v>
      </c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12">
        <v>45615</v>
      </c>
      <c r="B395" s="13">
        <v>0.66658564814814814</v>
      </c>
      <c r="C395" s="7">
        <v>50187</v>
      </c>
      <c r="D395" s="7">
        <v>282</v>
      </c>
      <c r="E395" s="7">
        <v>90</v>
      </c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12">
        <v>45615</v>
      </c>
      <c r="B396" s="13">
        <v>0.66658564814814814</v>
      </c>
      <c r="C396" s="7">
        <v>50256</v>
      </c>
      <c r="D396" s="7">
        <v>278</v>
      </c>
      <c r="E396" s="7">
        <v>100</v>
      </c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12">
        <v>45615</v>
      </c>
      <c r="B397" s="13">
        <v>0.66658564814814814</v>
      </c>
      <c r="C397" s="7">
        <v>50288</v>
      </c>
      <c r="D397" s="7">
        <v>277</v>
      </c>
      <c r="E397" s="7">
        <v>100</v>
      </c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12">
        <v>45615</v>
      </c>
      <c r="B398" s="13">
        <v>0.66658564814814814</v>
      </c>
      <c r="C398" s="7">
        <v>50347</v>
      </c>
      <c r="D398" s="7">
        <v>271</v>
      </c>
      <c r="E398" s="7">
        <v>100</v>
      </c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12">
        <v>45615</v>
      </c>
      <c r="B399" s="13">
        <v>0.66658564814814814</v>
      </c>
      <c r="C399" s="7">
        <v>50417</v>
      </c>
      <c r="D399" s="7">
        <v>265</v>
      </c>
      <c r="E399" s="7">
        <v>100</v>
      </c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12">
        <v>45615</v>
      </c>
      <c r="B400" s="13">
        <v>0.66658564814814814</v>
      </c>
      <c r="C400" s="7">
        <v>50449</v>
      </c>
      <c r="D400" s="7">
        <v>262</v>
      </c>
      <c r="E400" s="7">
        <v>100</v>
      </c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12">
        <v>45615</v>
      </c>
      <c r="B401" s="13">
        <v>0.66658564814814814</v>
      </c>
      <c r="C401" s="7">
        <v>50518</v>
      </c>
      <c r="D401" s="7">
        <v>258</v>
      </c>
      <c r="E401" s="7">
        <v>100</v>
      </c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12">
        <v>45615</v>
      </c>
      <c r="B402" s="13">
        <v>0.66658564814814814</v>
      </c>
      <c r="C402" s="7">
        <v>50549</v>
      </c>
      <c r="D402" s="7">
        <v>258</v>
      </c>
      <c r="E402" s="7">
        <v>100</v>
      </c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12">
        <v>45615</v>
      </c>
      <c r="B403" s="13">
        <v>0.66658564814814814</v>
      </c>
      <c r="C403" s="7">
        <v>50619</v>
      </c>
      <c r="D403" s="7">
        <v>257</v>
      </c>
      <c r="E403" s="7">
        <v>100</v>
      </c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12">
        <v>45615</v>
      </c>
      <c r="B404" s="13">
        <v>0.66658564814814814</v>
      </c>
      <c r="C404" s="7">
        <v>50651</v>
      </c>
      <c r="D404" s="7">
        <v>255</v>
      </c>
      <c r="E404" s="7">
        <v>100</v>
      </c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12">
        <v>45615</v>
      </c>
      <c r="B405" s="13">
        <v>0.66658564814814814</v>
      </c>
      <c r="C405" s="7">
        <v>50720</v>
      </c>
      <c r="D405" s="7">
        <v>256</v>
      </c>
      <c r="E405" s="7">
        <v>100</v>
      </c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12">
        <v>45615</v>
      </c>
      <c r="B406" s="13">
        <v>0.66658564814814814</v>
      </c>
      <c r="C406" s="7">
        <v>50751</v>
      </c>
      <c r="D406" s="7">
        <v>259</v>
      </c>
      <c r="E406" s="7">
        <v>100</v>
      </c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12">
        <v>45615</v>
      </c>
      <c r="B407" s="13">
        <v>0.66658564814814814</v>
      </c>
      <c r="C407" s="7">
        <v>50821</v>
      </c>
      <c r="D407" s="7">
        <v>262</v>
      </c>
      <c r="E407" s="7">
        <v>100</v>
      </c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12">
        <v>45615</v>
      </c>
      <c r="B408" s="13">
        <v>0.66658564814814814</v>
      </c>
      <c r="C408" s="7">
        <v>50853</v>
      </c>
      <c r="D408" s="7">
        <v>262</v>
      </c>
      <c r="E408" s="7">
        <v>100</v>
      </c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AG1568"/>
  <sheetViews>
    <sheetView tabSelected="1" workbookViewId="0">
      <selection activeCell="N380" sqref="N380"/>
    </sheetView>
  </sheetViews>
  <sheetFormatPr defaultColWidth="11.42578125" defaultRowHeight="12.75" x14ac:dyDescent="0.2"/>
  <cols>
    <col min="1" max="1" width="10" bestFit="1" customWidth="1"/>
    <col min="2" max="2" width="14" bestFit="1" customWidth="1"/>
    <col min="3" max="3" width="10" style="18" customWidth="1"/>
    <col min="4" max="4" width="12.140625" bestFit="1" customWidth="1"/>
    <col min="7" max="7" width="17.7109375" bestFit="1" customWidth="1"/>
    <col min="24" max="24" width="12.5703125" bestFit="1" customWidth="1"/>
    <col min="25" max="25" width="18.140625" bestFit="1" customWidth="1"/>
    <col min="28" max="28" width="22.28515625" bestFit="1" customWidth="1"/>
    <col min="29" max="29" width="17.7109375" bestFit="1" customWidth="1"/>
    <col min="30" max="30" width="19.140625" bestFit="1" customWidth="1"/>
    <col min="31" max="31" width="15.42578125" bestFit="1" customWidth="1"/>
    <col min="32" max="32" width="16.28515625" bestFit="1" customWidth="1"/>
    <col min="33" max="33" width="5.5703125" bestFit="1" customWidth="1"/>
  </cols>
  <sheetData>
    <row r="1" spans="1:25" x14ac:dyDescent="0.2">
      <c r="A1" s="15" t="s">
        <v>20</v>
      </c>
      <c r="B1" s="6" t="s">
        <v>21</v>
      </c>
      <c r="C1" s="16" t="s">
        <v>23</v>
      </c>
      <c r="D1" s="19" t="s">
        <v>24</v>
      </c>
      <c r="E1" s="6" t="s">
        <v>22</v>
      </c>
      <c r="V1" s="1" t="s">
        <v>23</v>
      </c>
      <c r="W1" s="1" t="s">
        <v>24</v>
      </c>
      <c r="X1" s="1" t="s">
        <v>25</v>
      </c>
      <c r="Y1" s="1" t="s">
        <v>26</v>
      </c>
    </row>
    <row r="2" spans="1:25" x14ac:dyDescent="0.2">
      <c r="A2" s="7">
        <v>30145</v>
      </c>
      <c r="B2" s="7">
        <v>159</v>
      </c>
      <c r="C2" s="17">
        <f>($A2-$A$2)/1000</f>
        <v>0</v>
      </c>
      <c r="D2" s="18">
        <f>$B2/1000</f>
        <v>0.159</v>
      </c>
      <c r="E2" s="7">
        <v>80</v>
      </c>
      <c r="V2" s="18">
        <v>0</v>
      </c>
      <c r="W2" s="20">
        <f xml:space="preserve"> -0.223567093536985*V2^6 + 0.944228289125022*V2^5 - 1.39425331473467*V2^4 + 0.919786041369661*V2^3 - 0.280641903613287*V2^2 + 0.0398143416441599*V2 + 0.158710616051081</f>
        <v>0.158710616051081</v>
      </c>
      <c r="X2" s="20">
        <f xml:space="preserve"> 6*-0.223567093536985*V2^5 + 5*0.944228289125022*V2^4 - 4*1.39425331473467*V2^3 + 3*0.919786041369661*V2^2 - 2*0.280641903613287*V2^1 + 0.0398143416441599</f>
        <v>3.9814341644159902E-2</v>
      </c>
      <c r="Y2" s="20">
        <f xml:space="preserve"> 5*6*-0.223567093536985*V2^4 + 4*5*0.944228289125022*V2^3 - 3*4*1.39425331473467*V2^2 + 2*3*0.919786041369661*V2^1 - 2*0.280641903613287</f>
        <v>-0.56128380722657401</v>
      </c>
    </row>
    <row r="3" spans="1:25" x14ac:dyDescent="0.2">
      <c r="A3" s="7">
        <v>30175</v>
      </c>
      <c r="B3" s="7">
        <v>159</v>
      </c>
      <c r="C3" s="17">
        <f t="shared" ref="C3:C66" si="0">($A3-$A$2)/1000</f>
        <v>0.03</v>
      </c>
      <c r="D3" s="18">
        <f t="shared" ref="D3:D66" si="1">$B3/1000</f>
        <v>0.159</v>
      </c>
      <c r="E3" s="7">
        <v>100</v>
      </c>
      <c r="V3" s="18">
        <v>1E-3</v>
      </c>
      <c r="W3" s="20">
        <f t="shared" ref="W3:W66" si="2" xml:space="preserve"> -0.223567093536985*V3^6 + 0.944228289125022*V3^5 - 1.39425331473467*V3^4 + 0.919786041369661*V3^3 - 0.280641903613287*V3^2 + 0.0398143416441599*V3 + 0.158710616051081</f>
        <v>0.15875015066921427</v>
      </c>
      <c r="X3" s="20">
        <f t="shared" ref="X3:X66" si="3" xml:space="preserve"> 6*-0.223567093536985*V3^5 + 5*0.944228289125022*V3^4 - 4*1.39425331473467*V3^3 + 3*0.919786041369661*V3^2 - 2*0.280641903613287*V3^1 + 0.0398143416441599</f>
        <v>3.9255811622763981E-2</v>
      </c>
      <c r="Y3" s="20">
        <f t="shared" ref="Y3:Y66" si="4" xml:space="preserve"> 5*6*-0.223567093536985*V3^4 + 4*5*0.944228289125022*V3^3 - 3*4*1.39425331473467*V3^2 + 2*3*0.919786041369661*V3^1 - 2*0.280641903613287</f>
        <v>-0.55578180314027403</v>
      </c>
    </row>
    <row r="4" spans="1:25" x14ac:dyDescent="0.2">
      <c r="A4" s="7">
        <v>30236</v>
      </c>
      <c r="B4" s="7">
        <v>161</v>
      </c>
      <c r="C4" s="17">
        <f t="shared" si="0"/>
        <v>9.0999999999999998E-2</v>
      </c>
      <c r="D4" s="18">
        <f t="shared" si="1"/>
        <v>0.161</v>
      </c>
      <c r="E4" s="7">
        <v>100</v>
      </c>
      <c r="V4" s="18">
        <v>2E-3</v>
      </c>
      <c r="W4" s="20">
        <f t="shared" si="2"/>
        <v>0.15878912950276536</v>
      </c>
      <c r="X4" s="20">
        <f t="shared" si="3"/>
        <v>3.8702766921592455E-2</v>
      </c>
      <c r="Y4" s="20">
        <f t="shared" si="4"/>
        <v>-0.55031314792003128</v>
      </c>
    </row>
    <row r="5" spans="1:25" x14ac:dyDescent="0.2">
      <c r="A5" s="7">
        <v>30306</v>
      </c>
      <c r="B5" s="7">
        <v>161</v>
      </c>
      <c r="C5" s="17">
        <f t="shared" si="0"/>
        <v>0.161</v>
      </c>
      <c r="D5" s="18">
        <f t="shared" si="1"/>
        <v>0.161</v>
      </c>
      <c r="E5" s="8">
        <v>100</v>
      </c>
      <c r="V5" s="18">
        <v>3.0000000000000001E-3</v>
      </c>
      <c r="W5" s="20">
        <f t="shared" si="2"/>
        <v>0.15882755802039883</v>
      </c>
      <c r="X5" s="20">
        <f t="shared" si="3"/>
        <v>3.8155174248325666E-2</v>
      </c>
      <c r="Y5" s="20">
        <f t="shared" si="4"/>
        <v>-0.54487772849990335</v>
      </c>
    </row>
    <row r="6" spans="1:25" x14ac:dyDescent="0.2">
      <c r="A6" s="9">
        <v>30338</v>
      </c>
      <c r="B6" s="7">
        <v>161</v>
      </c>
      <c r="C6" s="17">
        <f t="shared" si="0"/>
        <v>0.193</v>
      </c>
      <c r="D6" s="18">
        <f t="shared" si="1"/>
        <v>0.161</v>
      </c>
      <c r="E6" s="7">
        <v>100</v>
      </c>
      <c r="V6" s="18">
        <v>4.0000000000000001E-3</v>
      </c>
      <c r="W6" s="20">
        <f t="shared" si="2"/>
        <v>0.1588654416575436</v>
      </c>
      <c r="X6" s="20">
        <f t="shared" si="3"/>
        <v>3.7613000423629389E-2</v>
      </c>
      <c r="Y6" s="20">
        <f t="shared" si="4"/>
        <v>-0.53947543197491643</v>
      </c>
    </row>
    <row r="7" spans="1:25" x14ac:dyDescent="0.2">
      <c r="A7" s="7">
        <v>30407</v>
      </c>
      <c r="B7" s="7">
        <v>160</v>
      </c>
      <c r="C7" s="17">
        <f t="shared" si="0"/>
        <v>0.26200000000000001</v>
      </c>
      <c r="D7" s="18">
        <f t="shared" si="1"/>
        <v>0.16</v>
      </c>
      <c r="E7" s="7">
        <v>100</v>
      </c>
      <c r="V7" s="18">
        <v>5.0000000000000001E-3</v>
      </c>
      <c r="W7" s="20">
        <f t="shared" si="2"/>
        <v>0.15890278581650555</v>
      </c>
      <c r="X7" s="20">
        <f t="shared" si="3"/>
        <v>3.7076212380993907E-2</v>
      </c>
      <c r="Y7" s="20">
        <f t="shared" si="4"/>
        <v>-0.53410614560106473</v>
      </c>
    </row>
    <row r="8" spans="1:25" x14ac:dyDescent="0.2">
      <c r="A8" s="7">
        <v>30438</v>
      </c>
      <c r="B8" s="7">
        <v>162</v>
      </c>
      <c r="C8" s="17">
        <f t="shared" si="0"/>
        <v>0.29299999999999998</v>
      </c>
      <c r="D8" s="18">
        <f t="shared" si="1"/>
        <v>0.16200000000000001</v>
      </c>
      <c r="E8" s="7">
        <v>100</v>
      </c>
      <c r="V8" s="18">
        <v>6.0000000000000001E-3</v>
      </c>
      <c r="W8" s="20">
        <f t="shared" si="2"/>
        <v>0.15893959586658041</v>
      </c>
      <c r="X8" s="20">
        <f t="shared" si="3"/>
        <v>3.654477716657302E-2</v>
      </c>
      <c r="Y8" s="20">
        <f t="shared" si="4"/>
        <v>-0.52876975679531113</v>
      </c>
    </row>
    <row r="9" spans="1:25" x14ac:dyDescent="0.2">
      <c r="A9" s="8">
        <v>30508</v>
      </c>
      <c r="B9" s="7">
        <v>162</v>
      </c>
      <c r="C9" s="17">
        <f t="shared" si="0"/>
        <v>0.36299999999999999</v>
      </c>
      <c r="D9" s="18">
        <f t="shared" si="1"/>
        <v>0.16200000000000001</v>
      </c>
      <c r="E9" s="7">
        <v>100</v>
      </c>
      <c r="L9" s="7">
        <v>300</v>
      </c>
      <c r="M9" s="7">
        <v>0</v>
      </c>
      <c r="V9" s="18">
        <v>7.0000000000000001E-3</v>
      </c>
      <c r="W9" s="20">
        <f t="shared" si="2"/>
        <v>0.15897587714416639</v>
      </c>
      <c r="X9" s="20">
        <f t="shared" si="3"/>
        <v>3.6018661939023068E-2</v>
      </c>
      <c r="Y9" s="20">
        <f t="shared" si="4"/>
        <v>-0.52346615313558653</v>
      </c>
    </row>
    <row r="10" spans="1:25" x14ac:dyDescent="0.2">
      <c r="A10" s="7">
        <v>30540</v>
      </c>
      <c r="B10" s="7">
        <v>161</v>
      </c>
      <c r="C10" s="17">
        <f t="shared" si="0"/>
        <v>0.39500000000000002</v>
      </c>
      <c r="D10" s="18">
        <f t="shared" si="1"/>
        <v>0.161</v>
      </c>
      <c r="E10" s="7">
        <v>100</v>
      </c>
      <c r="L10" s="7">
        <v>300</v>
      </c>
      <c r="M10" s="17">
        <v>20.707999999999998</v>
      </c>
      <c r="V10" s="18">
        <v>8.0000000000000002E-3</v>
      </c>
      <c r="W10" s="20">
        <f t="shared" si="2"/>
        <v>0.15901163495287648</v>
      </c>
      <c r="X10" s="20">
        <f t="shared" si="3"/>
        <v>3.5497833969341988E-2</v>
      </c>
      <c r="Y10" s="20">
        <f t="shared" si="4"/>
        <v>-0.5181952223607903</v>
      </c>
    </row>
    <row r="11" spans="1:25" x14ac:dyDescent="0.2">
      <c r="A11" s="9">
        <v>30609</v>
      </c>
      <c r="B11" s="7">
        <v>161</v>
      </c>
      <c r="C11" s="17">
        <f t="shared" si="0"/>
        <v>0.46400000000000002</v>
      </c>
      <c r="D11" s="18">
        <f t="shared" si="1"/>
        <v>0.161</v>
      </c>
      <c r="E11" s="7">
        <v>100</v>
      </c>
      <c r="V11" s="18">
        <v>8.9999999999999993E-3</v>
      </c>
      <c r="W11" s="20">
        <f t="shared" si="2"/>
        <v>0.15904687456365085</v>
      </c>
      <c r="X11" s="20">
        <f t="shared" si="3"/>
        <v>3.4982260640708342E-2</v>
      </c>
      <c r="Y11" s="20">
        <f t="shared" si="4"/>
        <v>-0.51295685237079003</v>
      </c>
    </row>
    <row r="12" spans="1:25" x14ac:dyDescent="0.2">
      <c r="A12" s="7">
        <v>30640</v>
      </c>
      <c r="B12" s="7">
        <v>163</v>
      </c>
      <c r="C12" s="17">
        <f t="shared" si="0"/>
        <v>0.495</v>
      </c>
      <c r="D12" s="18">
        <f t="shared" si="1"/>
        <v>0.16300000000000001</v>
      </c>
      <c r="E12" s="7">
        <v>100</v>
      </c>
      <c r="V12" s="18">
        <v>0.01</v>
      </c>
      <c r="W12" s="20">
        <f t="shared" si="2"/>
        <v>0.15908160121486875</v>
      </c>
      <c r="X12" s="20">
        <f t="shared" si="3"/>
        <v>3.447190944832032E-2</v>
      </c>
      <c r="Y12" s="20">
        <f t="shared" si="4"/>
        <v>-0.50775093122642145</v>
      </c>
    </row>
    <row r="13" spans="1:25" x14ac:dyDescent="0.2">
      <c r="A13" s="7">
        <v>30710</v>
      </c>
      <c r="B13" s="7">
        <v>163</v>
      </c>
      <c r="C13" s="17">
        <f t="shared" si="0"/>
        <v>0.56499999999999995</v>
      </c>
      <c r="D13" s="18">
        <f t="shared" si="1"/>
        <v>0.16300000000000001</v>
      </c>
      <c r="E13" s="7">
        <v>100</v>
      </c>
      <c r="V13" s="18">
        <v>1.0999999999999999E-2</v>
      </c>
      <c r="W13" s="20">
        <f t="shared" si="2"/>
        <v>0.15911582011246067</v>
      </c>
      <c r="X13" s="20">
        <f t="shared" si="3"/>
        <v>3.3966747999234811E-2</v>
      </c>
      <c r="Y13" s="20">
        <f t="shared" si="4"/>
        <v>-0.5025773471494891</v>
      </c>
    </row>
    <row r="14" spans="1:25" x14ac:dyDescent="0.2">
      <c r="A14" s="7">
        <v>30742</v>
      </c>
      <c r="B14" s="7">
        <v>161</v>
      </c>
      <c r="C14" s="17">
        <f t="shared" si="0"/>
        <v>0.59699999999999998</v>
      </c>
      <c r="D14" s="18">
        <f t="shared" si="1"/>
        <v>0.161</v>
      </c>
      <c r="E14" s="7">
        <v>100</v>
      </c>
      <c r="V14" s="18">
        <v>1.2E-2</v>
      </c>
      <c r="W14" s="20">
        <f t="shared" si="2"/>
        <v>0.15914953643002</v>
      </c>
      <c r="X14" s="20">
        <f t="shared" si="3"/>
        <v>3.3466744012206395E-2</v>
      </c>
      <c r="Y14" s="20">
        <f t="shared" si="4"/>
        <v>-0.49743598852276527</v>
      </c>
    </row>
    <row r="15" spans="1:25" x14ac:dyDescent="0.2">
      <c r="A15" s="7">
        <v>30811</v>
      </c>
      <c r="B15" s="7">
        <v>162</v>
      </c>
      <c r="C15" s="17">
        <f t="shared" si="0"/>
        <v>0.66600000000000004</v>
      </c>
      <c r="D15" s="18">
        <f t="shared" si="1"/>
        <v>0.16200000000000001</v>
      </c>
      <c r="E15" s="7">
        <v>100</v>
      </c>
      <c r="V15" s="18">
        <v>1.2999999999999999E-2</v>
      </c>
      <c r="W15" s="20">
        <f t="shared" si="2"/>
        <v>0.15918275530891463</v>
      </c>
      <c r="X15" s="20">
        <f t="shared" si="3"/>
        <v>3.2971865317526418E-2</v>
      </c>
      <c r="Y15" s="20">
        <f t="shared" si="4"/>
        <v>-0.49232674388999098</v>
      </c>
    </row>
    <row r="16" spans="1:25" x14ac:dyDescent="0.2">
      <c r="A16" s="7">
        <v>30842</v>
      </c>
      <c r="B16" s="7">
        <v>163</v>
      </c>
      <c r="C16" s="17">
        <f t="shared" si="0"/>
        <v>0.69699999999999995</v>
      </c>
      <c r="D16" s="18">
        <f t="shared" si="1"/>
        <v>0.16300000000000001</v>
      </c>
      <c r="E16" s="7">
        <v>100</v>
      </c>
      <c r="V16" s="18">
        <v>1.4E-2</v>
      </c>
      <c r="W16" s="20">
        <f t="shared" si="2"/>
        <v>0.15921548185839848</v>
      </c>
      <c r="X16" s="20">
        <f t="shared" si="3"/>
        <v>3.2482079856861981E-2</v>
      </c>
      <c r="Y16" s="20">
        <f t="shared" si="4"/>
        <v>-0.48724950195587519</v>
      </c>
    </row>
    <row r="17" spans="1:25" x14ac:dyDescent="0.2">
      <c r="A17" s="7">
        <v>30912</v>
      </c>
      <c r="B17" s="7">
        <v>163</v>
      </c>
      <c r="C17" s="17">
        <f t="shared" si="0"/>
        <v>0.76700000000000002</v>
      </c>
      <c r="D17" s="18">
        <f t="shared" si="1"/>
        <v>0.16300000000000001</v>
      </c>
      <c r="E17" s="7">
        <v>100</v>
      </c>
      <c r="V17" s="18">
        <v>1.4999999999999999E-2</v>
      </c>
      <c r="W17" s="20">
        <f t="shared" si="2"/>
        <v>0.15924772115572275</v>
      </c>
      <c r="X17" s="20">
        <f t="shared" si="3"/>
        <v>3.1997355683095009E-2</v>
      </c>
      <c r="Y17" s="20">
        <f t="shared" si="4"/>
        <v>-0.48220415158609548</v>
      </c>
    </row>
    <row r="18" spans="1:25" x14ac:dyDescent="0.2">
      <c r="A18" s="7">
        <v>30944</v>
      </c>
      <c r="B18" s="7">
        <v>162</v>
      </c>
      <c r="C18" s="17">
        <f t="shared" si="0"/>
        <v>0.79900000000000004</v>
      </c>
      <c r="D18" s="18">
        <f t="shared" si="1"/>
        <v>0.16200000000000001</v>
      </c>
      <c r="E18" s="7">
        <v>100</v>
      </c>
      <c r="V18" s="18">
        <v>1.6E-2</v>
      </c>
      <c r="W18" s="20">
        <f t="shared" si="2"/>
        <v>0.15927947824624705</v>
      </c>
      <c r="X18" s="20">
        <f t="shared" si="3"/>
        <v>3.1517660960161252E-2</v>
      </c>
      <c r="Y18" s="20">
        <f t="shared" si="4"/>
        <v>-0.47719058180729756</v>
      </c>
    </row>
    <row r="19" spans="1:25" x14ac:dyDescent="0.2">
      <c r="A19" s="7">
        <v>31004</v>
      </c>
      <c r="B19" s="7">
        <v>162</v>
      </c>
      <c r="C19" s="17">
        <f t="shared" si="0"/>
        <v>0.85899999999999999</v>
      </c>
      <c r="D19" s="18">
        <f t="shared" si="1"/>
        <v>0.16200000000000001</v>
      </c>
      <c r="E19" s="8">
        <v>100</v>
      </c>
      <c r="V19" s="18">
        <v>1.7000000000000001E-2</v>
      </c>
      <c r="W19" s="20">
        <f t="shared" si="2"/>
        <v>0.15931075814355042</v>
      </c>
      <c r="X19" s="20">
        <f t="shared" si="3"/>
        <v>3.1042963962889338E-2</v>
      </c>
      <c r="Y19" s="20">
        <f t="shared" si="4"/>
        <v>-0.47220868180709558</v>
      </c>
    </row>
    <row r="20" spans="1:25" x14ac:dyDescent="0.2">
      <c r="A20" s="8">
        <v>31073</v>
      </c>
      <c r="B20" s="7">
        <v>162</v>
      </c>
      <c r="C20" s="17">
        <f t="shared" si="0"/>
        <v>0.92800000000000005</v>
      </c>
      <c r="D20" s="18">
        <f t="shared" si="1"/>
        <v>0.16200000000000001</v>
      </c>
      <c r="E20" s="7">
        <v>100</v>
      </c>
      <c r="V20" s="18">
        <v>1.7999999999999999E-2</v>
      </c>
      <c r="W20" s="20">
        <f t="shared" si="2"/>
        <v>0.15934156582954201</v>
      </c>
      <c r="X20" s="20">
        <f t="shared" si="3"/>
        <v>3.057323307683979E-2</v>
      </c>
      <c r="Y20" s="20">
        <f t="shared" si="4"/>
        <v>-0.46725834093407181</v>
      </c>
    </row>
    <row r="21" spans="1:25" x14ac:dyDescent="0.2">
      <c r="A21" s="7">
        <v>31104</v>
      </c>
      <c r="B21" s="7">
        <v>163</v>
      </c>
      <c r="C21" s="17">
        <f t="shared" si="0"/>
        <v>0.95899999999999996</v>
      </c>
      <c r="D21" s="18">
        <f t="shared" si="1"/>
        <v>0.16300000000000001</v>
      </c>
      <c r="E21" s="7">
        <v>100</v>
      </c>
      <c r="V21" s="18">
        <v>1.9E-2</v>
      </c>
      <c r="W21" s="20">
        <f t="shared" si="2"/>
        <v>0.15937190625457198</v>
      </c>
      <c r="X21" s="20">
        <f t="shared" si="3"/>
        <v>3.0108436798144074E-2</v>
      </c>
      <c r="Y21" s="20">
        <f t="shared" si="4"/>
        <v>-0.46233944869777699</v>
      </c>
    </row>
    <row r="22" spans="1:25" x14ac:dyDescent="0.2">
      <c r="A22" s="7">
        <v>31174</v>
      </c>
      <c r="B22" s="7">
        <v>164</v>
      </c>
      <c r="C22" s="17">
        <f t="shared" si="0"/>
        <v>1.0289999999999999</v>
      </c>
      <c r="D22" s="18">
        <f t="shared" si="1"/>
        <v>0.16400000000000001</v>
      </c>
      <c r="E22" s="7">
        <v>100</v>
      </c>
      <c r="V22" s="18">
        <v>0.02</v>
      </c>
      <c r="W22" s="20">
        <f t="shared" si="2"/>
        <v>0.15940178433754171</v>
      </c>
      <c r="X22" s="20">
        <f t="shared" si="3"/>
        <v>2.9648543733343607E-2</v>
      </c>
      <c r="Y22" s="20">
        <f t="shared" si="4"/>
        <v>-0.45745189476873005</v>
      </c>
    </row>
    <row r="23" spans="1:25" x14ac:dyDescent="0.2">
      <c r="A23" s="7">
        <v>31206</v>
      </c>
      <c r="B23" s="7">
        <v>166</v>
      </c>
      <c r="C23" s="17">
        <f t="shared" si="0"/>
        <v>1.0609999999999999</v>
      </c>
      <c r="D23" s="18">
        <f t="shared" si="1"/>
        <v>0.16600000000000001</v>
      </c>
      <c r="E23" s="7">
        <v>100</v>
      </c>
      <c r="V23" s="18">
        <v>2.1000000000000001E-2</v>
      </c>
      <c r="W23" s="20">
        <f t="shared" si="2"/>
        <v>0.15943120496601434</v>
      </c>
      <c r="X23" s="20">
        <f t="shared" si="3"/>
        <v>2.9193522599228822E-2</v>
      </c>
      <c r="Y23" s="20">
        <f t="shared" si="4"/>
        <v>-0.45259556897841835</v>
      </c>
    </row>
    <row r="24" spans="1:25" x14ac:dyDescent="0.2">
      <c r="A24" s="7">
        <v>31275</v>
      </c>
      <c r="B24" s="7">
        <v>172</v>
      </c>
      <c r="C24" s="17">
        <f t="shared" si="0"/>
        <v>1.1299999999999999</v>
      </c>
      <c r="D24" s="18">
        <f t="shared" si="1"/>
        <v>0.17199999999999999</v>
      </c>
      <c r="E24" s="7">
        <v>100</v>
      </c>
      <c r="V24" s="18">
        <v>2.1999999999999999E-2</v>
      </c>
      <c r="W24" s="20">
        <f t="shared" si="2"/>
        <v>0.15946017299632481</v>
      </c>
      <c r="X24" s="20">
        <f t="shared" si="3"/>
        <v>2.8743342222678166E-2</v>
      </c>
      <c r="Y24" s="20">
        <f t="shared" si="4"/>
        <v>-0.44777036131929754</v>
      </c>
    </row>
    <row r="25" spans="1:25" x14ac:dyDescent="0.2">
      <c r="A25" s="7">
        <v>31307</v>
      </c>
      <c r="B25" s="7">
        <v>178</v>
      </c>
      <c r="C25" s="17">
        <f t="shared" si="0"/>
        <v>1.1619999999999999</v>
      </c>
      <c r="D25" s="18">
        <f t="shared" si="1"/>
        <v>0.17799999999999999</v>
      </c>
      <c r="E25" s="7">
        <v>100</v>
      </c>
      <c r="V25" s="18">
        <v>2.3E-2</v>
      </c>
      <c r="W25" s="20">
        <f t="shared" si="2"/>
        <v>0.15948869325368992</v>
      </c>
      <c r="X25" s="20">
        <f t="shared" si="3"/>
        <v>2.8297971540497145E-2</v>
      </c>
      <c r="Y25" s="20">
        <f t="shared" si="4"/>
        <v>-0.44297616194479145</v>
      </c>
    </row>
    <row r="26" spans="1:25" x14ac:dyDescent="0.2">
      <c r="A26" s="7">
        <v>31376</v>
      </c>
      <c r="B26" s="7">
        <v>190</v>
      </c>
      <c r="C26" s="17">
        <f t="shared" si="0"/>
        <v>1.2310000000000001</v>
      </c>
      <c r="D26" s="18">
        <f t="shared" si="1"/>
        <v>0.19</v>
      </c>
      <c r="E26" s="7">
        <v>100</v>
      </c>
      <c r="V26" s="18">
        <v>2.4E-2</v>
      </c>
      <c r="W26" s="20">
        <f t="shared" si="2"/>
        <v>0.15951677053231822</v>
      </c>
      <c r="X26" s="20">
        <f t="shared" si="3"/>
        <v>2.7857379599257368E-2</v>
      </c>
      <c r="Y26" s="20">
        <f t="shared" si="4"/>
        <v>-0.43821286116929231</v>
      </c>
    </row>
    <row r="27" spans="1:25" x14ac:dyDescent="0.2">
      <c r="A27" s="8">
        <v>31408</v>
      </c>
      <c r="B27" s="7">
        <v>194</v>
      </c>
      <c r="C27" s="17">
        <f t="shared" si="0"/>
        <v>1.2629999999999999</v>
      </c>
      <c r="D27" s="18">
        <f t="shared" si="1"/>
        <v>0.19400000000000001</v>
      </c>
      <c r="E27" s="7">
        <v>100</v>
      </c>
      <c r="V27" s="18">
        <v>2.5000000000000001E-2</v>
      </c>
      <c r="W27" s="20">
        <f t="shared" si="2"/>
        <v>0.1595444095955196</v>
      </c>
      <c r="X27" s="20">
        <f t="shared" si="3"/>
        <v>2.7421535555135559E-2</v>
      </c>
      <c r="Y27" s="20">
        <f t="shared" si="4"/>
        <v>-0.43348034946816072</v>
      </c>
    </row>
    <row r="28" spans="1:25" x14ac:dyDescent="0.2">
      <c r="A28" s="7">
        <v>31477</v>
      </c>
      <c r="B28" s="7">
        <v>207</v>
      </c>
      <c r="C28" s="17">
        <f t="shared" si="0"/>
        <v>1.3320000000000001</v>
      </c>
      <c r="D28" s="18">
        <f t="shared" si="1"/>
        <v>0.20699999999999999</v>
      </c>
      <c r="E28" s="7">
        <v>100</v>
      </c>
      <c r="F28" s="1"/>
      <c r="V28" s="18">
        <v>2.5999999999999999E-2</v>
      </c>
      <c r="W28" s="20">
        <f t="shared" si="2"/>
        <v>0.15957161517581486</v>
      </c>
      <c r="X28" s="20">
        <f t="shared" si="3"/>
        <v>2.6990408673752603E-2</v>
      </c>
      <c r="Y28" s="20">
        <f t="shared" si="4"/>
        <v>-0.42877851747772538</v>
      </c>
    </row>
    <row r="29" spans="1:25" x14ac:dyDescent="0.2">
      <c r="A29" s="7">
        <v>31508</v>
      </c>
      <c r="B29" s="7">
        <v>220</v>
      </c>
      <c r="C29" s="17">
        <f t="shared" si="0"/>
        <v>1.363</v>
      </c>
      <c r="D29" s="18">
        <f t="shared" si="1"/>
        <v>0.22</v>
      </c>
      <c r="E29" s="7">
        <v>100</v>
      </c>
      <c r="G29" s="1"/>
      <c r="V29" s="18">
        <v>2.7E-2</v>
      </c>
      <c r="W29" s="20">
        <f t="shared" si="2"/>
        <v>0.15959839197504511</v>
      </c>
      <c r="X29" s="20">
        <f t="shared" si="3"/>
        <v>2.6563968330012566E-2</v>
      </c>
      <c r="Y29" s="20">
        <f t="shared" si="4"/>
        <v>-0.42410725599528354</v>
      </c>
    </row>
    <row r="30" spans="1:25" x14ac:dyDescent="0.2">
      <c r="A30" s="7">
        <v>31578</v>
      </c>
      <c r="B30" s="7">
        <v>236</v>
      </c>
      <c r="C30" s="17">
        <f t="shared" si="0"/>
        <v>1.4330000000000001</v>
      </c>
      <c r="D30" s="18">
        <f t="shared" si="1"/>
        <v>0.23599999999999999</v>
      </c>
      <c r="E30" s="7">
        <v>100</v>
      </c>
      <c r="V30" s="18">
        <v>2.8000000000000001E-2</v>
      </c>
      <c r="W30" s="20">
        <f t="shared" si="2"/>
        <v>0.1596247446644809</v>
      </c>
      <c r="X30" s="20">
        <f t="shared" si="3"/>
        <v>2.6142184007941736E-2</v>
      </c>
      <c r="Y30" s="20">
        <f t="shared" si="4"/>
        <v>-0.41946645597910059</v>
      </c>
    </row>
    <row r="31" spans="1:25" x14ac:dyDescent="0.2">
      <c r="A31" s="7">
        <v>31610</v>
      </c>
      <c r="B31" s="7">
        <v>245</v>
      </c>
      <c r="C31" s="17">
        <f t="shared" si="0"/>
        <v>1.4650000000000001</v>
      </c>
      <c r="D31" s="18">
        <f t="shared" si="1"/>
        <v>0.245</v>
      </c>
      <c r="E31" s="7">
        <v>100</v>
      </c>
      <c r="V31" s="18">
        <v>2.9000000000000001E-2</v>
      </c>
      <c r="W31" s="20">
        <f t="shared" si="2"/>
        <v>0.15965067788493134</v>
      </c>
      <c r="X31" s="20">
        <f t="shared" si="3"/>
        <v>2.5725025300527653E-2</v>
      </c>
      <c r="Y31" s="20">
        <f t="shared" si="4"/>
        <v>-0.41485600854841037</v>
      </c>
    </row>
    <row r="32" spans="1:25" x14ac:dyDescent="0.2">
      <c r="A32" s="7">
        <v>31679</v>
      </c>
      <c r="B32" s="7">
        <v>265</v>
      </c>
      <c r="C32" s="17">
        <f t="shared" si="0"/>
        <v>1.534</v>
      </c>
      <c r="D32" s="18">
        <f t="shared" si="1"/>
        <v>0.26500000000000001</v>
      </c>
      <c r="E32" s="7">
        <v>100</v>
      </c>
      <c r="V32" s="18">
        <v>0.03</v>
      </c>
      <c r="W32" s="20">
        <f t="shared" si="2"/>
        <v>0.15967619624685289</v>
      </c>
      <c r="X32" s="20">
        <f t="shared" si="3"/>
        <v>2.5312461909558145E-2</v>
      </c>
      <c r="Y32" s="20">
        <f t="shared" si="4"/>
        <v>-0.41027580498341487</v>
      </c>
    </row>
    <row r="33" spans="1:33" x14ac:dyDescent="0.2">
      <c r="A33" s="7">
        <v>31711</v>
      </c>
      <c r="B33" s="7">
        <v>277</v>
      </c>
      <c r="C33" s="17">
        <f t="shared" si="0"/>
        <v>1.5660000000000001</v>
      </c>
      <c r="D33" s="18">
        <f t="shared" si="1"/>
        <v>0.27700000000000002</v>
      </c>
      <c r="E33" s="7">
        <v>100</v>
      </c>
      <c r="V33" s="18">
        <v>3.1E-2</v>
      </c>
      <c r="W33" s="20">
        <f t="shared" si="2"/>
        <v>0.1597013043304582</v>
      </c>
      <c r="X33" s="20">
        <f t="shared" si="3"/>
        <v>2.4904463645460326E-2</v>
      </c>
      <c r="Y33" s="20">
        <f t="shared" si="4"/>
        <v>-0.4057257367252845</v>
      </c>
    </row>
    <row r="34" spans="1:33" x14ac:dyDescent="0.2">
      <c r="A34" s="7">
        <v>31780</v>
      </c>
      <c r="B34" s="7">
        <v>297</v>
      </c>
      <c r="C34" s="17">
        <f t="shared" si="0"/>
        <v>1.635</v>
      </c>
      <c r="D34" s="18">
        <f t="shared" si="1"/>
        <v>0.29699999999999999</v>
      </c>
      <c r="E34" s="7">
        <v>80</v>
      </c>
      <c r="V34" s="18">
        <v>3.2000000000000001E-2</v>
      </c>
      <c r="W34" s="20">
        <f t="shared" si="2"/>
        <v>0.15972600668582454</v>
      </c>
      <c r="X34" s="20">
        <f t="shared" si="3"/>
        <v>2.4501000427139694E-2</v>
      </c>
      <c r="Y34" s="20">
        <f t="shared" si="4"/>
        <v>-0.40120569537615791</v>
      </c>
    </row>
    <row r="35" spans="1:33" x14ac:dyDescent="0.2">
      <c r="A35" s="7">
        <v>31812</v>
      </c>
      <c r="B35" s="7">
        <v>304</v>
      </c>
      <c r="C35" s="17">
        <f t="shared" si="0"/>
        <v>1.667</v>
      </c>
      <c r="D35" s="18">
        <f t="shared" si="1"/>
        <v>0.30399999999999999</v>
      </c>
      <c r="E35" s="7">
        <v>80</v>
      </c>
      <c r="V35" s="18">
        <v>3.3000000000000002E-2</v>
      </c>
      <c r="W35" s="20">
        <f t="shared" si="2"/>
        <v>0.15975030783300229</v>
      </c>
      <c r="X35" s="20">
        <f t="shared" si="3"/>
        <v>2.4102042281819093E-2</v>
      </c>
      <c r="Y35" s="20">
        <f t="shared" si="4"/>
        <v>-0.39671557269914209</v>
      </c>
    </row>
    <row r="36" spans="1:33" x14ac:dyDescent="0.2">
      <c r="A36" s="7">
        <v>31881</v>
      </c>
      <c r="B36" s="7">
        <v>318</v>
      </c>
      <c r="C36" s="17">
        <f t="shared" si="0"/>
        <v>1.736</v>
      </c>
      <c r="D36" s="18">
        <f t="shared" si="1"/>
        <v>0.318</v>
      </c>
      <c r="E36" s="7">
        <v>80</v>
      </c>
      <c r="V36" s="18">
        <v>3.4000000000000002E-2</v>
      </c>
      <c r="W36" s="20">
        <f t="shared" si="2"/>
        <v>0.1597742122621231</v>
      </c>
      <c r="X36" s="20">
        <f t="shared" si="3"/>
        <v>2.3707559344877803E-2</v>
      </c>
      <c r="Y36" s="20">
        <f t="shared" si="4"/>
        <v>-0.39225526061831234</v>
      </c>
    </row>
    <row r="37" spans="1:33" x14ac:dyDescent="0.2">
      <c r="A37" s="7">
        <v>31913</v>
      </c>
      <c r="B37" s="7">
        <v>333</v>
      </c>
      <c r="C37" s="17">
        <f t="shared" si="0"/>
        <v>1.768</v>
      </c>
      <c r="D37" s="18">
        <f t="shared" si="1"/>
        <v>0.33300000000000002</v>
      </c>
      <c r="E37" s="7">
        <v>80</v>
      </c>
      <c r="V37" s="18">
        <v>3.5000000000000003E-2</v>
      </c>
      <c r="W37" s="20">
        <f t="shared" si="2"/>
        <v>0.15979772443350809</v>
      </c>
      <c r="X37" s="20">
        <f t="shared" si="3"/>
        <v>2.3317521859690514E-2</v>
      </c>
      <c r="Y37" s="20">
        <f t="shared" si="4"/>
        <v>-0.38782465121871224</v>
      </c>
    </row>
    <row r="38" spans="1:33" x14ac:dyDescent="0.2">
      <c r="A38" s="7">
        <v>31973</v>
      </c>
      <c r="B38" s="7">
        <v>349</v>
      </c>
      <c r="C38" s="17">
        <f t="shared" si="0"/>
        <v>1.8280000000000001</v>
      </c>
      <c r="D38" s="18">
        <f t="shared" si="1"/>
        <v>0.34899999999999998</v>
      </c>
      <c r="E38" s="7">
        <v>80</v>
      </c>
      <c r="V38" s="18">
        <v>3.5999999999999997E-2</v>
      </c>
      <c r="W38" s="20">
        <f t="shared" si="2"/>
        <v>0.15982084877777561</v>
      </c>
      <c r="X38" s="20">
        <f t="shared" si="3"/>
        <v>2.2931900177466418E-2</v>
      </c>
      <c r="Y38" s="20">
        <f t="shared" si="4"/>
        <v>-0.38342363674635382</v>
      </c>
    </row>
    <row r="39" spans="1:33" x14ac:dyDescent="0.2">
      <c r="A39" s="7">
        <v>32042</v>
      </c>
      <c r="B39" s="7">
        <v>362</v>
      </c>
      <c r="C39" s="17">
        <f t="shared" si="0"/>
        <v>1.897</v>
      </c>
      <c r="D39" s="18">
        <f t="shared" si="1"/>
        <v>0.36199999999999999</v>
      </c>
      <c r="E39" s="7">
        <v>80</v>
      </c>
      <c r="V39" s="18">
        <v>3.6999999999999998E-2</v>
      </c>
      <c r="W39" s="20">
        <f t="shared" si="2"/>
        <v>0.15984358969594911</v>
      </c>
      <c r="X39" s="20">
        <f t="shared" si="3"/>
        <v>2.2550664757088192E-2</v>
      </c>
      <c r="Y39" s="20">
        <f t="shared" si="4"/>
        <v>-0.37905210960821711</v>
      </c>
    </row>
    <row r="40" spans="1:33" x14ac:dyDescent="0.2">
      <c r="A40" s="7">
        <v>32074</v>
      </c>
      <c r="B40" s="7">
        <v>362</v>
      </c>
      <c r="C40" s="17">
        <f t="shared" si="0"/>
        <v>1.929</v>
      </c>
      <c r="D40" s="18">
        <f t="shared" si="1"/>
        <v>0.36199999999999999</v>
      </c>
      <c r="E40" s="7">
        <v>80</v>
      </c>
      <c r="V40" s="18">
        <v>3.7999999999999999E-2</v>
      </c>
      <c r="W40" s="20">
        <f t="shared" si="2"/>
        <v>0.15986595155956468</v>
      </c>
      <c r="X40" s="20">
        <f t="shared" si="3"/>
        <v>2.217378616495105E-2</v>
      </c>
      <c r="Y40" s="20">
        <f t="shared" si="4"/>
        <v>-0.37470996237225074</v>
      </c>
    </row>
    <row r="41" spans="1:33" x14ac:dyDescent="0.2">
      <c r="A41" s="7">
        <v>32143</v>
      </c>
      <c r="B41" s="7">
        <v>373</v>
      </c>
      <c r="C41" s="17">
        <f t="shared" si="0"/>
        <v>1.998</v>
      </c>
      <c r="D41" s="18">
        <f t="shared" si="1"/>
        <v>0.373</v>
      </c>
      <c r="E41" s="7">
        <v>80</v>
      </c>
      <c r="V41" s="18">
        <v>3.9E-2</v>
      </c>
      <c r="W41" s="20">
        <f t="shared" si="2"/>
        <v>0.15988793871077847</v>
      </c>
      <c r="X41" s="20">
        <f t="shared" si="3"/>
        <v>2.1801235074801781E-2</v>
      </c>
      <c r="Y41" s="20">
        <f t="shared" si="4"/>
        <v>-0.37039708776737157</v>
      </c>
      <c r="AB41" s="19" t="s">
        <v>33</v>
      </c>
    </row>
    <row r="42" spans="1:33" x14ac:dyDescent="0.2">
      <c r="A42" s="7">
        <v>32175</v>
      </c>
      <c r="B42" s="7">
        <v>383</v>
      </c>
      <c r="C42" s="17">
        <f t="shared" si="0"/>
        <v>2.0299999999999998</v>
      </c>
      <c r="D42" s="18">
        <f t="shared" si="1"/>
        <v>0.38300000000000001</v>
      </c>
      <c r="E42" s="7">
        <v>80</v>
      </c>
      <c r="V42" s="18">
        <v>0.04</v>
      </c>
      <c r="W42" s="20">
        <f t="shared" si="2"/>
        <v>0.15990955546247407</v>
      </c>
      <c r="X42" s="20">
        <f t="shared" si="3"/>
        <v>2.1432982267577769E-2</v>
      </c>
      <c r="Y42" s="20">
        <f t="shared" si="4"/>
        <v>-0.36611337868346461</v>
      </c>
      <c r="AB42" s="1">
        <f>0.68*2</f>
        <v>1.36</v>
      </c>
    </row>
    <row r="43" spans="1:33" x14ac:dyDescent="0.2">
      <c r="A43" s="7">
        <v>32244</v>
      </c>
      <c r="B43" s="7">
        <v>388</v>
      </c>
      <c r="C43" s="17">
        <f t="shared" si="0"/>
        <v>2.0990000000000002</v>
      </c>
      <c r="D43" s="18">
        <f t="shared" si="1"/>
        <v>0.38800000000000001</v>
      </c>
      <c r="E43" s="7">
        <v>80</v>
      </c>
      <c r="V43" s="18">
        <v>4.1000000000000002E-2</v>
      </c>
      <c r="W43" s="20">
        <f t="shared" si="2"/>
        <v>0.1599308060983694</v>
      </c>
      <c r="X43" s="20">
        <f t="shared" si="3"/>
        <v>2.1068998631246033E-2</v>
      </c>
      <c r="Y43" s="20">
        <f t="shared" si="4"/>
        <v>-0.36185872817138343</v>
      </c>
      <c r="AB43" s="19" t="s">
        <v>27</v>
      </c>
      <c r="AC43" s="19" t="s">
        <v>28</v>
      </c>
      <c r="AD43" s="19" t="s">
        <v>30</v>
      </c>
      <c r="AE43" s="19" t="s">
        <v>29</v>
      </c>
      <c r="AF43" s="19" t="s">
        <v>31</v>
      </c>
      <c r="AG43" s="19" t="s">
        <v>32</v>
      </c>
    </row>
    <row r="44" spans="1:33" x14ac:dyDescent="0.2">
      <c r="A44" s="7">
        <v>32276</v>
      </c>
      <c r="B44" s="7">
        <v>388</v>
      </c>
      <c r="C44" s="17">
        <f t="shared" si="0"/>
        <v>2.1309999999999998</v>
      </c>
      <c r="D44" s="18">
        <f t="shared" si="1"/>
        <v>0.38800000000000001</v>
      </c>
      <c r="E44" s="7">
        <v>80</v>
      </c>
      <c r="V44" s="18">
        <v>4.2000000000000003E-2</v>
      </c>
      <c r="W44" s="20">
        <f t="shared" si="2"/>
        <v>0.15995169487312394</v>
      </c>
      <c r="X44" s="20">
        <f t="shared" si="3"/>
        <v>2.0709255160642238E-2</v>
      </c>
      <c r="Y44" s="20">
        <f t="shared" si="4"/>
        <v>-0.35763302944294972</v>
      </c>
      <c r="AB44">
        <v>0.92900000000000005</v>
      </c>
      <c r="AC44" s="18">
        <f>MAX(Y2:Y1568)</f>
        <v>0.70523816692267971</v>
      </c>
      <c r="AD44" s="18">
        <f>AB44*AC44</f>
        <v>0.65516625707116949</v>
      </c>
      <c r="AE44" s="18">
        <f>AD44+(AB44*9.81)</f>
        <v>9.7686562570711697</v>
      </c>
      <c r="AF44" s="21">
        <f>AE44/9.81</f>
        <v>0.99578555117952794</v>
      </c>
      <c r="AG44" s="18">
        <f>AF44/0.91</f>
        <v>1.0942698364610197</v>
      </c>
    </row>
    <row r="45" spans="1:33" x14ac:dyDescent="0.2">
      <c r="A45" s="7">
        <v>32345</v>
      </c>
      <c r="B45" s="7">
        <v>391</v>
      </c>
      <c r="C45" s="17">
        <f t="shared" si="0"/>
        <v>2.2000000000000002</v>
      </c>
      <c r="D45" s="18">
        <f t="shared" si="1"/>
        <v>0.39100000000000001</v>
      </c>
      <c r="E45" s="7">
        <v>80</v>
      </c>
      <c r="V45" s="18">
        <v>4.2999999999999997E-2</v>
      </c>
      <c r="W45" s="20">
        <f t="shared" si="2"/>
        <v>0.15997222601244526</v>
      </c>
      <c r="X45" s="20">
        <f t="shared" si="3"/>
        <v>2.0353722957309778E-2</v>
      </c>
      <c r="Y45" s="20">
        <f t="shared" si="4"/>
        <v>-0.35343617587095361</v>
      </c>
    </row>
    <row r="46" spans="1:33" x14ac:dyDescent="0.2">
      <c r="A46" s="7">
        <v>32377</v>
      </c>
      <c r="B46" s="7">
        <v>390</v>
      </c>
      <c r="C46" s="17">
        <f t="shared" si="0"/>
        <v>2.2320000000000002</v>
      </c>
      <c r="D46" s="18">
        <f t="shared" si="1"/>
        <v>0.39</v>
      </c>
      <c r="E46" s="7">
        <v>80</v>
      </c>
      <c r="V46" s="18">
        <v>4.3999999999999997E-2</v>
      </c>
      <c r="W46" s="20">
        <f t="shared" si="2"/>
        <v>0.15999240371319584</v>
      </c>
      <c r="X46" s="20">
        <f t="shared" si="3"/>
        <v>2.0002373229338729E-2</v>
      </c>
      <c r="Y46" s="20">
        <f t="shared" si="4"/>
        <v>-0.34926806098915336</v>
      </c>
    </row>
    <row r="47" spans="1:33" x14ac:dyDescent="0.2">
      <c r="A47" s="7">
        <v>32438</v>
      </c>
      <c r="B47" s="7">
        <v>389</v>
      </c>
      <c r="C47" s="17">
        <f t="shared" si="0"/>
        <v>2.2930000000000001</v>
      </c>
      <c r="D47" s="18">
        <f t="shared" si="1"/>
        <v>0.38900000000000001</v>
      </c>
      <c r="E47" s="7">
        <v>80</v>
      </c>
      <c r="V47" s="18">
        <v>4.4999999999999998E-2</v>
      </c>
      <c r="W47" s="20">
        <f t="shared" si="2"/>
        <v>0.16001223214349938</v>
      </c>
      <c r="X47" s="20">
        <f t="shared" si="3"/>
        <v>1.9655177291204952E-2</v>
      </c>
      <c r="Y47" s="20">
        <f t="shared" si="4"/>
        <v>-0.34512857849227568</v>
      </c>
    </row>
    <row r="48" spans="1:33" x14ac:dyDescent="0.2">
      <c r="A48" s="7">
        <v>32508</v>
      </c>
      <c r="B48" s="7">
        <v>387</v>
      </c>
      <c r="C48" s="17">
        <f t="shared" si="0"/>
        <v>2.363</v>
      </c>
      <c r="D48" s="18">
        <f t="shared" si="1"/>
        <v>0.38700000000000001</v>
      </c>
      <c r="E48" s="7">
        <v>80</v>
      </c>
      <c r="V48" s="18">
        <v>4.5999999999999999E-2</v>
      </c>
      <c r="W48" s="20">
        <f t="shared" si="2"/>
        <v>0.16003171544284725</v>
      </c>
      <c r="X48" s="20">
        <f t="shared" si="3"/>
        <v>1.9312106563609092E-2</v>
      </c>
      <c r="Y48" s="20">
        <f t="shared" si="4"/>
        <v>-0.34101762223601562</v>
      </c>
    </row>
    <row r="49" spans="1:25" x14ac:dyDescent="0.2">
      <c r="A49" s="7">
        <v>32540</v>
      </c>
      <c r="B49" s="7">
        <v>387</v>
      </c>
      <c r="C49" s="17">
        <f t="shared" si="0"/>
        <v>2.395</v>
      </c>
      <c r="D49" s="18">
        <f t="shared" si="1"/>
        <v>0.38700000000000001</v>
      </c>
      <c r="E49" s="7">
        <v>80</v>
      </c>
      <c r="V49" s="18">
        <v>4.7E-2</v>
      </c>
      <c r="W49" s="20">
        <f t="shared" si="2"/>
        <v>0.16005085772220454</v>
      </c>
      <c r="X49" s="20">
        <f t="shared" si="3"/>
        <v>1.8973132573315614E-2</v>
      </c>
      <c r="Y49" s="20">
        <f t="shared" si="4"/>
        <v>-0.33693508623703639</v>
      </c>
    </row>
    <row r="50" spans="1:25" x14ac:dyDescent="0.2">
      <c r="A50" s="7">
        <v>32609</v>
      </c>
      <c r="B50" s="7">
        <v>384</v>
      </c>
      <c r="C50" s="17">
        <f t="shared" si="0"/>
        <v>2.464</v>
      </c>
      <c r="D50" s="18">
        <f t="shared" si="1"/>
        <v>0.38400000000000001</v>
      </c>
      <c r="E50" s="7">
        <v>80</v>
      </c>
      <c r="V50" s="18">
        <v>4.8000000000000001E-2</v>
      </c>
      <c r="W50" s="20">
        <f t="shared" si="2"/>
        <v>0.16006966306411602</v>
      </c>
      <c r="X50" s="20">
        <f t="shared" si="3"/>
        <v>1.8638226952991836E-2</v>
      </c>
      <c r="Y50" s="20">
        <f t="shared" si="4"/>
        <v>-0.33288086467296962</v>
      </c>
    </row>
    <row r="51" spans="1:25" x14ac:dyDescent="0.2">
      <c r="A51" s="7">
        <v>32641</v>
      </c>
      <c r="B51" s="7">
        <v>380</v>
      </c>
      <c r="C51" s="17">
        <f t="shared" si="0"/>
        <v>2.496</v>
      </c>
      <c r="D51" s="18">
        <f t="shared" si="1"/>
        <v>0.38</v>
      </c>
      <c r="E51" s="7">
        <v>80</v>
      </c>
      <c r="V51" s="18">
        <v>4.9000000000000002E-2</v>
      </c>
      <c r="W51" s="20">
        <f t="shared" si="2"/>
        <v>0.16008813552281212</v>
      </c>
      <c r="X51" s="20">
        <f t="shared" si="3"/>
        <v>1.8307361441046961E-2</v>
      </c>
      <c r="Y51" s="20">
        <f t="shared" si="4"/>
        <v>-0.3288548518824152</v>
      </c>
    </row>
    <row r="52" spans="1:25" x14ac:dyDescent="0.2">
      <c r="A52" s="7">
        <v>32702</v>
      </c>
      <c r="B52" s="7">
        <v>378</v>
      </c>
      <c r="C52" s="17">
        <f t="shared" si="0"/>
        <v>2.5569999999999999</v>
      </c>
      <c r="D52" s="18">
        <f t="shared" si="1"/>
        <v>0.378</v>
      </c>
      <c r="E52" s="7">
        <v>80</v>
      </c>
      <c r="V52" s="18">
        <v>0.05</v>
      </c>
      <c r="W52" s="20">
        <f t="shared" si="2"/>
        <v>0.16010627912431441</v>
      </c>
      <c r="X52" s="20">
        <f t="shared" si="3"/>
        <v>1.7980507881471097E-2</v>
      </c>
      <c r="Y52" s="20">
        <f t="shared" si="4"/>
        <v>-0.32485694236494145</v>
      </c>
    </row>
    <row r="53" spans="1:25" x14ac:dyDescent="0.2">
      <c r="A53" s="7">
        <v>32751</v>
      </c>
      <c r="B53" s="7">
        <v>374</v>
      </c>
      <c r="C53" s="17">
        <f t="shared" si="0"/>
        <v>2.6059999999999999</v>
      </c>
      <c r="D53" s="18">
        <f t="shared" si="1"/>
        <v>0.374</v>
      </c>
      <c r="E53" s="7">
        <v>80</v>
      </c>
      <c r="V53" s="18">
        <v>5.0999999999999997E-2</v>
      </c>
      <c r="W53" s="20">
        <f t="shared" si="2"/>
        <v>0.16012409786654117</v>
      </c>
      <c r="X53" s="20">
        <f t="shared" si="3"/>
        <v>1.7657638223674325E-2</v>
      </c>
      <c r="Y53" s="20">
        <f t="shared" si="4"/>
        <v>-0.32088703078108466</v>
      </c>
    </row>
    <row r="54" spans="1:25" x14ac:dyDescent="0.2">
      <c r="A54" s="7">
        <v>32803</v>
      </c>
      <c r="B54" s="7">
        <v>375</v>
      </c>
      <c r="C54" s="17">
        <f t="shared" si="0"/>
        <v>2.6579999999999999</v>
      </c>
      <c r="D54" s="18">
        <f t="shared" si="1"/>
        <v>0.375</v>
      </c>
      <c r="E54" s="7">
        <v>80</v>
      </c>
      <c r="V54" s="18">
        <v>5.1999999999999998E-2</v>
      </c>
      <c r="W54" s="20">
        <f t="shared" si="2"/>
        <v>0.16014159571941275</v>
      </c>
      <c r="X54" s="20">
        <f t="shared" si="3"/>
        <v>1.7338724522325676E-2</v>
      </c>
      <c r="Y54" s="20">
        <f t="shared" si="4"/>
        <v>-0.31694501195234986</v>
      </c>
    </row>
    <row r="55" spans="1:25" x14ac:dyDescent="0.2">
      <c r="A55" s="7">
        <v>32874</v>
      </c>
      <c r="B55" s="7">
        <v>372</v>
      </c>
      <c r="C55" s="17">
        <f t="shared" si="0"/>
        <v>2.7290000000000001</v>
      </c>
      <c r="D55" s="18">
        <f t="shared" si="1"/>
        <v>0.372</v>
      </c>
      <c r="E55" s="7">
        <v>80</v>
      </c>
      <c r="V55" s="18">
        <v>5.2999999999999999E-2</v>
      </c>
      <c r="W55" s="20">
        <f t="shared" si="2"/>
        <v>0.16015877662495673</v>
      </c>
      <c r="X55" s="20">
        <f t="shared" si="3"/>
        <v>1.7023738937192216E-2</v>
      </c>
      <c r="Y55" s="20">
        <f t="shared" si="4"/>
        <v>-0.31303078086121011</v>
      </c>
    </row>
    <row r="56" spans="1:25" x14ac:dyDescent="0.2">
      <c r="A56" s="7">
        <v>32906</v>
      </c>
      <c r="B56" s="7">
        <v>370</v>
      </c>
      <c r="C56" s="17">
        <f t="shared" si="0"/>
        <v>2.7610000000000001</v>
      </c>
      <c r="D56" s="18">
        <f t="shared" si="1"/>
        <v>0.37</v>
      </c>
      <c r="E56" s="7">
        <v>80</v>
      </c>
      <c r="V56" s="18">
        <v>5.3999999999999999E-2</v>
      </c>
      <c r="W56" s="20">
        <f t="shared" si="2"/>
        <v>0.16017564449741292</v>
      </c>
      <c r="X56" s="20">
        <f t="shared" si="3"/>
        <v>1.6712653732978037E-2</v>
      </c>
      <c r="Y56" s="20">
        <f t="shared" si="4"/>
        <v>-0.3091442326511068</v>
      </c>
    </row>
    <row r="57" spans="1:25" x14ac:dyDescent="0.2">
      <c r="A57" s="7">
        <v>32966</v>
      </c>
      <c r="B57" s="7">
        <v>368</v>
      </c>
      <c r="C57" s="17">
        <f t="shared" si="0"/>
        <v>2.8210000000000002</v>
      </c>
      <c r="D57" s="18">
        <f t="shared" si="1"/>
        <v>0.36799999999999999</v>
      </c>
      <c r="E57" s="7">
        <v>80</v>
      </c>
      <c r="V57" s="18">
        <v>5.5E-2</v>
      </c>
      <c r="W57" s="20">
        <f t="shared" si="2"/>
        <v>0.16019220322333833</v>
      </c>
      <c r="X57" s="20">
        <f t="shared" si="3"/>
        <v>1.6405441279163307E-2</v>
      </c>
      <c r="Y57" s="20">
        <f t="shared" si="4"/>
        <v>-0.30528526262644973</v>
      </c>
    </row>
    <row r="58" spans="1:25" x14ac:dyDescent="0.2">
      <c r="A58" s="7">
        <v>33035</v>
      </c>
      <c r="B58" s="7">
        <v>365</v>
      </c>
      <c r="C58" s="17">
        <f t="shared" si="0"/>
        <v>2.89</v>
      </c>
      <c r="D58" s="18">
        <f t="shared" si="1"/>
        <v>0.36499999999999999</v>
      </c>
      <c r="E58" s="7">
        <v>80</v>
      </c>
      <c r="V58" s="18">
        <v>5.6000000000000001E-2</v>
      </c>
      <c r="W58" s="20">
        <f t="shared" si="2"/>
        <v>0.1602084566617116</v>
      </c>
      <c r="X58" s="20">
        <f t="shared" si="3"/>
        <v>1.6102074049843318E-2</v>
      </c>
      <c r="Y58" s="20">
        <f t="shared" si="4"/>
        <v>-0.30145376625261699</v>
      </c>
    </row>
    <row r="59" spans="1:25" x14ac:dyDescent="0.2">
      <c r="A59" s="7">
        <v>33067</v>
      </c>
      <c r="B59" s="7">
        <v>362</v>
      </c>
      <c r="C59" s="17">
        <f t="shared" si="0"/>
        <v>2.9220000000000002</v>
      </c>
      <c r="D59" s="18">
        <f t="shared" si="1"/>
        <v>0.36199999999999999</v>
      </c>
      <c r="E59" s="7">
        <v>80</v>
      </c>
      <c r="V59" s="18">
        <v>5.7000000000000002E-2</v>
      </c>
      <c r="W59" s="20">
        <f t="shared" si="2"/>
        <v>0.16022440864403786</v>
      </c>
      <c r="X59" s="20">
        <f t="shared" si="3"/>
        <v>1.5802524623567474E-2</v>
      </c>
      <c r="Y59" s="20">
        <f t="shared" si="4"/>
        <v>-0.29764963915595488</v>
      </c>
    </row>
    <row r="60" spans="1:25" x14ac:dyDescent="0.2">
      <c r="A60" s="7">
        <v>33136</v>
      </c>
      <c r="B60" s="7">
        <v>358</v>
      </c>
      <c r="C60" s="17">
        <f t="shared" si="0"/>
        <v>2.9910000000000001</v>
      </c>
      <c r="D60" s="18">
        <f t="shared" si="1"/>
        <v>0.35799999999999998</v>
      </c>
      <c r="E60" s="7">
        <v>80</v>
      </c>
      <c r="V60" s="18">
        <v>5.8000000000000003E-2</v>
      </c>
      <c r="W60" s="20">
        <f t="shared" si="2"/>
        <v>0.16024006297445287</v>
      </c>
      <c r="X60" s="20">
        <f t="shared" si="3"/>
        <v>1.5506765683178363E-2</v>
      </c>
      <c r="Y60" s="20">
        <f t="shared" si="4"/>
        <v>-0.29387277712377818</v>
      </c>
    </row>
    <row r="61" spans="1:25" x14ac:dyDescent="0.2">
      <c r="A61" s="7">
        <v>33168</v>
      </c>
      <c r="B61" s="7">
        <v>359</v>
      </c>
      <c r="C61" s="17">
        <f t="shared" si="0"/>
        <v>3.0230000000000001</v>
      </c>
      <c r="D61" s="18">
        <f t="shared" si="1"/>
        <v>0.35899999999999999</v>
      </c>
      <c r="E61" s="7">
        <v>80</v>
      </c>
      <c r="V61" s="18">
        <v>5.8999999999999997E-2</v>
      </c>
      <c r="W61" s="20">
        <f t="shared" si="2"/>
        <v>0.16025542342982735</v>
      </c>
      <c r="X61" s="20">
        <f t="shared" si="3"/>
        <v>1.5214770015650785E-2</v>
      </c>
      <c r="Y61" s="20">
        <f t="shared" si="4"/>
        <v>-0.29012307610436971</v>
      </c>
    </row>
    <row r="62" spans="1:25" x14ac:dyDescent="0.2">
      <c r="A62" s="7">
        <v>33237</v>
      </c>
      <c r="B62" s="7">
        <v>355</v>
      </c>
      <c r="C62" s="17">
        <f t="shared" si="0"/>
        <v>3.0920000000000001</v>
      </c>
      <c r="D62" s="18">
        <f t="shared" si="1"/>
        <v>0.35499999999999998</v>
      </c>
      <c r="E62" s="7">
        <v>80</v>
      </c>
      <c r="V62" s="18">
        <v>0.06</v>
      </c>
      <c r="W62" s="20">
        <f t="shared" si="2"/>
        <v>0.16027049375987096</v>
      </c>
      <c r="X62" s="20">
        <f t="shared" si="3"/>
        <v>1.4926510511930745E-2</v>
      </c>
      <c r="Y62" s="20">
        <f t="shared" si="4"/>
        <v>-0.28640043220698086</v>
      </c>
    </row>
    <row r="63" spans="1:25" x14ac:dyDescent="0.2">
      <c r="A63" s="7">
        <v>33269</v>
      </c>
      <c r="B63" s="7">
        <v>351</v>
      </c>
      <c r="C63" s="17">
        <f t="shared" si="0"/>
        <v>3.1240000000000001</v>
      </c>
      <c r="D63" s="18">
        <f t="shared" si="1"/>
        <v>0.35099999999999998</v>
      </c>
      <c r="E63" s="7">
        <v>80</v>
      </c>
      <c r="V63" s="18">
        <v>6.0999999999999999E-2</v>
      </c>
      <c r="W63" s="20">
        <f t="shared" si="2"/>
        <v>0.16028527768723624</v>
      </c>
      <c r="X63" s="20">
        <f t="shared" si="3"/>
        <v>1.4641960166774527E-2</v>
      </c>
      <c r="Y63" s="20">
        <f t="shared" si="4"/>
        <v>-0.28270474170183119</v>
      </c>
    </row>
    <row r="64" spans="1:25" x14ac:dyDescent="0.2">
      <c r="A64" s="7">
        <v>33338</v>
      </c>
      <c r="B64" s="7">
        <v>347</v>
      </c>
      <c r="C64" s="17">
        <f t="shared" si="0"/>
        <v>3.1930000000000001</v>
      </c>
      <c r="D64" s="18">
        <f t="shared" si="1"/>
        <v>0.34699999999999998</v>
      </c>
      <c r="E64" s="7">
        <v>80</v>
      </c>
      <c r="V64" s="18">
        <v>6.2E-2</v>
      </c>
      <c r="W64" s="20">
        <f t="shared" si="2"/>
        <v>0.16029977890762234</v>
      </c>
      <c r="X64" s="20">
        <f t="shared" si="3"/>
        <v>1.4361092078587726E-2</v>
      </c>
      <c r="Y64" s="20">
        <f t="shared" si="4"/>
        <v>-0.27903590102010856</v>
      </c>
    </row>
    <row r="65" spans="1:25" x14ac:dyDescent="0.2">
      <c r="A65" s="7">
        <v>33370</v>
      </c>
      <c r="B65" s="7">
        <v>349</v>
      </c>
      <c r="C65" s="17">
        <f t="shared" si="0"/>
        <v>3.2250000000000001</v>
      </c>
      <c r="D65" s="18">
        <f t="shared" si="1"/>
        <v>0.34899999999999998</v>
      </c>
      <c r="E65" s="7">
        <v>80</v>
      </c>
      <c r="V65" s="18">
        <v>6.3E-2</v>
      </c>
      <c r="W65" s="20">
        <f t="shared" si="2"/>
        <v>0.16031400108987856</v>
      </c>
      <c r="X65" s="20">
        <f t="shared" si="3"/>
        <v>1.4083879449264241E-2</v>
      </c>
      <c r="Y65" s="20">
        <f t="shared" si="4"/>
        <v>-0.27539380675396924</v>
      </c>
    </row>
    <row r="66" spans="1:25" x14ac:dyDescent="0.2">
      <c r="A66" s="7">
        <v>33430</v>
      </c>
      <c r="B66" s="7">
        <v>345</v>
      </c>
      <c r="C66" s="17">
        <f t="shared" si="0"/>
        <v>3.2850000000000001</v>
      </c>
      <c r="D66" s="18">
        <f t="shared" si="1"/>
        <v>0.34499999999999997</v>
      </c>
      <c r="E66" s="7">
        <v>80</v>
      </c>
      <c r="V66" s="18">
        <v>6.4000000000000001E-2</v>
      </c>
      <c r="W66" s="20">
        <f t="shared" si="2"/>
        <v>0.16032794787610774</v>
      </c>
      <c r="X66" s="20">
        <f t="shared" si="3"/>
        <v>1.3810295584025342E-2</v>
      </c>
      <c r="Y66" s="20">
        <f t="shared" si="4"/>
        <v>-0.27177835565653768</v>
      </c>
    </row>
    <row r="67" spans="1:25" x14ac:dyDescent="0.2">
      <c r="A67" s="7">
        <v>33499</v>
      </c>
      <c r="B67" s="7">
        <v>341</v>
      </c>
      <c r="C67" s="17">
        <f t="shared" ref="C67:C130" si="5">($A67-$A$2)/1000</f>
        <v>3.3540000000000001</v>
      </c>
      <c r="D67" s="18">
        <f t="shared" ref="D67:D130" si="6">$B67/1000</f>
        <v>0.34100000000000003</v>
      </c>
      <c r="E67" s="7">
        <v>80</v>
      </c>
      <c r="V67" s="18">
        <v>6.5000000000000002E-2</v>
      </c>
      <c r="W67" s="20">
        <f t="shared" ref="W67:W130" si="7" xml:space="preserve"> -0.223567093536985*V67^6 + 0.944228289125022*V67^5 - 1.39425331473467*V67^4 + 0.919786041369661*V67^3 - 0.280641903613287*V67^2 + 0.0398143416441599*V67 + 0.158710616051081</f>
        <v>0.16034162288176962</v>
      </c>
      <c r="X67" s="20">
        <f t="shared" ref="X67:X130" si="8" xml:space="preserve"> 6*-0.223567093536985*V67^5 + 5*0.944228289125022*V67^4 - 4*1.39425331473467*V67^3 + 3*0.919786041369661*V67^2 - 2*0.280641903613287*V67^1 + 0.0398143416441599</f>
        <v>1.3540313891258683E-2</v>
      </c>
      <c r="Y67" s="20">
        <f t="shared" ref="Y67:Y130" si="9" xml:space="preserve"> 5*6*-0.223567093536985*V67^4 + 4*5*0.944228289125022*V67^3 - 3*4*1.39425331473467*V67^2 + 2*3*0.919786041369661*V67^1 - 2*0.280641903613287</f>
        <v>-0.2681894446419068</v>
      </c>
    </row>
    <row r="68" spans="1:25" x14ac:dyDescent="0.2">
      <c r="A68" s="7">
        <v>33531</v>
      </c>
      <c r="B68" s="7">
        <v>337</v>
      </c>
      <c r="C68" s="17">
        <f t="shared" si="5"/>
        <v>3.3860000000000001</v>
      </c>
      <c r="D68" s="18">
        <f t="shared" si="6"/>
        <v>0.33700000000000002</v>
      </c>
      <c r="E68" s="7">
        <v>80</v>
      </c>
      <c r="V68" s="18">
        <v>6.6000000000000003E-2</v>
      </c>
      <c r="W68" s="20">
        <f t="shared" si="7"/>
        <v>0.16035502969578375</v>
      </c>
      <c r="X68" s="20">
        <f t="shared" si="8"/>
        <v>1.3273907882357359E-2</v>
      </c>
      <c r="Y68" s="20">
        <f t="shared" si="9"/>
        <v>-0.26462697078513769</v>
      </c>
    </row>
    <row r="69" spans="1:25" x14ac:dyDescent="0.2">
      <c r="A69" s="7">
        <v>33600</v>
      </c>
      <c r="B69" s="7">
        <v>334</v>
      </c>
      <c r="C69" s="17">
        <f t="shared" si="5"/>
        <v>3.4550000000000001</v>
      </c>
      <c r="D69" s="18">
        <f t="shared" si="6"/>
        <v>0.33400000000000002</v>
      </c>
      <c r="E69" s="7">
        <v>80</v>
      </c>
      <c r="V69" s="18">
        <v>6.7000000000000004E-2</v>
      </c>
      <c r="W69" s="20">
        <f t="shared" si="7"/>
        <v>0.16036817188063257</v>
      </c>
      <c r="X69" s="20">
        <f t="shared" si="8"/>
        <v>1.3011051171558902E-2</v>
      </c>
      <c r="Y69" s="20">
        <f t="shared" si="9"/>
        <v>-0.26109083132225974</v>
      </c>
    </row>
    <row r="70" spans="1:25" x14ac:dyDescent="0.2">
      <c r="A70" s="7">
        <v>33631</v>
      </c>
      <c r="B70" s="7">
        <v>334</v>
      </c>
      <c r="C70" s="17">
        <f t="shared" si="5"/>
        <v>3.4860000000000002</v>
      </c>
      <c r="D70" s="18">
        <f t="shared" si="6"/>
        <v>0.33400000000000002</v>
      </c>
      <c r="E70" s="7">
        <v>80</v>
      </c>
      <c r="V70" s="18">
        <v>6.8000000000000005E-2</v>
      </c>
      <c r="W70" s="20">
        <f t="shared" si="7"/>
        <v>0.16038105297246408</v>
      </c>
      <c r="X70" s="20">
        <f t="shared" si="8"/>
        <v>1.2751717475784331E-2</v>
      </c>
      <c r="Y70" s="20">
        <f t="shared" si="9"/>
        <v>-0.25758092365027069</v>
      </c>
    </row>
    <row r="71" spans="1:25" x14ac:dyDescent="0.2">
      <c r="A71" s="7">
        <v>33701</v>
      </c>
      <c r="B71" s="7">
        <v>331</v>
      </c>
      <c r="C71" s="17">
        <f t="shared" si="5"/>
        <v>3.556</v>
      </c>
      <c r="D71" s="18">
        <f t="shared" si="6"/>
        <v>0.33100000000000002</v>
      </c>
      <c r="E71" s="7">
        <v>80</v>
      </c>
      <c r="V71" s="18">
        <v>6.9000000000000006E-2</v>
      </c>
      <c r="W71" s="20">
        <f t="shared" si="7"/>
        <v>0.16039367648119449</v>
      </c>
      <c r="X71" s="20">
        <f t="shared" si="8"/>
        <v>1.2495880614477199E-2</v>
      </c>
      <c r="Y71" s="20">
        <f t="shared" si="9"/>
        <v>-0.25409714532713668</v>
      </c>
    </row>
    <row r="72" spans="1:25" x14ac:dyDescent="0.2">
      <c r="A72" s="7">
        <v>33733</v>
      </c>
      <c r="B72" s="7">
        <v>328</v>
      </c>
      <c r="C72" s="17">
        <f t="shared" si="5"/>
        <v>3.5880000000000001</v>
      </c>
      <c r="D72" s="18">
        <f t="shared" si="6"/>
        <v>0.32800000000000001</v>
      </c>
      <c r="E72" s="7">
        <v>80</v>
      </c>
      <c r="V72" s="18">
        <v>7.0000000000000007E-2</v>
      </c>
      <c r="W72" s="20">
        <f t="shared" si="7"/>
        <v>0.16040604589061064</v>
      </c>
      <c r="X72" s="20">
        <f t="shared" si="8"/>
        <v>1.2243514509442582E-2</v>
      </c>
      <c r="Y72" s="20">
        <f t="shared" si="9"/>
        <v>-0.25063939407179192</v>
      </c>
    </row>
    <row r="73" spans="1:25" x14ac:dyDescent="0.2">
      <c r="A73" s="7">
        <v>33802</v>
      </c>
      <c r="B73" s="7">
        <v>325</v>
      </c>
      <c r="C73" s="17">
        <f t="shared" si="5"/>
        <v>3.657</v>
      </c>
      <c r="D73" s="18">
        <f t="shared" si="6"/>
        <v>0.32500000000000001</v>
      </c>
      <c r="E73" s="7">
        <v>80</v>
      </c>
      <c r="V73" s="18">
        <v>7.0999999999999994E-2</v>
      </c>
      <c r="W73" s="20">
        <f t="shared" si="7"/>
        <v>0.16041816465847233</v>
      </c>
      <c r="X73" s="20">
        <f t="shared" si="8"/>
        <v>1.199459318468617E-2</v>
      </c>
      <c r="Y73" s="20">
        <f t="shared" si="9"/>
        <v>-0.24720756776413932</v>
      </c>
    </row>
    <row r="74" spans="1:25" x14ac:dyDescent="0.2">
      <c r="A74" s="7">
        <v>33834</v>
      </c>
      <c r="B74" s="7">
        <v>325</v>
      </c>
      <c r="C74" s="17">
        <f t="shared" si="5"/>
        <v>3.6890000000000001</v>
      </c>
      <c r="D74" s="18">
        <f t="shared" si="6"/>
        <v>0.32500000000000001</v>
      </c>
      <c r="E74" s="7">
        <v>80</v>
      </c>
      <c r="V74" s="18">
        <v>7.1999999999999995E-2</v>
      </c>
      <c r="W74" s="20">
        <f t="shared" si="7"/>
        <v>0.16043003621661434</v>
      </c>
      <c r="X74" s="20">
        <f t="shared" si="8"/>
        <v>1.1749090766253242E-2</v>
      </c>
      <c r="Y74" s="20">
        <f t="shared" si="9"/>
        <v>-0.24380156444504963</v>
      </c>
    </row>
    <row r="75" spans="1:25" x14ac:dyDescent="0.2">
      <c r="A75" s="7">
        <v>33903</v>
      </c>
      <c r="B75" s="7">
        <v>323</v>
      </c>
      <c r="C75" s="17">
        <f t="shared" si="5"/>
        <v>3.758</v>
      </c>
      <c r="D75" s="18">
        <f t="shared" si="6"/>
        <v>0.32300000000000001</v>
      </c>
      <c r="E75" s="7">
        <v>80</v>
      </c>
      <c r="V75" s="18">
        <v>7.2999999999999995E-2</v>
      </c>
      <c r="W75" s="20">
        <f t="shared" si="7"/>
        <v>0.16044166397104845</v>
      </c>
      <c r="X75" s="20">
        <f t="shared" si="8"/>
        <v>1.1506981482067729E-2</v>
      </c>
      <c r="Y75" s="20">
        <f t="shared" si="9"/>
        <v>-0.24042128231636217</v>
      </c>
    </row>
    <row r="76" spans="1:25" x14ac:dyDescent="0.2">
      <c r="A76" s="7">
        <v>33935</v>
      </c>
      <c r="B76" s="7">
        <v>319</v>
      </c>
      <c r="C76" s="17">
        <f t="shared" si="5"/>
        <v>3.79</v>
      </c>
      <c r="D76" s="18">
        <f t="shared" si="6"/>
        <v>0.31900000000000001</v>
      </c>
      <c r="E76" s="7">
        <v>80</v>
      </c>
      <c r="V76" s="18">
        <v>7.3999999999999996E-2</v>
      </c>
      <c r="W76" s="20">
        <f t="shared" si="7"/>
        <v>0.1604530513020653</v>
      </c>
      <c r="X76" s="20">
        <f t="shared" si="8"/>
        <v>1.1268239661771238E-2</v>
      </c>
      <c r="Y76" s="20">
        <f t="shared" si="9"/>
        <v>-0.2370666197408845</v>
      </c>
    </row>
    <row r="77" spans="1:25" x14ac:dyDescent="0.2">
      <c r="A77" s="7">
        <v>34004</v>
      </c>
      <c r="B77" s="7">
        <v>317</v>
      </c>
      <c r="C77" s="17">
        <f t="shared" si="5"/>
        <v>3.859</v>
      </c>
      <c r="D77" s="18">
        <f t="shared" si="6"/>
        <v>0.317</v>
      </c>
      <c r="E77" s="7">
        <v>80</v>
      </c>
      <c r="V77" s="18">
        <v>7.4999999999999997E-2</v>
      </c>
      <c r="W77" s="20">
        <f t="shared" si="7"/>
        <v>0.16046420156433588</v>
      </c>
      <c r="X77" s="20">
        <f t="shared" si="8"/>
        <v>1.1032839736562085E-2</v>
      </c>
      <c r="Y77" s="20">
        <f t="shared" si="9"/>
        <v>-0.23373747524239263</v>
      </c>
    </row>
    <row r="78" spans="1:25" x14ac:dyDescent="0.2">
      <c r="A78" s="7">
        <v>34035</v>
      </c>
      <c r="B78" s="7">
        <v>318</v>
      </c>
      <c r="C78" s="17">
        <f t="shared" si="5"/>
        <v>3.89</v>
      </c>
      <c r="D78" s="18">
        <f t="shared" si="6"/>
        <v>0.318</v>
      </c>
      <c r="E78" s="7">
        <v>80</v>
      </c>
      <c r="V78" s="18">
        <v>7.5999999999999998E-2</v>
      </c>
      <c r="W78" s="20">
        <f t="shared" si="7"/>
        <v>0.1604751180870132</v>
      </c>
      <c r="X78" s="20">
        <f t="shared" si="8"/>
        <v>1.0800756239034329E-2</v>
      </c>
      <c r="Y78" s="20">
        <f t="shared" si="9"/>
        <v>-0.23043374750563078</v>
      </c>
    </row>
    <row r="79" spans="1:25" x14ac:dyDescent="0.2">
      <c r="A79" s="7">
        <v>34105</v>
      </c>
      <c r="B79" s="7">
        <v>316</v>
      </c>
      <c r="C79" s="17">
        <f t="shared" si="5"/>
        <v>3.96</v>
      </c>
      <c r="D79" s="18">
        <f t="shared" si="6"/>
        <v>0.316</v>
      </c>
      <c r="E79" s="7">
        <v>80</v>
      </c>
      <c r="V79" s="18">
        <v>7.6999999999999999E-2</v>
      </c>
      <c r="W79" s="20">
        <f t="shared" si="7"/>
        <v>0.16048580417383335</v>
      </c>
      <c r="X79" s="20">
        <f t="shared" si="8"/>
        <v>1.0571963803016799E-2</v>
      </c>
      <c r="Y79" s="20">
        <f t="shared" si="9"/>
        <v>-0.22715533537631133</v>
      </c>
    </row>
    <row r="80" spans="1:25" x14ac:dyDescent="0.2">
      <c r="A80" s="7">
        <v>34137</v>
      </c>
      <c r="B80" s="7">
        <v>312</v>
      </c>
      <c r="C80" s="17">
        <f t="shared" si="5"/>
        <v>3.992</v>
      </c>
      <c r="D80" s="18">
        <f t="shared" si="6"/>
        <v>0.312</v>
      </c>
      <c r="E80" s="7">
        <v>80</v>
      </c>
      <c r="V80" s="18">
        <v>7.8E-2</v>
      </c>
      <c r="W80" s="20">
        <f t="shared" si="7"/>
        <v>0.16049626310321691</v>
      </c>
      <c r="X80" s="20">
        <f t="shared" si="8"/>
        <v>1.0346437163412124E-2</v>
      </c>
      <c r="Y80" s="20">
        <f t="shared" si="9"/>
        <v>-0.22390213786111512</v>
      </c>
    </row>
    <row r="81" spans="1:25" x14ac:dyDescent="0.2">
      <c r="A81" s="7">
        <v>34197</v>
      </c>
      <c r="B81" s="7">
        <v>309</v>
      </c>
      <c r="C81" s="17">
        <f t="shared" si="5"/>
        <v>4.0519999999999996</v>
      </c>
      <c r="D81" s="18">
        <f t="shared" si="6"/>
        <v>0.309</v>
      </c>
      <c r="E81" s="7">
        <v>80</v>
      </c>
      <c r="V81" s="18">
        <v>7.9000000000000001E-2</v>
      </c>
      <c r="W81" s="20">
        <f t="shared" si="7"/>
        <v>0.16050649812836978</v>
      </c>
      <c r="X81" s="20">
        <f t="shared" si="8"/>
        <v>1.0124151156035766E-2</v>
      </c>
      <c r="Y81" s="20">
        <f t="shared" si="9"/>
        <v>-0.22067405412769131</v>
      </c>
    </row>
    <row r="82" spans="1:25" x14ac:dyDescent="0.2">
      <c r="A82" s="7">
        <v>34266</v>
      </c>
      <c r="B82" s="7">
        <v>307</v>
      </c>
      <c r="C82" s="17">
        <f t="shared" si="5"/>
        <v>4.1210000000000004</v>
      </c>
      <c r="D82" s="18">
        <f t="shared" si="6"/>
        <v>0.307</v>
      </c>
      <c r="E82" s="7">
        <v>80</v>
      </c>
      <c r="V82" s="18">
        <v>0.08</v>
      </c>
      <c r="W82" s="20">
        <f t="shared" si="7"/>
        <v>0.16051651247738413</v>
      </c>
      <c r="X82" s="20">
        <f t="shared" si="8"/>
        <v>9.9050807174550608E-3</v>
      </c>
      <c r="Y82" s="20">
        <f t="shared" si="9"/>
        <v>-0.21747098350465732</v>
      </c>
    </row>
    <row r="83" spans="1:25" x14ac:dyDescent="0.2">
      <c r="A83" s="7">
        <v>34297</v>
      </c>
      <c r="B83" s="7">
        <v>307</v>
      </c>
      <c r="C83" s="17">
        <f t="shared" si="5"/>
        <v>4.1520000000000001</v>
      </c>
      <c r="D83" s="18">
        <f t="shared" si="6"/>
        <v>0.307</v>
      </c>
      <c r="E83" s="7">
        <v>80</v>
      </c>
      <c r="V83" s="18">
        <v>8.1000000000000003E-2</v>
      </c>
      <c r="W83" s="20">
        <f t="shared" si="7"/>
        <v>0.16052630935333889</v>
      </c>
      <c r="X83" s="20">
        <f t="shared" si="8"/>
        <v>9.6892008848282474E-3</v>
      </c>
      <c r="Y83" s="20">
        <f t="shared" si="9"/>
        <v>-0.21429282548159889</v>
      </c>
    </row>
    <row r="84" spans="1:25" x14ac:dyDescent="0.2">
      <c r="A84" s="7">
        <v>34367</v>
      </c>
      <c r="B84" s="7">
        <v>305</v>
      </c>
      <c r="C84" s="17">
        <f t="shared" si="5"/>
        <v>4.2220000000000004</v>
      </c>
      <c r="D84" s="18">
        <f t="shared" si="6"/>
        <v>0.30499999999999999</v>
      </c>
      <c r="E84" s="7">
        <v>80</v>
      </c>
      <c r="V84" s="18">
        <v>8.2000000000000003E-2</v>
      </c>
      <c r="W84" s="20">
        <f t="shared" si="7"/>
        <v>0.16053589193440052</v>
      </c>
      <c r="X84" s="20">
        <f t="shared" si="8"/>
        <v>9.4764867957434773E-3</v>
      </c>
      <c r="Y84" s="20">
        <f t="shared" si="9"/>
        <v>-0.21113947970907021</v>
      </c>
    </row>
    <row r="85" spans="1:25" x14ac:dyDescent="0.2">
      <c r="A85" s="7">
        <v>34399</v>
      </c>
      <c r="B85" s="7">
        <v>301</v>
      </c>
      <c r="C85" s="17">
        <f t="shared" si="5"/>
        <v>4.2539999999999996</v>
      </c>
      <c r="D85" s="18">
        <f t="shared" si="6"/>
        <v>0.30099999999999999</v>
      </c>
      <c r="E85" s="7">
        <v>80</v>
      </c>
      <c r="V85" s="18">
        <v>8.3000000000000004E-2</v>
      </c>
      <c r="W85" s="20">
        <f t="shared" si="7"/>
        <v>0.16054526337392308</v>
      </c>
      <c r="X85" s="20">
        <f t="shared" si="8"/>
        <v>9.2669136880578797E-3</v>
      </c>
      <c r="Y85" s="20">
        <f t="shared" si="9"/>
        <v>-0.20801084599859337</v>
      </c>
    </row>
    <row r="86" spans="1:25" x14ac:dyDescent="0.2">
      <c r="A86" s="7">
        <v>34468</v>
      </c>
      <c r="B86" s="7">
        <v>299</v>
      </c>
      <c r="C86" s="17">
        <f t="shared" si="5"/>
        <v>4.3230000000000004</v>
      </c>
      <c r="D86" s="18">
        <f t="shared" si="6"/>
        <v>0.29899999999999999</v>
      </c>
      <c r="E86" s="7">
        <v>80</v>
      </c>
      <c r="V86" s="18">
        <v>8.4000000000000005E-2</v>
      </c>
      <c r="W86" s="20">
        <f t="shared" si="7"/>
        <v>0.16055442680054866</v>
      </c>
      <c r="X86" s="20">
        <f t="shared" si="8"/>
        <v>9.0604568997365575E-3</v>
      </c>
      <c r="Y86" s="20">
        <f t="shared" si="9"/>
        <v>-0.20490682432265916</v>
      </c>
    </row>
    <row r="87" spans="1:25" x14ac:dyDescent="0.2">
      <c r="A87" s="7">
        <v>34499</v>
      </c>
      <c r="B87" s="7">
        <v>300</v>
      </c>
      <c r="C87" s="17">
        <f t="shared" si="5"/>
        <v>4.3540000000000001</v>
      </c>
      <c r="D87" s="18">
        <f t="shared" si="6"/>
        <v>0.3</v>
      </c>
      <c r="E87" s="7">
        <v>80</v>
      </c>
      <c r="V87" s="18">
        <v>8.5000000000000006E-2</v>
      </c>
      <c r="W87" s="20">
        <f t="shared" si="7"/>
        <v>0.16056338531830719</v>
      </c>
      <c r="X87" s="20">
        <f t="shared" si="8"/>
        <v>8.8570918686916786E-3</v>
      </c>
      <c r="Y87" s="20">
        <f t="shared" si="9"/>
        <v>-0.20182731481472654</v>
      </c>
    </row>
    <row r="88" spans="1:25" x14ac:dyDescent="0.2">
      <c r="A88" s="7">
        <v>34569</v>
      </c>
      <c r="B88" s="7">
        <v>298</v>
      </c>
      <c r="C88" s="17">
        <f t="shared" si="5"/>
        <v>4.4240000000000004</v>
      </c>
      <c r="D88" s="18">
        <f t="shared" si="6"/>
        <v>0.29799999999999999</v>
      </c>
      <c r="E88" s="7">
        <v>80</v>
      </c>
      <c r="V88" s="18">
        <v>8.5999999999999993E-2</v>
      </c>
      <c r="W88" s="20">
        <f t="shared" si="7"/>
        <v>0.16057214200671657</v>
      </c>
      <c r="X88" s="20">
        <f t="shared" si="8"/>
        <v>8.6567941326214266E-3</v>
      </c>
      <c r="Y88" s="20">
        <f t="shared" si="9"/>
        <v>-0.19877221776922288</v>
      </c>
    </row>
    <row r="89" spans="1:25" x14ac:dyDescent="0.2">
      <c r="A89" s="7">
        <v>34601</v>
      </c>
      <c r="B89" s="7">
        <v>295</v>
      </c>
      <c r="C89" s="17">
        <f t="shared" si="5"/>
        <v>4.4560000000000004</v>
      </c>
      <c r="D89" s="18">
        <f t="shared" si="6"/>
        <v>0.29499999999999998</v>
      </c>
      <c r="E89" s="7">
        <v>80</v>
      </c>
      <c r="V89" s="18">
        <v>8.6999999999999994E-2</v>
      </c>
      <c r="W89" s="20">
        <f t="shared" si="7"/>
        <v>0.16058069992088211</v>
      </c>
      <c r="X89" s="20">
        <f t="shared" si="8"/>
        <v>8.4595393288490819E-3</v>
      </c>
      <c r="Y89" s="20">
        <f t="shared" si="9"/>
        <v>-0.19574143364154362</v>
      </c>
    </row>
    <row r="90" spans="1:25" x14ac:dyDescent="0.2">
      <c r="A90" s="7">
        <v>34670</v>
      </c>
      <c r="B90" s="7">
        <v>292</v>
      </c>
      <c r="C90" s="17">
        <f t="shared" si="5"/>
        <v>4.5250000000000004</v>
      </c>
      <c r="D90" s="18">
        <f t="shared" si="6"/>
        <v>0.29199999999999998</v>
      </c>
      <c r="E90" s="7">
        <v>80</v>
      </c>
      <c r="V90" s="18">
        <v>8.7999999999999995E-2</v>
      </c>
      <c r="W90" s="20">
        <f t="shared" si="7"/>
        <v>0.16058906209159621</v>
      </c>
      <c r="X90" s="20">
        <f t="shared" si="8"/>
        <v>8.265303194162063E-3</v>
      </c>
      <c r="Y90" s="20">
        <f t="shared" si="9"/>
        <v>-0.19273486304805265</v>
      </c>
    </row>
    <row r="91" spans="1:25" x14ac:dyDescent="0.2">
      <c r="A91" s="7">
        <v>34702</v>
      </c>
      <c r="B91" s="7">
        <v>293</v>
      </c>
      <c r="C91" s="17">
        <f t="shared" si="5"/>
        <v>4.5570000000000004</v>
      </c>
      <c r="D91" s="18">
        <f t="shared" si="6"/>
        <v>0.29299999999999998</v>
      </c>
      <c r="E91" s="7">
        <v>80</v>
      </c>
      <c r="V91" s="18">
        <v>8.8999999999999996E-2</v>
      </c>
      <c r="W91" s="20">
        <f t="shared" si="7"/>
        <v>0.16059723152543773</v>
      </c>
      <c r="X91" s="20">
        <f t="shared" si="8"/>
        <v>8.0740615646509237E-3</v>
      </c>
      <c r="Y91" s="20">
        <f t="shared" si="9"/>
        <v>-0.18975240676608229</v>
      </c>
    </row>
    <row r="92" spans="1:25" x14ac:dyDescent="0.2">
      <c r="A92" s="7">
        <v>34771</v>
      </c>
      <c r="B92" s="7">
        <v>290</v>
      </c>
      <c r="C92" s="17">
        <f t="shared" si="5"/>
        <v>4.6260000000000003</v>
      </c>
      <c r="D92" s="18">
        <f t="shared" si="6"/>
        <v>0.28999999999999998</v>
      </c>
      <c r="E92" s="7">
        <v>80</v>
      </c>
      <c r="V92" s="18">
        <v>0.09</v>
      </c>
      <c r="W92" s="20">
        <f t="shared" si="7"/>
        <v>0.1606052112048712</v>
      </c>
      <c r="X92" s="20">
        <f t="shared" si="8"/>
        <v>7.8857903755484085E-3</v>
      </c>
      <c r="Y92" s="20">
        <f t="shared" si="9"/>
        <v>-0.18679396573393298</v>
      </c>
    </row>
    <row r="93" spans="1:25" x14ac:dyDescent="0.2">
      <c r="A93" s="7">
        <v>34803</v>
      </c>
      <c r="B93" s="7">
        <v>288</v>
      </c>
      <c r="C93" s="17">
        <f t="shared" si="5"/>
        <v>4.6580000000000004</v>
      </c>
      <c r="D93" s="18">
        <f t="shared" si="6"/>
        <v>0.28799999999999998</v>
      </c>
      <c r="E93" s="7">
        <v>80</v>
      </c>
      <c r="V93" s="18">
        <v>9.0999999999999998E-2</v>
      </c>
      <c r="W93" s="20">
        <f t="shared" si="7"/>
        <v>0.16061300408834592</v>
      </c>
      <c r="X93" s="20">
        <f t="shared" si="8"/>
        <v>7.7004656610684882E-3</v>
      </c>
      <c r="Y93" s="20">
        <f t="shared" si="9"/>
        <v>-0.18385944105087354</v>
      </c>
    </row>
    <row r="94" spans="1:25" x14ac:dyDescent="0.2">
      <c r="A94" s="7">
        <v>34872</v>
      </c>
      <c r="B94" s="7">
        <v>286</v>
      </c>
      <c r="C94" s="17">
        <f t="shared" si="5"/>
        <v>4.7270000000000003</v>
      </c>
      <c r="D94" s="18">
        <f t="shared" si="6"/>
        <v>0.28599999999999998</v>
      </c>
      <c r="E94" s="7">
        <v>80</v>
      </c>
      <c r="V94" s="18">
        <v>9.1999999999999998E-2</v>
      </c>
      <c r="W94" s="20">
        <f t="shared" si="7"/>
        <v>0.1606206131103948</v>
      </c>
      <c r="X94" s="20">
        <f t="shared" si="8"/>
        <v>7.5180635542453425E-3</v>
      </c>
      <c r="Y94" s="20">
        <f t="shared" si="9"/>
        <v>-0.18094873397714106</v>
      </c>
    </row>
    <row r="95" spans="1:25" x14ac:dyDescent="0.2">
      <c r="A95" s="7">
        <v>34904</v>
      </c>
      <c r="B95" s="7">
        <v>285</v>
      </c>
      <c r="C95" s="23">
        <f t="shared" si="5"/>
        <v>4.7590000000000003</v>
      </c>
      <c r="D95" s="21">
        <f t="shared" si="6"/>
        <v>0.28499999999999998</v>
      </c>
      <c r="E95" s="24">
        <v>80</v>
      </c>
      <c r="V95" s="18">
        <v>9.2999999999999999E-2</v>
      </c>
      <c r="W95" s="20">
        <f t="shared" si="7"/>
        <v>0.1606280411817331</v>
      </c>
      <c r="X95" s="20">
        <f t="shared" si="8"/>
        <v>7.3385602867724817E-3</v>
      </c>
      <c r="Y95" s="20">
        <f t="shared" si="9"/>
        <v>-0.17806174593394097</v>
      </c>
    </row>
    <row r="96" spans="1:25" x14ac:dyDescent="0.2">
      <c r="A96" s="7">
        <v>34973</v>
      </c>
      <c r="B96" s="7">
        <v>282</v>
      </c>
      <c r="C96" s="17">
        <f t="shared" si="5"/>
        <v>4.8280000000000003</v>
      </c>
      <c r="D96" s="18">
        <f t="shared" si="6"/>
        <v>0.28199999999999997</v>
      </c>
      <c r="E96" s="7">
        <v>90</v>
      </c>
      <c r="V96" s="18">
        <v>9.4E-2</v>
      </c>
      <c r="W96" s="20">
        <f t="shared" si="7"/>
        <v>0.1606352911893571</v>
      </c>
      <c r="X96" s="20">
        <f t="shared" si="8"/>
        <v>7.1619321888416812E-3</v>
      </c>
      <c r="Y96" s="20">
        <f t="shared" si="9"/>
        <v>-0.17519837850344699</v>
      </c>
    </row>
    <row r="97" spans="1:25" x14ac:dyDescent="0.2">
      <c r="A97" s="7">
        <v>35005</v>
      </c>
      <c r="B97" s="7">
        <v>281</v>
      </c>
      <c r="C97" s="17">
        <f t="shared" si="5"/>
        <v>4.8600000000000003</v>
      </c>
      <c r="D97" s="18">
        <f t="shared" si="6"/>
        <v>0.28100000000000003</v>
      </c>
      <c r="E97" s="7">
        <v>95</v>
      </c>
      <c r="V97" s="18">
        <v>9.5000000000000001E-2</v>
      </c>
      <c r="W97" s="20">
        <f t="shared" si="7"/>
        <v>0.16064236599664239</v>
      </c>
      <c r="X97" s="20">
        <f t="shared" si="8"/>
        <v>6.9881556889820895E-3</v>
      </c>
      <c r="Y97" s="20">
        <f t="shared" si="9"/>
        <v>-0.17235853342880125</v>
      </c>
    </row>
    <row r="98" spans="1:25" x14ac:dyDescent="0.2">
      <c r="A98" s="7">
        <v>35074</v>
      </c>
      <c r="B98" s="7">
        <v>279</v>
      </c>
      <c r="C98" s="23">
        <f t="shared" si="5"/>
        <v>4.9290000000000003</v>
      </c>
      <c r="D98" s="21">
        <f t="shared" si="6"/>
        <v>0.27900000000000003</v>
      </c>
      <c r="E98" s="24">
        <v>100</v>
      </c>
      <c r="V98" s="18">
        <v>9.6000000000000002E-2</v>
      </c>
      <c r="W98" s="20">
        <f t="shared" si="7"/>
        <v>0.16064926844344224</v>
      </c>
      <c r="X98" s="20">
        <f t="shared" si="8"/>
        <v>6.8172073138992109E-3</v>
      </c>
      <c r="Y98" s="20">
        <f t="shared" si="9"/>
        <v>-0.169542112614114</v>
      </c>
    </row>
    <row r="99" spans="1:25" x14ac:dyDescent="0.2">
      <c r="A99" s="7">
        <v>35105</v>
      </c>
      <c r="B99" s="7">
        <v>279</v>
      </c>
      <c r="C99" s="17">
        <f t="shared" si="5"/>
        <v>4.96</v>
      </c>
      <c r="D99" s="18">
        <f t="shared" si="6"/>
        <v>0.27900000000000003</v>
      </c>
      <c r="E99" s="7">
        <v>100</v>
      </c>
      <c r="V99" s="18">
        <v>9.7000000000000003E-2</v>
      </c>
      <c r="W99" s="20">
        <f t="shared" si="7"/>
        <v>0.1606560013461856</v>
      </c>
      <c r="X99" s="20">
        <f t="shared" si="8"/>
        <v>6.6490636883139789E-3</v>
      </c>
      <c r="Y99" s="20">
        <f t="shared" si="9"/>
        <v>-0.16674901812446397</v>
      </c>
    </row>
    <row r="100" spans="1:25" x14ac:dyDescent="0.2">
      <c r="A100" s="7">
        <v>35175</v>
      </c>
      <c r="B100" s="7">
        <v>278</v>
      </c>
      <c r="C100" s="17">
        <f t="shared" si="5"/>
        <v>5.03</v>
      </c>
      <c r="D100" s="18">
        <f t="shared" si="6"/>
        <v>0.27800000000000002</v>
      </c>
      <c r="E100" s="7">
        <v>100</v>
      </c>
      <c r="V100" s="18">
        <v>9.8000000000000004E-2</v>
      </c>
      <c r="W100" s="20">
        <f t="shared" si="7"/>
        <v>0.16066256749797514</v>
      </c>
      <c r="X100" s="20">
        <f t="shared" si="8"/>
        <v>6.4837015348017182E-3</v>
      </c>
      <c r="Y100" s="20">
        <f t="shared" si="9"/>
        <v>-0.16397915218589809</v>
      </c>
    </row>
    <row r="101" spans="1:25" x14ac:dyDescent="0.2">
      <c r="A101" s="7">
        <v>35207</v>
      </c>
      <c r="B101" s="7">
        <v>276</v>
      </c>
      <c r="C101" s="17">
        <f t="shared" si="5"/>
        <v>5.0620000000000003</v>
      </c>
      <c r="D101" s="18">
        <f t="shared" si="6"/>
        <v>0.27600000000000002</v>
      </c>
      <c r="E101" s="7">
        <v>100</v>
      </c>
      <c r="V101" s="18">
        <v>9.9000000000000005E-2</v>
      </c>
      <c r="W101" s="20">
        <f t="shared" si="7"/>
        <v>0.16066896966868491</v>
      </c>
      <c r="X101" s="20">
        <f t="shared" si="8"/>
        <v>6.3210976736312596E-3</v>
      </c>
      <c r="Y101" s="20">
        <f t="shared" si="9"/>
        <v>-0.16123241718543163</v>
      </c>
    </row>
    <row r="102" spans="1:25" x14ac:dyDescent="0.2">
      <c r="A102" s="7">
        <v>35267</v>
      </c>
      <c r="B102" s="7">
        <v>276</v>
      </c>
      <c r="C102" s="17">
        <f t="shared" si="5"/>
        <v>5.1219999999999999</v>
      </c>
      <c r="D102" s="18">
        <f t="shared" si="6"/>
        <v>0.27600000000000002</v>
      </c>
      <c r="E102" s="7">
        <v>100</v>
      </c>
      <c r="V102" s="18">
        <v>0.1</v>
      </c>
      <c r="W102" s="20">
        <f t="shared" si="7"/>
        <v>0.16067521060505802</v>
      </c>
      <c r="X102" s="20">
        <f t="shared" si="8"/>
        <v>6.1612290226039437E-3</v>
      </c>
      <c r="Y102" s="20">
        <f t="shared" si="9"/>
        <v>-0.15850871567104829</v>
      </c>
    </row>
    <row r="103" spans="1:25" x14ac:dyDescent="0.2">
      <c r="A103" s="7">
        <v>35336</v>
      </c>
      <c r="B103" s="7">
        <v>279</v>
      </c>
      <c r="C103" s="23">
        <f t="shared" si="5"/>
        <v>5.1909999999999998</v>
      </c>
      <c r="D103" s="21">
        <f t="shared" si="6"/>
        <v>0.27900000000000003</v>
      </c>
      <c r="E103" s="24">
        <v>100</v>
      </c>
      <c r="V103" s="18">
        <v>0.10100000000000001</v>
      </c>
      <c r="W103" s="20">
        <f t="shared" si="7"/>
        <v>0.16068129303080414</v>
      </c>
      <c r="X103" s="20">
        <f t="shared" si="8"/>
        <v>6.0040725968926109E-3</v>
      </c>
      <c r="Y103" s="20">
        <f t="shared" si="9"/>
        <v>-0.15580795035169975</v>
      </c>
    </row>
    <row r="104" spans="1:25" x14ac:dyDescent="0.2">
      <c r="A104" s="7">
        <v>35368</v>
      </c>
      <c r="B104" s="7">
        <v>282</v>
      </c>
      <c r="C104" s="17">
        <f t="shared" si="5"/>
        <v>5.2229999999999999</v>
      </c>
      <c r="D104" s="18">
        <f t="shared" si="6"/>
        <v>0.28199999999999997</v>
      </c>
      <c r="E104" s="7">
        <v>90</v>
      </c>
      <c r="V104" s="18">
        <v>0.10199999999999999</v>
      </c>
      <c r="W104" s="20">
        <f t="shared" si="7"/>
        <v>0.16068721964669663</v>
      </c>
      <c r="X104" s="20">
        <f t="shared" si="8"/>
        <v>5.8496055088806884E-3</v>
      </c>
      <c r="Y104" s="20">
        <f t="shared" si="9"/>
        <v>-0.15313002409730625</v>
      </c>
    </row>
    <row r="105" spans="1:25" x14ac:dyDescent="0.2">
      <c r="A105" s="7">
        <v>35437</v>
      </c>
      <c r="B105" s="7">
        <v>287</v>
      </c>
      <c r="C105" s="17">
        <f t="shared" si="5"/>
        <v>5.2919999999999998</v>
      </c>
      <c r="D105" s="18">
        <f t="shared" si="6"/>
        <v>0.28699999999999998</v>
      </c>
      <c r="E105" s="7">
        <v>80</v>
      </c>
      <c r="V105" s="18">
        <v>0.10299999999999999</v>
      </c>
      <c r="W105" s="20">
        <f t="shared" si="7"/>
        <v>0.16069299313066987</v>
      </c>
      <c r="X105" s="20">
        <f t="shared" si="8"/>
        <v>5.69780496800118E-3</v>
      </c>
      <c r="Y105" s="20">
        <f t="shared" si="9"/>
        <v>-0.15047483993875632</v>
      </c>
    </row>
    <row r="106" spans="1:25" x14ac:dyDescent="0.2">
      <c r="A106" s="7">
        <v>35469</v>
      </c>
      <c r="B106" s="7">
        <v>286</v>
      </c>
      <c r="C106" s="17">
        <f t="shared" si="5"/>
        <v>5.3239999999999998</v>
      </c>
      <c r="D106" s="18">
        <f t="shared" si="6"/>
        <v>0.28599999999999998</v>
      </c>
      <c r="E106" s="7">
        <v>80</v>
      </c>
      <c r="V106" s="18">
        <v>0.104</v>
      </c>
      <c r="W106" s="20">
        <f t="shared" si="7"/>
        <v>0.16069861613791606</v>
      </c>
      <c r="X106" s="20">
        <f t="shared" si="8"/>
        <v>5.5486482805757256E-3</v>
      </c>
      <c r="Y106" s="20">
        <f t="shared" si="9"/>
        <v>-0.14784230106790697</v>
      </c>
    </row>
    <row r="107" spans="1:25" x14ac:dyDescent="0.2">
      <c r="A107" s="7">
        <v>35538</v>
      </c>
      <c r="B107" s="7">
        <v>292</v>
      </c>
      <c r="C107" s="17">
        <f t="shared" si="5"/>
        <v>5.3929999999999998</v>
      </c>
      <c r="D107" s="18">
        <f t="shared" si="6"/>
        <v>0.29199999999999998</v>
      </c>
      <c r="E107" s="7">
        <v>80</v>
      </c>
      <c r="V107" s="18">
        <v>0.105</v>
      </c>
      <c r="W107" s="20">
        <f t="shared" si="7"/>
        <v>0.16070409130098212</v>
      </c>
      <c r="X107" s="20">
        <f t="shared" si="8"/>
        <v>5.4021128496536397E-3</v>
      </c>
      <c r="Y107" s="20">
        <f t="shared" si="9"/>
        <v>-0.14523231083758292</v>
      </c>
    </row>
    <row r="108" spans="1:25" x14ac:dyDescent="0.2">
      <c r="A108" s="7">
        <v>35569</v>
      </c>
      <c r="B108" s="7">
        <v>297</v>
      </c>
      <c r="C108" s="17">
        <f t="shared" si="5"/>
        <v>5.4240000000000004</v>
      </c>
      <c r="D108" s="18">
        <f t="shared" si="6"/>
        <v>0.29699999999999999</v>
      </c>
      <c r="E108" s="7">
        <v>80</v>
      </c>
      <c r="V108" s="18">
        <v>0.106</v>
      </c>
      <c r="W108" s="20">
        <f t="shared" si="7"/>
        <v>0.16070942122986631</v>
      </c>
      <c r="X108" s="20">
        <f t="shared" si="8"/>
        <v>5.2581761748509079E-3</v>
      </c>
      <c r="Y108" s="20">
        <f t="shared" si="9"/>
        <v>-0.14264477276157794</v>
      </c>
    </row>
    <row r="109" spans="1:25" x14ac:dyDescent="0.2">
      <c r="A109" s="7">
        <v>35639</v>
      </c>
      <c r="B109" s="7">
        <v>303</v>
      </c>
      <c r="C109" s="17">
        <f t="shared" si="5"/>
        <v>5.4939999999999998</v>
      </c>
      <c r="D109" s="18">
        <f t="shared" si="6"/>
        <v>0.30299999999999999</v>
      </c>
      <c r="E109" s="7">
        <v>80</v>
      </c>
      <c r="V109" s="18">
        <v>0.107</v>
      </c>
      <c r="W109" s="20">
        <f t="shared" si="7"/>
        <v>0.16071460851211478</v>
      </c>
      <c r="X109" s="20">
        <f t="shared" si="8"/>
        <v>5.1168158521892465E-3</v>
      </c>
      <c r="Y109" s="20">
        <f t="shared" si="9"/>
        <v>-0.14007959051465352</v>
      </c>
    </row>
    <row r="110" spans="1:25" x14ac:dyDescent="0.2">
      <c r="A110" s="7">
        <v>35671</v>
      </c>
      <c r="B110" s="7">
        <v>305</v>
      </c>
      <c r="C110" s="17">
        <f t="shared" si="5"/>
        <v>5.5259999999999998</v>
      </c>
      <c r="D110" s="18">
        <f t="shared" si="6"/>
        <v>0.30499999999999999</v>
      </c>
      <c r="E110" s="7">
        <v>80</v>
      </c>
      <c r="V110" s="18">
        <v>0.108</v>
      </c>
      <c r="W110" s="20">
        <f t="shared" si="7"/>
        <v>0.16071965571291777</v>
      </c>
      <c r="X110" s="20">
        <f t="shared" si="8"/>
        <v>4.9780095739351202E-3</v>
      </c>
      <c r="Y110" s="20">
        <f t="shared" si="9"/>
        <v>-0.13753666793253982</v>
      </c>
    </row>
    <row r="111" spans="1:25" x14ac:dyDescent="0.2">
      <c r="A111" s="7">
        <v>35740</v>
      </c>
      <c r="B111" s="7">
        <v>309</v>
      </c>
      <c r="C111" s="17">
        <f t="shared" si="5"/>
        <v>5.5949999999999998</v>
      </c>
      <c r="D111" s="18">
        <f t="shared" si="6"/>
        <v>0.309</v>
      </c>
      <c r="E111" s="7">
        <v>80</v>
      </c>
      <c r="V111" s="18">
        <v>0.109</v>
      </c>
      <c r="W111" s="20">
        <f t="shared" si="7"/>
        <v>0.16072456537520585</v>
      </c>
      <c r="X111" s="20">
        <f t="shared" si="8"/>
        <v>4.8417351284387802E-3</v>
      </c>
      <c r="Y111" s="20">
        <f t="shared" si="9"/>
        <v>-0.13501590901193511</v>
      </c>
    </row>
    <row r="112" spans="1:25" x14ac:dyDescent="0.2">
      <c r="A112" s="7">
        <v>35772</v>
      </c>
      <c r="B112" s="7">
        <v>312</v>
      </c>
      <c r="C112" s="17">
        <f t="shared" si="5"/>
        <v>5.6269999999999998</v>
      </c>
      <c r="D112" s="18">
        <f t="shared" si="6"/>
        <v>0.312</v>
      </c>
      <c r="E112" s="7">
        <v>80</v>
      </c>
      <c r="V112" s="18">
        <v>0.11</v>
      </c>
      <c r="W112" s="20">
        <f t="shared" si="7"/>
        <v>0.16072934001974593</v>
      </c>
      <c r="X112" s="20">
        <f t="shared" si="8"/>
        <v>4.7079703999733102E-3</v>
      </c>
      <c r="Y112" s="20">
        <f t="shared" si="9"/>
        <v>-0.13251721791050619</v>
      </c>
    </row>
    <row r="113" spans="1:25" x14ac:dyDescent="0.2">
      <c r="A113" s="7">
        <v>35841</v>
      </c>
      <c r="B113" s="7">
        <v>315</v>
      </c>
      <c r="C113" s="17">
        <f t="shared" si="5"/>
        <v>5.6959999999999997</v>
      </c>
      <c r="D113" s="18">
        <f t="shared" si="6"/>
        <v>0.315</v>
      </c>
      <c r="E113" s="7">
        <v>80</v>
      </c>
      <c r="V113" s="18">
        <v>0.111</v>
      </c>
      <c r="W113" s="20">
        <f t="shared" si="7"/>
        <v>0.1607339821452371</v>
      </c>
      <c r="X113" s="20">
        <f t="shared" si="8"/>
        <v>4.5766933685736297E-3</v>
      </c>
      <c r="Y113" s="20">
        <f t="shared" si="9"/>
        <v>-0.13004049894688785</v>
      </c>
    </row>
    <row r="114" spans="1:25" x14ac:dyDescent="0.2">
      <c r="A114" s="7">
        <v>35873</v>
      </c>
      <c r="B114" s="7">
        <v>316</v>
      </c>
      <c r="C114" s="17">
        <f t="shared" si="5"/>
        <v>5.7279999999999998</v>
      </c>
      <c r="D114" s="18">
        <f t="shared" si="6"/>
        <v>0.316</v>
      </c>
      <c r="E114" s="7">
        <v>80</v>
      </c>
      <c r="V114" s="18">
        <v>0.112</v>
      </c>
      <c r="W114" s="20">
        <f t="shared" si="7"/>
        <v>0.16073849422840625</v>
      </c>
      <c r="X114" s="20">
        <f t="shared" si="8"/>
        <v>4.4478821098755186E-3</v>
      </c>
      <c r="Y114" s="20">
        <f t="shared" si="9"/>
        <v>-0.12758565660068349</v>
      </c>
    </row>
    <row r="115" spans="1:25" x14ac:dyDescent="0.2">
      <c r="A115" s="7">
        <v>35933</v>
      </c>
      <c r="B115" s="7">
        <v>317</v>
      </c>
      <c r="C115" s="17">
        <f t="shared" si="5"/>
        <v>5.7880000000000003</v>
      </c>
      <c r="D115" s="18">
        <f t="shared" si="6"/>
        <v>0.317</v>
      </c>
      <c r="E115" s="7">
        <v>80</v>
      </c>
      <c r="G115" s="1" t="s">
        <v>34</v>
      </c>
      <c r="H115" s="18">
        <f>C116-C102</f>
        <v>0.73500000000000032</v>
      </c>
      <c r="V115" s="18">
        <v>0.113</v>
      </c>
      <c r="W115" s="20">
        <f t="shared" si="7"/>
        <v>0.1607428787241037</v>
      </c>
      <c r="X115" s="20">
        <f t="shared" si="8"/>
        <v>4.3215147949547256E-3</v>
      </c>
      <c r="Y115" s="20">
        <f t="shared" si="9"/>
        <v>-0.1251525955124646</v>
      </c>
    </row>
    <row r="116" spans="1:25" x14ac:dyDescent="0.2">
      <c r="A116" s="7">
        <v>36002</v>
      </c>
      <c r="B116" s="7">
        <v>317</v>
      </c>
      <c r="C116" s="17">
        <f t="shared" si="5"/>
        <v>5.8570000000000002</v>
      </c>
      <c r="D116" s="18">
        <f t="shared" si="6"/>
        <v>0.317</v>
      </c>
      <c r="E116" s="7">
        <v>80</v>
      </c>
      <c r="V116" s="18">
        <v>0.114</v>
      </c>
      <c r="W116" s="20">
        <f t="shared" si="7"/>
        <v>0.16074713806539848</v>
      </c>
      <c r="X116" s="20">
        <f t="shared" si="8"/>
        <v>4.1975696901658741E-3</v>
      </c>
      <c r="Y116" s="20">
        <f t="shared" si="9"/>
        <v>-0.12274122048377106</v>
      </c>
    </row>
    <row r="117" spans="1:25" x14ac:dyDescent="0.2">
      <c r="A117" s="7">
        <v>36033</v>
      </c>
      <c r="B117" s="7">
        <v>315</v>
      </c>
      <c r="C117" s="17">
        <f t="shared" si="5"/>
        <v>5.8879999999999999</v>
      </c>
      <c r="D117" s="18">
        <f t="shared" si="6"/>
        <v>0.315</v>
      </c>
      <c r="E117" s="7">
        <v>80</v>
      </c>
      <c r="V117" s="18">
        <v>0.115</v>
      </c>
      <c r="W117" s="20">
        <f t="shared" si="7"/>
        <v>0.1607512746636735</v>
      </c>
      <c r="X117" s="20">
        <f t="shared" si="8"/>
        <v>4.0760251569816261E-3</v>
      </c>
      <c r="Y117" s="20">
        <f t="shared" si="9"/>
        <v>-0.12035143647711111</v>
      </c>
    </row>
    <row r="118" spans="1:25" x14ac:dyDescent="0.2">
      <c r="A118" s="7">
        <v>36103</v>
      </c>
      <c r="B118" s="7">
        <v>313</v>
      </c>
      <c r="C118" s="17">
        <f t="shared" si="5"/>
        <v>5.9580000000000002</v>
      </c>
      <c r="D118" s="18">
        <f t="shared" si="6"/>
        <v>0.313</v>
      </c>
      <c r="E118" s="7">
        <v>80</v>
      </c>
      <c r="V118" s="18">
        <v>0.11600000000000001</v>
      </c>
      <c r="W118" s="20">
        <f t="shared" si="7"/>
        <v>0.16075529090872073</v>
      </c>
      <c r="X118" s="20">
        <f t="shared" si="8"/>
        <v>3.9568596518315957E-3</v>
      </c>
      <c r="Y118" s="20">
        <f t="shared" si="9"/>
        <v>-0.11798314861596138</v>
      </c>
    </row>
    <row r="119" spans="1:25" x14ac:dyDescent="0.2">
      <c r="A119" s="7">
        <v>36135</v>
      </c>
      <c r="B119" s="7">
        <v>313</v>
      </c>
      <c r="C119" s="17">
        <f t="shared" si="5"/>
        <v>5.99</v>
      </c>
      <c r="D119" s="18">
        <f t="shared" si="6"/>
        <v>0.313</v>
      </c>
      <c r="E119" s="7">
        <v>80</v>
      </c>
      <c r="V119" s="18">
        <v>0.11700000000000001</v>
      </c>
      <c r="W119" s="20">
        <f t="shared" si="7"/>
        <v>0.16075918916883589</v>
      </c>
      <c r="X119" s="20">
        <f t="shared" si="8"/>
        <v>3.8400517259414915E-3</v>
      </c>
      <c r="Y119" s="20">
        <f t="shared" si="9"/>
        <v>-0.1156362621847663</v>
      </c>
    </row>
    <row r="120" spans="1:25" x14ac:dyDescent="0.2">
      <c r="A120" s="7">
        <v>36204</v>
      </c>
      <c r="B120" s="7">
        <v>310</v>
      </c>
      <c r="C120" s="17">
        <f t="shared" si="5"/>
        <v>6.0590000000000002</v>
      </c>
      <c r="D120" s="18">
        <f t="shared" si="6"/>
        <v>0.31</v>
      </c>
      <c r="E120" s="7">
        <v>80</v>
      </c>
      <c r="V120" s="18">
        <v>0.11799999999999999</v>
      </c>
      <c r="W120" s="20">
        <f t="shared" si="7"/>
        <v>0.16076297179091328</v>
      </c>
      <c r="X120" s="20">
        <f t="shared" si="8"/>
        <v>3.7255800251720719E-3</v>
      </c>
      <c r="Y120" s="20">
        <f t="shared" si="9"/>
        <v>-0.11331068262893929</v>
      </c>
    </row>
    <row r="121" spans="1:25" x14ac:dyDescent="0.2">
      <c r="A121" s="7">
        <v>36236</v>
      </c>
      <c r="B121" s="7">
        <v>307</v>
      </c>
      <c r="C121" s="17">
        <f t="shared" si="5"/>
        <v>6.0910000000000002</v>
      </c>
      <c r="D121" s="18">
        <f t="shared" si="6"/>
        <v>0.307</v>
      </c>
      <c r="E121" s="7">
        <v>80</v>
      </c>
      <c r="V121" s="18">
        <v>0.11899999999999999</v>
      </c>
      <c r="W121" s="20">
        <f t="shared" si="7"/>
        <v>0.16076664110054031</v>
      </c>
      <c r="X121" s="20">
        <f t="shared" si="8"/>
        <v>3.6134232898581628E-3</v>
      </c>
      <c r="Y121" s="20">
        <f t="shared" si="9"/>
        <v>-0.11100631555486157</v>
      </c>
    </row>
    <row r="122" spans="1:25" x14ac:dyDescent="0.2">
      <c r="A122" s="7">
        <v>36305</v>
      </c>
      <c r="B122" s="7">
        <v>304</v>
      </c>
      <c r="C122" s="17">
        <f t="shared" si="5"/>
        <v>6.16</v>
      </c>
      <c r="D122" s="18">
        <f t="shared" si="6"/>
        <v>0.30399999999999999</v>
      </c>
      <c r="E122" s="7">
        <v>80</v>
      </c>
      <c r="V122" s="18">
        <v>0.12</v>
      </c>
      <c r="W122" s="20">
        <f t="shared" si="7"/>
        <v>0.16077019940209197</v>
      </c>
      <c r="X122" s="20">
        <f t="shared" si="8"/>
        <v>3.5035603546477723E-3</v>
      </c>
      <c r="Y122" s="20">
        <f t="shared" si="9"/>
        <v>-0.10872306672988319</v>
      </c>
    </row>
    <row r="123" spans="1:25" x14ac:dyDescent="0.2">
      <c r="A123" s="7">
        <v>36337</v>
      </c>
      <c r="B123" s="7">
        <v>304</v>
      </c>
      <c r="C123" s="17">
        <f t="shared" si="5"/>
        <v>6.1920000000000002</v>
      </c>
      <c r="D123" s="18">
        <f t="shared" si="6"/>
        <v>0.30399999999999999</v>
      </c>
      <c r="E123" s="7">
        <v>80</v>
      </c>
      <c r="V123" s="18">
        <v>0.121</v>
      </c>
      <c r="W123" s="20">
        <f t="shared" si="7"/>
        <v>0.16077364897882487</v>
      </c>
      <c r="X123" s="20">
        <f t="shared" si="8"/>
        <v>3.395970148341039E-3</v>
      </c>
      <c r="Y123" s="20">
        <f t="shared" si="9"/>
        <v>-0.10646084208232176</v>
      </c>
    </row>
    <row r="124" spans="1:25" x14ac:dyDescent="0.2">
      <c r="A124" s="7">
        <v>36406</v>
      </c>
      <c r="B124" s="7">
        <v>300</v>
      </c>
      <c r="C124" s="17">
        <f t="shared" si="5"/>
        <v>6.2610000000000001</v>
      </c>
      <c r="D124" s="18">
        <f t="shared" si="6"/>
        <v>0.3</v>
      </c>
      <c r="E124" s="7">
        <v>80</v>
      </c>
      <c r="V124" s="18">
        <v>0.122</v>
      </c>
      <c r="W124" s="20">
        <f t="shared" si="7"/>
        <v>0.16077699209297153</v>
      </c>
      <c r="X124" s="20">
        <f t="shared" si="8"/>
        <v>3.2906316937293401E-3</v>
      </c>
      <c r="Y124" s="20">
        <f t="shared" si="9"/>
        <v>-0.10421954770146391</v>
      </c>
    </row>
    <row r="125" spans="1:25" x14ac:dyDescent="0.2">
      <c r="A125" s="7">
        <v>36438</v>
      </c>
      <c r="B125" s="7">
        <v>298</v>
      </c>
      <c r="C125" s="17">
        <f t="shared" si="5"/>
        <v>6.2930000000000001</v>
      </c>
      <c r="D125" s="18">
        <f t="shared" si="6"/>
        <v>0.29799999999999999</v>
      </c>
      <c r="E125" s="7">
        <v>80</v>
      </c>
      <c r="V125" s="18">
        <v>0.123</v>
      </c>
      <c r="W125" s="20">
        <f t="shared" si="7"/>
        <v>0.16078023098583408</v>
      </c>
      <c r="X125" s="20">
        <f t="shared" si="8"/>
        <v>3.1875241074342531E-3</v>
      </c>
      <c r="Y125" s="20">
        <f t="shared" si="9"/>
        <v>-0.10199908983756417</v>
      </c>
    </row>
    <row r="126" spans="1:25" x14ac:dyDescent="0.2">
      <c r="A126" s="7">
        <v>36507</v>
      </c>
      <c r="B126" s="7">
        <v>295</v>
      </c>
      <c r="C126" s="17">
        <f t="shared" si="5"/>
        <v>6.3620000000000001</v>
      </c>
      <c r="D126" s="18">
        <f t="shared" si="6"/>
        <v>0.29499999999999998</v>
      </c>
      <c r="E126" s="7">
        <v>80</v>
      </c>
      <c r="V126" s="18">
        <v>0.124</v>
      </c>
      <c r="W126" s="20">
        <f t="shared" si="7"/>
        <v>0.16078336787787822</v>
      </c>
      <c r="X126" s="20">
        <f t="shared" si="8"/>
        <v>3.0866265997466016E-3</v>
      </c>
      <c r="Y126" s="20">
        <f t="shared" si="9"/>
        <v>-9.9799374901845539E-2</v>
      </c>
    </row>
    <row r="127" spans="1:25" x14ac:dyDescent="0.2">
      <c r="A127" s="7">
        <v>36539</v>
      </c>
      <c r="B127" s="7">
        <v>293</v>
      </c>
      <c r="C127" s="17">
        <f t="shared" si="5"/>
        <v>6.3940000000000001</v>
      </c>
      <c r="D127" s="18">
        <f t="shared" si="6"/>
        <v>0.29299999999999998</v>
      </c>
      <c r="E127" s="7">
        <v>80</v>
      </c>
      <c r="V127" s="18">
        <v>0.125</v>
      </c>
      <c r="W127" s="20">
        <f t="shared" si="7"/>
        <v>0.16078640496882665</v>
      </c>
      <c r="X127" s="20">
        <f t="shared" si="8"/>
        <v>2.9879184744655563E-3</v>
      </c>
      <c r="Y127" s="20">
        <f t="shared" si="9"/>
        <v>-9.7620309466499244E-2</v>
      </c>
    </row>
    <row r="128" spans="1:25" x14ac:dyDescent="0.2">
      <c r="A128" s="7">
        <v>36608</v>
      </c>
      <c r="B128" s="7">
        <v>289</v>
      </c>
      <c r="C128" s="17">
        <f t="shared" si="5"/>
        <v>6.4630000000000001</v>
      </c>
      <c r="D128" s="18">
        <f t="shared" si="6"/>
        <v>0.28899999999999998</v>
      </c>
      <c r="E128" s="7">
        <v>80</v>
      </c>
      <c r="V128" s="18">
        <v>0.126</v>
      </c>
      <c r="W128" s="20">
        <f t="shared" si="7"/>
        <v>0.16078934443775261</v>
      </c>
      <c r="X128" s="20">
        <f t="shared" si="8"/>
        <v>2.8913791287375618E-3</v>
      </c>
      <c r="Y128" s="20">
        <f t="shared" si="9"/>
        <v>-9.5461800264684871E-2</v>
      </c>
    </row>
    <row r="129" spans="1:25" x14ac:dyDescent="0.2">
      <c r="A129" s="7">
        <v>36640</v>
      </c>
      <c r="B129" s="7">
        <v>288</v>
      </c>
      <c r="C129" s="17">
        <f t="shared" si="5"/>
        <v>6.4950000000000001</v>
      </c>
      <c r="D129" s="18">
        <f t="shared" si="6"/>
        <v>0.28799999999999998</v>
      </c>
      <c r="E129" s="7">
        <v>80</v>
      </c>
      <c r="V129" s="18">
        <v>0.127</v>
      </c>
      <c r="W129" s="20">
        <f t="shared" si="7"/>
        <v>0.16079218844317306</v>
      </c>
      <c r="X129" s="20">
        <f t="shared" si="8"/>
        <v>2.7969880528954313E-3</v>
      </c>
      <c r="Y129" s="20">
        <f t="shared" si="9"/>
        <v>-9.332375419053035E-2</v>
      </c>
    </row>
    <row r="130" spans="1:25" x14ac:dyDescent="0.2">
      <c r="A130" s="7">
        <v>36709</v>
      </c>
      <c r="B130" s="7">
        <v>284</v>
      </c>
      <c r="C130" s="17">
        <f t="shared" si="5"/>
        <v>6.5640000000000001</v>
      </c>
      <c r="D130" s="18">
        <f t="shared" si="6"/>
        <v>0.28399999999999997</v>
      </c>
      <c r="E130" s="7">
        <v>80</v>
      </c>
      <c r="V130" s="18">
        <v>0.128</v>
      </c>
      <c r="W130" s="20">
        <f t="shared" si="7"/>
        <v>0.1607949391231418</v>
      </c>
      <c r="X130" s="20">
        <f t="shared" si="8"/>
        <v>2.7047248302973642E-3</v>
      </c>
      <c r="Y130" s="20">
        <f t="shared" si="9"/>
        <v>-9.1206078299131743E-2</v>
      </c>
    </row>
    <row r="131" spans="1:25" x14ac:dyDescent="0.2">
      <c r="A131" s="7">
        <v>36741</v>
      </c>
      <c r="B131" s="7">
        <v>281</v>
      </c>
      <c r="C131" s="17">
        <f t="shared" ref="C131:C194" si="10">($A131-$A$2)/1000</f>
        <v>6.5960000000000001</v>
      </c>
      <c r="D131" s="18">
        <f t="shared" ref="D131:D194" si="11">$B131/1000</f>
        <v>0.28100000000000003</v>
      </c>
      <c r="E131" s="7">
        <v>95</v>
      </c>
      <c r="V131" s="18">
        <v>0.129</v>
      </c>
      <c r="W131" s="20">
        <f t="shared" ref="W131:W194" si="12" xml:space="preserve"> -0.223567093536985*V131^6 + 0.944228289125022*V131^5 - 1.39425331473467*V131^4 + 0.919786041369661*V131^3 - 0.280641903613287*V131^2 + 0.0398143416441599*V131 + 0.158710616051081</f>
        <v>0.16079759859534246</v>
      </c>
      <c r="X131" s="20">
        <f t="shared" ref="X131:X194" si="13" xml:space="preserve"> 6*-0.223567093536985*V131^5 + 5*0.944228289125022*V131^4 - 4*1.39425331473467*V131^3 + 3*0.919786041369661*V131^2 - 2*0.280641903613287*V131^1 + 0.0398143416441599</f>
        <v>2.6145691371660187E-3</v>
      </c>
      <c r="Y131" s="20">
        <f t="shared" ref="Y131:Y194" si="14" xml:space="preserve"> 5*6*-0.223567093536985*V131^4 + 4*5*0.944228289125022*V131^3 - 3*4*1.39425331473467*V131^2 + 2*3*0.919786041369661*V131^1 - 2*0.280641903613287</f>
        <v>-8.9108679806553626E-2</v>
      </c>
    </row>
    <row r="132" spans="1:25" x14ac:dyDescent="0.2">
      <c r="A132" s="7">
        <v>36801</v>
      </c>
      <c r="B132" s="7">
        <v>277</v>
      </c>
      <c r="C132" s="17">
        <f t="shared" si="10"/>
        <v>6.6559999999999997</v>
      </c>
      <c r="D132" s="18">
        <f t="shared" si="11"/>
        <v>0.27700000000000002</v>
      </c>
      <c r="E132" s="7">
        <v>100</v>
      </c>
      <c r="V132" s="18">
        <v>0.13</v>
      </c>
      <c r="W132" s="20">
        <f t="shared" si="12"/>
        <v>0.16080016895718124</v>
      </c>
      <c r="X132" s="20">
        <f t="shared" si="13"/>
        <v>2.5265007424274261E-3</v>
      </c>
      <c r="Y132" s="20">
        <f t="shared" si="14"/>
        <v>-8.7031466089828868E-2</v>
      </c>
    </row>
    <row r="133" spans="1:25" x14ac:dyDescent="0.2">
      <c r="A133" s="7">
        <v>36870</v>
      </c>
      <c r="B133" s="7">
        <v>273</v>
      </c>
      <c r="C133" s="17">
        <f t="shared" si="10"/>
        <v>6.7249999999999996</v>
      </c>
      <c r="D133" s="18">
        <f t="shared" si="11"/>
        <v>0.27300000000000002</v>
      </c>
      <c r="E133" s="7">
        <v>100</v>
      </c>
      <c r="V133" s="18">
        <v>0.13100000000000001</v>
      </c>
      <c r="W133" s="20">
        <f t="shared" si="12"/>
        <v>0.16080265228587956</v>
      </c>
      <c r="X133" s="20">
        <f t="shared" si="13"/>
        <v>2.4404995075501812E-3</v>
      </c>
      <c r="Y133" s="20">
        <f t="shared" si="14"/>
        <v>-8.4974344686958581E-2</v>
      </c>
    </row>
    <row r="134" spans="1:25" x14ac:dyDescent="0.2">
      <c r="A134" s="7">
        <v>36901</v>
      </c>
      <c r="B134" s="7">
        <v>274</v>
      </c>
      <c r="C134" s="17">
        <f t="shared" si="10"/>
        <v>6.7560000000000002</v>
      </c>
      <c r="D134" s="18">
        <f t="shared" si="11"/>
        <v>0.27400000000000002</v>
      </c>
      <c r="E134" s="7">
        <v>100</v>
      </c>
      <c r="V134" s="18">
        <v>0.13200000000000001</v>
      </c>
      <c r="W134" s="20">
        <f t="shared" si="12"/>
        <v>0.16080505063856654</v>
      </c>
      <c r="X134" s="20">
        <f t="shared" si="13"/>
        <v>2.3565453863843566E-3</v>
      </c>
      <c r="Y134" s="20">
        <f t="shared" si="14"/>
        <v>-8.2937223296911944E-2</v>
      </c>
    </row>
    <row r="135" spans="1:25" x14ac:dyDescent="0.2">
      <c r="A135" s="7">
        <v>36971</v>
      </c>
      <c r="B135" s="7">
        <v>271</v>
      </c>
      <c r="C135" s="17">
        <f t="shared" si="10"/>
        <v>6.8259999999999996</v>
      </c>
      <c r="D135" s="18">
        <f t="shared" si="11"/>
        <v>0.27100000000000002</v>
      </c>
      <c r="E135" s="7">
        <v>100</v>
      </c>
      <c r="V135" s="18">
        <v>0.13300000000000001</v>
      </c>
      <c r="W135" s="20">
        <f t="shared" si="12"/>
        <v>0.16080736605237125</v>
      </c>
      <c r="X135" s="20">
        <f t="shared" si="13"/>
        <v>2.2746184250005616E-3</v>
      </c>
      <c r="Y135" s="20">
        <f t="shared" si="14"/>
        <v>-8.0920009779626823E-2</v>
      </c>
    </row>
    <row r="136" spans="1:25" x14ac:dyDescent="0.2">
      <c r="A136" s="7">
        <v>37003</v>
      </c>
      <c r="B136" s="7">
        <v>268</v>
      </c>
      <c r="C136" s="17">
        <f t="shared" si="10"/>
        <v>6.8579999999999997</v>
      </c>
      <c r="D136" s="18">
        <f t="shared" si="11"/>
        <v>0.26800000000000002</v>
      </c>
      <c r="E136" s="7">
        <v>100</v>
      </c>
      <c r="V136" s="18">
        <v>0.13400000000000001</v>
      </c>
      <c r="W136" s="20">
        <f t="shared" si="12"/>
        <v>0.16080960054451482</v>
      </c>
      <c r="X136" s="20">
        <f t="shared" si="13"/>
        <v>2.1946987615290084E-3</v>
      </c>
      <c r="Y136" s="20">
        <f t="shared" si="14"/>
        <v>-7.8922612156009264E-2</v>
      </c>
    </row>
    <row r="137" spans="1:25" x14ac:dyDescent="0.2">
      <c r="A137" s="7">
        <v>37072</v>
      </c>
      <c r="B137" s="7">
        <v>268</v>
      </c>
      <c r="C137" s="17">
        <f t="shared" si="10"/>
        <v>6.9269999999999996</v>
      </c>
      <c r="D137" s="18">
        <f t="shared" si="11"/>
        <v>0.26800000000000002</v>
      </c>
      <c r="E137" s="7">
        <v>100</v>
      </c>
      <c r="V137" s="18">
        <v>0.13500000000000001</v>
      </c>
      <c r="W137" s="20">
        <f t="shared" si="12"/>
        <v>0.16081175611240259</v>
      </c>
      <c r="X137" s="20">
        <f t="shared" si="13"/>
        <v>2.1167666259984882E-3</v>
      </c>
      <c r="Y137" s="20">
        <f t="shared" si="14"/>
        <v>-7.6944938607933611E-2</v>
      </c>
    </row>
    <row r="138" spans="1:25" x14ac:dyDescent="0.2">
      <c r="A138" s="7">
        <v>37103</v>
      </c>
      <c r="B138" s="7">
        <v>270</v>
      </c>
      <c r="C138" s="17">
        <f t="shared" si="10"/>
        <v>6.9580000000000002</v>
      </c>
      <c r="D138" s="18">
        <f t="shared" si="11"/>
        <v>0.27</v>
      </c>
      <c r="E138" s="7">
        <v>100</v>
      </c>
      <c r="V138" s="18">
        <v>0.13600000000000001</v>
      </c>
      <c r="W138" s="20">
        <f t="shared" si="12"/>
        <v>0.16081383473371572</v>
      </c>
      <c r="X138" s="20">
        <f t="shared" si="13"/>
        <v>2.0408023401754655E-3</v>
      </c>
      <c r="Y138" s="20">
        <f t="shared" si="14"/>
        <v>-7.4986897478242498E-2</v>
      </c>
    </row>
    <row r="139" spans="1:25" x14ac:dyDescent="0.2">
      <c r="A139" s="7">
        <v>37173</v>
      </c>
      <c r="B139" s="7">
        <v>271</v>
      </c>
      <c r="C139" s="17">
        <f t="shared" si="10"/>
        <v>7.0279999999999996</v>
      </c>
      <c r="D139" s="18">
        <f t="shared" si="11"/>
        <v>0.27100000000000002</v>
      </c>
      <c r="E139" s="7">
        <v>100</v>
      </c>
      <c r="V139" s="18">
        <v>0.13700000000000001</v>
      </c>
      <c r="W139" s="20">
        <f t="shared" si="12"/>
        <v>0.16081583836650296</v>
      </c>
      <c r="X139" s="20">
        <f t="shared" si="13"/>
        <v>1.9667863174030673E-3</v>
      </c>
      <c r="Y139" s="20">
        <f t="shared" si="14"/>
        <v>-7.3048397270746857E-2</v>
      </c>
    </row>
    <row r="140" spans="1:25" x14ac:dyDescent="0.2">
      <c r="A140" s="7">
        <v>37205</v>
      </c>
      <c r="B140" s="7">
        <v>271</v>
      </c>
      <c r="C140" s="17">
        <f t="shared" si="10"/>
        <v>7.06</v>
      </c>
      <c r="D140" s="18">
        <f t="shared" si="11"/>
        <v>0.27100000000000002</v>
      </c>
      <c r="E140" s="7">
        <v>100</v>
      </c>
      <c r="V140" s="18">
        <v>0.13800000000000001</v>
      </c>
      <c r="W140" s="20">
        <f t="shared" si="12"/>
        <v>0.16081776894927211</v>
      </c>
      <c r="X140" s="20">
        <f t="shared" si="13"/>
        <v>1.8946990624401014E-3</v>
      </c>
      <c r="Y140" s="20">
        <f t="shared" si="14"/>
        <v>-7.1129346650225911E-2</v>
      </c>
    </row>
    <row r="141" spans="1:25" x14ac:dyDescent="0.2">
      <c r="A141" s="7">
        <v>37274</v>
      </c>
      <c r="B141" s="7">
        <v>274</v>
      </c>
      <c r="C141" s="17">
        <f t="shared" si="10"/>
        <v>7.1289999999999996</v>
      </c>
      <c r="D141" s="18">
        <f t="shared" si="11"/>
        <v>0.27400000000000002</v>
      </c>
      <c r="E141" s="7">
        <v>100</v>
      </c>
      <c r="V141" s="18">
        <v>0.13900000000000001</v>
      </c>
      <c r="W141" s="20">
        <f t="shared" si="12"/>
        <v>0.16081962840108141</v>
      </c>
      <c r="X141" s="20">
        <f t="shared" si="13"/>
        <v>1.8245211713001502E-3</v>
      </c>
      <c r="Y141" s="20">
        <f t="shared" si="14"/>
        <v>-6.9229654442427291E-2</v>
      </c>
    </row>
    <row r="142" spans="1:25" x14ac:dyDescent="0.2">
      <c r="A142" s="7">
        <v>37306</v>
      </c>
      <c r="B142" s="7">
        <v>277</v>
      </c>
      <c r="C142" s="17">
        <f t="shared" si="10"/>
        <v>7.1609999999999996</v>
      </c>
      <c r="D142" s="18">
        <f t="shared" si="11"/>
        <v>0.27700000000000002</v>
      </c>
      <c r="E142" s="7">
        <v>100</v>
      </c>
      <c r="V142" s="18">
        <v>0.14000000000000001</v>
      </c>
      <c r="W142" s="20">
        <f t="shared" si="12"/>
        <v>0.16082141862163069</v>
      </c>
      <c r="X142" s="20">
        <f t="shared" si="13"/>
        <v>1.7562333310905467E-3</v>
      </c>
      <c r="Y142" s="20">
        <f t="shared" si="14"/>
        <v>-6.7349229634066865E-2</v>
      </c>
    </row>
    <row r="143" spans="1:25" x14ac:dyDescent="0.2">
      <c r="A143" s="7">
        <v>37375</v>
      </c>
      <c r="B143" s="7">
        <v>282</v>
      </c>
      <c r="C143" s="17">
        <f t="shared" si="10"/>
        <v>7.23</v>
      </c>
      <c r="D143" s="18">
        <f t="shared" si="11"/>
        <v>0.28199999999999997</v>
      </c>
      <c r="E143" s="7">
        <v>90</v>
      </c>
      <c r="V143" s="18">
        <v>0.14099999999999999</v>
      </c>
      <c r="W143" s="20">
        <f t="shared" si="12"/>
        <v>0.16082314149135224</v>
      </c>
      <c r="X143" s="20">
        <f t="shared" si="13"/>
        <v>1.6898163198514338E-3</v>
      </c>
      <c r="Y143" s="20">
        <f t="shared" si="14"/>
        <v>-6.5487981372828852E-2</v>
      </c>
    </row>
    <row r="144" spans="1:25" x14ac:dyDescent="0.2">
      <c r="A144" s="7">
        <v>37407</v>
      </c>
      <c r="B144" s="7">
        <v>284</v>
      </c>
      <c r="C144" s="17">
        <f t="shared" si="10"/>
        <v>7.2619999999999996</v>
      </c>
      <c r="D144" s="18">
        <f t="shared" si="11"/>
        <v>0.28399999999999997</v>
      </c>
      <c r="E144" s="7">
        <v>80</v>
      </c>
      <c r="V144" s="18">
        <v>0.14199999999999999</v>
      </c>
      <c r="W144" s="20">
        <f t="shared" si="12"/>
        <v>0.16082479887150197</v>
      </c>
      <c r="X144" s="20">
        <f t="shared" si="13"/>
        <v>1.6252510063947609E-3</v>
      </c>
      <c r="Y144" s="20">
        <f t="shared" si="14"/>
        <v>-6.3645818967365653E-2</v>
      </c>
    </row>
    <row r="145" spans="1:25" x14ac:dyDescent="0.2">
      <c r="A145" s="7">
        <v>37476</v>
      </c>
      <c r="B145" s="7">
        <v>289</v>
      </c>
      <c r="C145" s="17">
        <f t="shared" si="10"/>
        <v>7.3310000000000004</v>
      </c>
      <c r="D145" s="18">
        <f t="shared" si="11"/>
        <v>0.28899999999999998</v>
      </c>
      <c r="E145" s="7">
        <v>80</v>
      </c>
      <c r="V145" s="18">
        <v>0.14299999999999999</v>
      </c>
      <c r="W145" s="20">
        <f t="shared" si="12"/>
        <v>0.16082639260424977</v>
      </c>
      <c r="X145" s="20">
        <f t="shared" si="13"/>
        <v>1.5625183501433576E-3</v>
      </c>
      <c r="Y145" s="20">
        <f t="shared" si="14"/>
        <v>-6.1822651887297964E-2</v>
      </c>
    </row>
    <row r="146" spans="1:25" x14ac:dyDescent="0.2">
      <c r="A146" s="7">
        <v>37508</v>
      </c>
      <c r="B146" s="7">
        <v>294</v>
      </c>
      <c r="C146" s="17">
        <f t="shared" si="10"/>
        <v>7.3630000000000004</v>
      </c>
      <c r="D146" s="18">
        <f t="shared" si="11"/>
        <v>0.29399999999999998</v>
      </c>
      <c r="E146" s="7">
        <v>80</v>
      </c>
      <c r="V146" s="18">
        <v>0.14399999999999999</v>
      </c>
      <c r="W146" s="20">
        <f t="shared" si="12"/>
        <v>0.16082792451277028</v>
      </c>
      <c r="X146" s="20">
        <f t="shared" si="13"/>
        <v>1.5015994009699579E-3</v>
      </c>
      <c r="Y146" s="20">
        <f t="shared" si="14"/>
        <v>-6.0018389763215163E-2</v>
      </c>
    </row>
    <row r="147" spans="1:25" x14ac:dyDescent="0.2">
      <c r="A147" s="7">
        <v>37577</v>
      </c>
      <c r="B147" s="7">
        <v>299</v>
      </c>
      <c r="C147" s="17">
        <f t="shared" si="10"/>
        <v>7.4320000000000004</v>
      </c>
      <c r="D147" s="18">
        <f t="shared" si="11"/>
        <v>0.29899999999999999</v>
      </c>
      <c r="E147" s="7">
        <v>80</v>
      </c>
      <c r="V147" s="18">
        <v>0.14499999999999999</v>
      </c>
      <c r="W147" s="20">
        <f t="shared" si="12"/>
        <v>0.16082939640133312</v>
      </c>
      <c r="X147" s="20">
        <f t="shared" si="13"/>
        <v>1.4424752990362111E-3</v>
      </c>
      <c r="Y147" s="20">
        <f t="shared" si="14"/>
        <v>-5.8232942386674424E-2</v>
      </c>
    </row>
    <row r="148" spans="1:25" x14ac:dyDescent="0.2">
      <c r="A148" s="7">
        <v>37609</v>
      </c>
      <c r="B148" s="7">
        <v>299</v>
      </c>
      <c r="C148" s="17">
        <f t="shared" si="10"/>
        <v>7.4640000000000004</v>
      </c>
      <c r="D148" s="18">
        <f t="shared" si="11"/>
        <v>0.29899999999999999</v>
      </c>
      <c r="E148" s="7">
        <v>80</v>
      </c>
      <c r="V148" s="18">
        <v>0.14599999999999999</v>
      </c>
      <c r="W148" s="20">
        <f t="shared" si="12"/>
        <v>0.16083081005539318</v>
      </c>
      <c r="X148" s="20">
        <f t="shared" si="13"/>
        <v>1.3851272746317131E-3</v>
      </c>
      <c r="Y148" s="20">
        <f t="shared" si="14"/>
        <v>-5.6466219710201604E-2</v>
      </c>
    </row>
    <row r="149" spans="1:25" x14ac:dyDescent="0.2">
      <c r="A149" s="7">
        <v>37678</v>
      </c>
      <c r="B149" s="7">
        <v>303</v>
      </c>
      <c r="C149" s="17">
        <f t="shared" si="10"/>
        <v>7.5330000000000004</v>
      </c>
      <c r="D149" s="18">
        <f t="shared" si="11"/>
        <v>0.30299999999999999</v>
      </c>
      <c r="E149" s="7">
        <v>80</v>
      </c>
      <c r="V149" s="18">
        <v>0.14699999999999999</v>
      </c>
      <c r="W149" s="20">
        <f t="shared" si="12"/>
        <v>0.16083216724168065</v>
      </c>
      <c r="X149" s="20">
        <f t="shared" si="13"/>
        <v>1.329536648013073E-3</v>
      </c>
      <c r="Y149" s="20">
        <f t="shared" si="14"/>
        <v>-5.4718131847290574E-2</v>
      </c>
    </row>
    <row r="150" spans="1:25" x14ac:dyDescent="0.2">
      <c r="A150" s="7">
        <v>37710</v>
      </c>
      <c r="B150" s="7">
        <v>306</v>
      </c>
      <c r="C150" s="17">
        <f t="shared" si="10"/>
        <v>7.5650000000000004</v>
      </c>
      <c r="D150" s="18">
        <f t="shared" si="11"/>
        <v>0.30599999999999999</v>
      </c>
      <c r="E150" s="7">
        <v>80</v>
      </c>
      <c r="V150" s="18">
        <v>0.14799999999999999</v>
      </c>
      <c r="W150" s="20">
        <f t="shared" si="12"/>
        <v>0.16083346970829085</v>
      </c>
      <c r="X150" s="20">
        <f t="shared" si="13"/>
        <v>1.2756848292429165E-3</v>
      </c>
      <c r="Y150" s="20">
        <f t="shared" si="14"/>
        <v>-5.298858907240378E-2</v>
      </c>
    </row>
    <row r="151" spans="1:25" x14ac:dyDescent="0.2">
      <c r="A151" s="7">
        <v>37779</v>
      </c>
      <c r="B151" s="7">
        <v>309</v>
      </c>
      <c r="C151" s="17">
        <f t="shared" si="10"/>
        <v>7.6340000000000003</v>
      </c>
      <c r="D151" s="18">
        <f t="shared" si="11"/>
        <v>0.309</v>
      </c>
      <c r="E151" s="7">
        <v>80</v>
      </c>
      <c r="V151" s="18">
        <v>0.14899999999999999</v>
      </c>
      <c r="W151" s="20">
        <f t="shared" si="12"/>
        <v>0.16083471918477399</v>
      </c>
      <c r="X151" s="20">
        <f t="shared" si="13"/>
        <v>1.223553318028904E-3</v>
      </c>
      <c r="Y151" s="20">
        <f t="shared" si="14"/>
        <v>-5.1277501820971905E-2</v>
      </c>
    </row>
    <row r="152" spans="1:25" x14ac:dyDescent="0.2">
      <c r="A152" s="7">
        <v>37811</v>
      </c>
      <c r="B152" s="7">
        <v>308</v>
      </c>
      <c r="C152" s="17">
        <f t="shared" si="10"/>
        <v>7.6660000000000004</v>
      </c>
      <c r="D152" s="18">
        <f t="shared" si="11"/>
        <v>0.308</v>
      </c>
      <c r="E152" s="7">
        <v>80</v>
      </c>
      <c r="V152" s="18">
        <v>0.15</v>
      </c>
      <c r="W152" s="20">
        <f t="shared" si="12"/>
        <v>0.16083591738222483</v>
      </c>
      <c r="X152" s="20">
        <f t="shared" si="13"/>
        <v>1.1731237035627964E-3</v>
      </c>
      <c r="Y152" s="20">
        <f t="shared" si="14"/>
        <v>-4.958478068939387E-2</v>
      </c>
    </row>
    <row r="153" spans="1:25" x14ac:dyDescent="0.2">
      <c r="A153" s="7">
        <v>37871</v>
      </c>
      <c r="B153" s="7">
        <v>309</v>
      </c>
      <c r="C153" s="17">
        <f t="shared" si="10"/>
        <v>7.726</v>
      </c>
      <c r="D153" s="18">
        <f t="shared" si="11"/>
        <v>0.309</v>
      </c>
      <c r="E153" s="7">
        <v>80</v>
      </c>
      <c r="V153" s="18">
        <v>0.151</v>
      </c>
      <c r="W153" s="20">
        <f t="shared" si="12"/>
        <v>0.16083706599337189</v>
      </c>
      <c r="X153" s="20">
        <f t="shared" si="13"/>
        <v>1.1243776643595008E-3</v>
      </c>
      <c r="Y153" s="20">
        <f t="shared" si="14"/>
        <v>-4.7910336435036838E-2</v>
      </c>
    </row>
    <row r="154" spans="1:25" x14ac:dyDescent="0.2">
      <c r="A154" s="7">
        <v>37940</v>
      </c>
      <c r="B154" s="7">
        <v>307</v>
      </c>
      <c r="C154" s="17">
        <f t="shared" si="10"/>
        <v>7.7949999999999999</v>
      </c>
      <c r="D154" s="18">
        <f t="shared" si="11"/>
        <v>0.307</v>
      </c>
      <c r="E154" s="7">
        <v>80</v>
      </c>
      <c r="V154" s="18">
        <v>0.152</v>
      </c>
      <c r="W154" s="20">
        <f t="shared" si="12"/>
        <v>0.16083816669266687</v>
      </c>
      <c r="X154" s="20">
        <f t="shared" si="13"/>
        <v>1.0772969680960046E-3</v>
      </c>
      <c r="Y154" s="20">
        <f t="shared" si="14"/>
        <v>-4.625407997623654E-2</v>
      </c>
    </row>
    <row r="155" spans="1:25" x14ac:dyDescent="0.2">
      <c r="A155" s="7">
        <v>37971</v>
      </c>
      <c r="B155" s="7">
        <v>307</v>
      </c>
      <c r="C155" s="17">
        <f t="shared" si="10"/>
        <v>7.8259999999999996</v>
      </c>
      <c r="D155" s="18">
        <f t="shared" si="11"/>
        <v>0.307</v>
      </c>
      <c r="E155" s="7">
        <v>80</v>
      </c>
      <c r="V155" s="18">
        <v>0.153</v>
      </c>
      <c r="W155" s="20">
        <f t="shared" si="12"/>
        <v>0.16083922113637364</v>
      </c>
      <c r="X155" s="20">
        <f t="shared" si="13"/>
        <v>1.0318634714505184E-3</v>
      </c>
      <c r="Y155" s="20">
        <f t="shared" si="14"/>
        <v>-4.4615922392296614E-2</v>
      </c>
    </row>
    <row r="156" spans="1:25" x14ac:dyDescent="0.2">
      <c r="A156" s="7">
        <v>38041</v>
      </c>
      <c r="B156" s="7">
        <v>305</v>
      </c>
      <c r="C156" s="17">
        <f t="shared" si="10"/>
        <v>7.8959999999999999</v>
      </c>
      <c r="D156" s="18">
        <f t="shared" si="11"/>
        <v>0.30499999999999999</v>
      </c>
      <c r="E156" s="7">
        <v>80</v>
      </c>
      <c r="V156" s="18">
        <v>0.154</v>
      </c>
      <c r="W156" s="20">
        <f t="shared" si="12"/>
        <v>0.16084023096265715</v>
      </c>
      <c r="X156" s="20">
        <f t="shared" si="13"/>
        <v>9.880591199414937E-4</v>
      </c>
      <c r="Y156" s="20">
        <f t="shared" si="14"/>
        <v>-4.2995774923489272E-2</v>
      </c>
    </row>
    <row r="157" spans="1:25" x14ac:dyDescent="0.2">
      <c r="A157" s="7">
        <v>38073</v>
      </c>
      <c r="B157" s="7">
        <v>304</v>
      </c>
      <c r="C157" s="17">
        <f t="shared" si="10"/>
        <v>7.9279999999999999</v>
      </c>
      <c r="D157" s="18">
        <f t="shared" si="11"/>
        <v>0.30399999999999999</v>
      </c>
      <c r="E157" s="7">
        <v>80</v>
      </c>
      <c r="V157" s="18">
        <v>0.155</v>
      </c>
      <c r="W157" s="20">
        <f t="shared" si="12"/>
        <v>0.1608411977916723</v>
      </c>
      <c r="X157" s="20">
        <f t="shared" si="13"/>
        <v>9.4586594776654986E-4</v>
      </c>
      <c r="Y157" s="20">
        <f t="shared" si="14"/>
        <v>-4.1393548971055183E-2</v>
      </c>
    </row>
    <row r="158" spans="1:25" x14ac:dyDescent="0.2">
      <c r="A158" s="7">
        <v>38142</v>
      </c>
      <c r="B158" s="7">
        <v>300</v>
      </c>
      <c r="C158" s="17">
        <f t="shared" si="10"/>
        <v>7.9969999999999999</v>
      </c>
      <c r="D158" s="18">
        <f t="shared" si="11"/>
        <v>0.3</v>
      </c>
      <c r="E158" s="7">
        <v>80</v>
      </c>
      <c r="V158" s="18">
        <v>0.156</v>
      </c>
      <c r="W158" s="20">
        <f t="shared" si="12"/>
        <v>0.16084212322565239</v>
      </c>
      <c r="X158" s="20">
        <f t="shared" si="13"/>
        <v>9.0526607764163797E-4</v>
      </c>
      <c r="Y158" s="20">
        <f t="shared" si="14"/>
        <v>-3.9809156097202925E-2</v>
      </c>
    </row>
    <row r="159" spans="1:25" x14ac:dyDescent="0.2">
      <c r="A159" s="7">
        <v>38173</v>
      </c>
      <c r="B159" s="7">
        <v>298</v>
      </c>
      <c r="C159" s="17">
        <f t="shared" si="10"/>
        <v>8.0280000000000005</v>
      </c>
      <c r="D159" s="18">
        <f t="shared" si="11"/>
        <v>0.29799999999999999</v>
      </c>
      <c r="E159" s="7">
        <v>80</v>
      </c>
      <c r="V159" s="18">
        <v>0.157</v>
      </c>
      <c r="W159" s="20">
        <f t="shared" si="12"/>
        <v>0.16084300884899766</v>
      </c>
      <c r="X159" s="20">
        <f t="shared" si="13"/>
        <v>8.6624172064001664E-4</v>
      </c>
      <c r="Y159" s="20">
        <f t="shared" si="14"/>
        <v>-3.8242508025109867E-2</v>
      </c>
    </row>
    <row r="160" spans="1:25" x14ac:dyDescent="0.2">
      <c r="A160" s="7">
        <v>38243</v>
      </c>
      <c r="B160" s="7">
        <v>294</v>
      </c>
      <c r="C160" s="17">
        <f t="shared" si="10"/>
        <v>8.0980000000000008</v>
      </c>
      <c r="D160" s="18">
        <f t="shared" si="11"/>
        <v>0.29399999999999998</v>
      </c>
      <c r="E160" s="7">
        <v>80</v>
      </c>
      <c r="V160" s="18">
        <v>0.158</v>
      </c>
      <c r="W160" s="20">
        <f t="shared" si="12"/>
        <v>0.1608438562283635</v>
      </c>
      <c r="X160" s="20">
        <f t="shared" si="13"/>
        <v>8.2877517603123507E-4</v>
      </c>
      <c r="Y160" s="20">
        <f t="shared" si="14"/>
        <v>-3.6693516638921064E-2</v>
      </c>
    </row>
    <row r="161" spans="1:25" x14ac:dyDescent="0.2">
      <c r="A161" s="7">
        <v>38275</v>
      </c>
      <c r="B161" s="7">
        <v>291</v>
      </c>
      <c r="C161" s="17">
        <f t="shared" si="10"/>
        <v>8.1300000000000008</v>
      </c>
      <c r="D161" s="18">
        <f t="shared" si="11"/>
        <v>0.29099999999999998</v>
      </c>
      <c r="E161" s="7">
        <v>80</v>
      </c>
      <c r="V161" s="18">
        <v>0.159</v>
      </c>
      <c r="W161" s="20">
        <f t="shared" si="12"/>
        <v>0.16084466691274862</v>
      </c>
      <c r="X161" s="20">
        <f t="shared" si="13"/>
        <v>7.9284883112027554E-4</v>
      </c>
      <c r="Y161" s="20">
        <f t="shared" si="14"/>
        <v>-3.5162093983750475E-2</v>
      </c>
    </row>
    <row r="162" spans="1:25" x14ac:dyDescent="0.2">
      <c r="A162" s="7">
        <v>38344</v>
      </c>
      <c r="B162" s="7">
        <v>287</v>
      </c>
      <c r="C162" s="17">
        <f t="shared" si="10"/>
        <v>8.1989999999999998</v>
      </c>
      <c r="D162" s="18">
        <f t="shared" si="11"/>
        <v>0.28699999999999998</v>
      </c>
      <c r="E162" s="7">
        <v>80</v>
      </c>
      <c r="V162" s="18">
        <v>0.16</v>
      </c>
      <c r="W162" s="20">
        <f t="shared" si="12"/>
        <v>0.16084544243358304</v>
      </c>
      <c r="X162" s="20">
        <f t="shared" si="13"/>
        <v>7.5844516108648785E-4</v>
      </c>
      <c r="Y162" s="20">
        <f t="shared" si="14"/>
        <v>-3.3648152265680076E-2</v>
      </c>
    </row>
    <row r="163" spans="1:25" x14ac:dyDescent="0.2">
      <c r="A163" s="7">
        <v>38376</v>
      </c>
      <c r="B163" s="7">
        <v>286</v>
      </c>
      <c r="C163" s="17">
        <f t="shared" si="10"/>
        <v>8.2309999999999999</v>
      </c>
      <c r="D163" s="18">
        <f t="shared" si="11"/>
        <v>0.28599999999999998</v>
      </c>
      <c r="E163" s="7">
        <v>80</v>
      </c>
      <c r="V163" s="18">
        <v>0.161</v>
      </c>
      <c r="W163" s="20">
        <f t="shared" si="12"/>
        <v>0.16084618430481576</v>
      </c>
      <c r="X163" s="20">
        <f t="shared" si="13"/>
        <v>7.2554672882265553E-4</v>
      </c>
      <c r="Y163" s="20">
        <f t="shared" si="14"/>
        <v>-3.2151603851760191E-2</v>
      </c>
    </row>
    <row r="164" spans="1:25" x14ac:dyDescent="0.2">
      <c r="A164" s="7">
        <v>38445</v>
      </c>
      <c r="B164" s="7">
        <v>281</v>
      </c>
      <c r="C164" s="17">
        <f t="shared" si="10"/>
        <v>8.3000000000000007</v>
      </c>
      <c r="D164" s="18">
        <f t="shared" si="11"/>
        <v>0.28100000000000003</v>
      </c>
      <c r="E164" s="7">
        <v>95</v>
      </c>
      <c r="V164" s="18">
        <v>0.16200000000000001</v>
      </c>
      <c r="W164" s="20">
        <f t="shared" si="12"/>
        <v>0.16084689402300245</v>
      </c>
      <c r="X164" s="20">
        <f t="shared" si="13"/>
        <v>6.9413618477403433E-4</v>
      </c>
      <c r="Y164" s="20">
        <f t="shared" si="14"/>
        <v>-3.0672361270009274E-2</v>
      </c>
    </row>
    <row r="165" spans="1:25" x14ac:dyDescent="0.2">
      <c r="A165" s="7">
        <v>38477</v>
      </c>
      <c r="B165" s="7">
        <v>279</v>
      </c>
      <c r="C165" s="17">
        <f t="shared" si="10"/>
        <v>8.3320000000000007</v>
      </c>
      <c r="D165" s="18">
        <f t="shared" si="11"/>
        <v>0.27900000000000003</v>
      </c>
      <c r="E165" s="7">
        <v>100</v>
      </c>
      <c r="V165" s="18">
        <v>0.16300000000000001</v>
      </c>
      <c r="W165" s="20">
        <f t="shared" si="12"/>
        <v>0.16084757306739303</v>
      </c>
      <c r="X165" s="20">
        <f t="shared" si="13"/>
        <v>6.6419626677737681E-4</v>
      </c>
      <c r="Y165" s="20">
        <f t="shared" si="14"/>
        <v>-2.9210337209414794E-2</v>
      </c>
    </row>
    <row r="166" spans="1:25" x14ac:dyDescent="0.2">
      <c r="A166" s="7">
        <v>38546</v>
      </c>
      <c r="B166" s="7">
        <v>275</v>
      </c>
      <c r="C166" s="17">
        <f t="shared" si="10"/>
        <v>8.4009999999999998</v>
      </c>
      <c r="D166" s="18">
        <f t="shared" si="11"/>
        <v>0.27500000000000002</v>
      </c>
      <c r="E166" s="7">
        <v>100</v>
      </c>
      <c r="V166" s="18">
        <v>0.16400000000000001</v>
      </c>
      <c r="W166" s="20">
        <f t="shared" si="12"/>
        <v>0.16084822290001877</v>
      </c>
      <c r="X166" s="20">
        <f t="shared" si="13"/>
        <v>6.3570979989995696E-4</v>
      </c>
      <c r="Y166" s="20">
        <f t="shared" si="14"/>
        <v>-2.7765444519931348E-2</v>
      </c>
    </row>
    <row r="167" spans="1:25" x14ac:dyDescent="0.2">
      <c r="A167" s="7">
        <v>38578</v>
      </c>
      <c r="B167" s="7">
        <v>273</v>
      </c>
      <c r="C167" s="17">
        <f t="shared" si="10"/>
        <v>8.4329999999999998</v>
      </c>
      <c r="D167" s="18">
        <f t="shared" si="11"/>
        <v>0.27300000000000002</v>
      </c>
      <c r="E167" s="7">
        <v>100</v>
      </c>
      <c r="V167" s="18">
        <v>0.16500000000000001</v>
      </c>
      <c r="W167" s="20">
        <f t="shared" si="12"/>
        <v>0.16084884496577961</v>
      </c>
      <c r="X167" s="20">
        <f t="shared" si="13"/>
        <v>6.0865969627862254E-4</v>
      </c>
      <c r="Y167" s="20">
        <f t="shared" si="14"/>
        <v>-2.6337596212482772E-2</v>
      </c>
    </row>
    <row r="168" spans="1:25" x14ac:dyDescent="0.2">
      <c r="A168" s="7">
        <v>38647</v>
      </c>
      <c r="B168" s="7">
        <v>270</v>
      </c>
      <c r="C168" s="17">
        <f t="shared" si="10"/>
        <v>8.5020000000000007</v>
      </c>
      <c r="D168" s="18">
        <f t="shared" si="11"/>
        <v>0.27</v>
      </c>
      <c r="E168" s="7">
        <v>100</v>
      </c>
      <c r="V168" s="18">
        <v>0.16600000000000001</v>
      </c>
      <c r="W168" s="20">
        <f t="shared" si="12"/>
        <v>0.16084944069253113</v>
      </c>
      <c r="X168" s="20">
        <f t="shared" si="13"/>
        <v>5.8302895495881274E-4</v>
      </c>
      <c r="Y168" s="20">
        <f t="shared" si="14"/>
        <v>-2.4926705458961029E-2</v>
      </c>
    </row>
    <row r="169" spans="1:25" x14ac:dyDescent="0.2">
      <c r="A169" s="7">
        <v>38679</v>
      </c>
      <c r="B169" s="7">
        <v>268</v>
      </c>
      <c r="C169" s="17">
        <f t="shared" si="10"/>
        <v>8.5340000000000007</v>
      </c>
      <c r="D169" s="18">
        <f t="shared" si="11"/>
        <v>0.26800000000000002</v>
      </c>
      <c r="E169" s="7">
        <v>100</v>
      </c>
      <c r="V169" s="18">
        <v>0.16700000000000001</v>
      </c>
      <c r="W169" s="20">
        <f t="shared" si="12"/>
        <v>0.16085001149117126</v>
      </c>
      <c r="X169" s="20">
        <f t="shared" si="13"/>
        <v>5.588006617335689E-4</v>
      </c>
      <c r="Y169" s="20">
        <f t="shared" si="14"/>
        <v>-2.353268559222621E-2</v>
      </c>
    </row>
    <row r="170" spans="1:25" x14ac:dyDescent="0.2">
      <c r="A170" s="7">
        <v>38739</v>
      </c>
      <c r="B170" s="7">
        <v>267</v>
      </c>
      <c r="C170" s="17">
        <f t="shared" si="10"/>
        <v>8.5939999999999994</v>
      </c>
      <c r="D170" s="18">
        <f t="shared" si="11"/>
        <v>0.26700000000000002</v>
      </c>
      <c r="E170" s="7">
        <v>100</v>
      </c>
      <c r="V170" s="18">
        <v>0.16800000000000001</v>
      </c>
      <c r="W170" s="20">
        <f t="shared" si="12"/>
        <v>0.16085055875572712</v>
      </c>
      <c r="X170" s="20">
        <f t="shared" si="13"/>
        <v>5.359579889825869E-4</v>
      </c>
      <c r="Y170" s="20">
        <f t="shared" si="14"/>
        <v>-2.2155450106106644E-2</v>
      </c>
    </row>
    <row r="171" spans="1:25" x14ac:dyDescent="0.2">
      <c r="A171" s="7">
        <v>38808</v>
      </c>
      <c r="B171" s="7">
        <v>267</v>
      </c>
      <c r="C171" s="17">
        <f t="shared" si="10"/>
        <v>8.6630000000000003</v>
      </c>
      <c r="D171" s="18">
        <f t="shared" si="11"/>
        <v>0.26700000000000002</v>
      </c>
      <c r="E171" s="7">
        <v>100</v>
      </c>
      <c r="V171" s="18">
        <v>0.16900000000000001</v>
      </c>
      <c r="W171" s="20">
        <f t="shared" si="12"/>
        <v>0.16085108386344135</v>
      </c>
      <c r="X171" s="20">
        <f t="shared" si="13"/>
        <v>5.144841955113319E-4</v>
      </c>
      <c r="Y171" s="20">
        <f t="shared" si="14"/>
        <v>-2.0794912655399345E-2</v>
      </c>
    </row>
    <row r="172" spans="1:25" x14ac:dyDescent="0.2">
      <c r="A172" s="7">
        <v>38840</v>
      </c>
      <c r="B172" s="7">
        <v>268</v>
      </c>
      <c r="C172" s="17">
        <f t="shared" si="10"/>
        <v>8.6950000000000003</v>
      </c>
      <c r="D172" s="18">
        <f t="shared" si="11"/>
        <v>0.26800000000000002</v>
      </c>
      <c r="E172" s="7">
        <v>100</v>
      </c>
      <c r="V172" s="18">
        <v>0.17</v>
      </c>
      <c r="W172" s="20">
        <f t="shared" si="12"/>
        <v>0.16085158817485862</v>
      </c>
      <c r="X172" s="20">
        <f t="shared" si="13"/>
        <v>4.9436262638986178E-4</v>
      </c>
      <c r="Y172" s="20">
        <f t="shared" si="14"/>
        <v>-1.945098705586934E-2</v>
      </c>
    </row>
    <row r="173" spans="1:25" x14ac:dyDescent="0.2">
      <c r="A173" s="7">
        <v>38909</v>
      </c>
      <c r="B173" s="7">
        <v>271</v>
      </c>
      <c r="C173" s="17">
        <f t="shared" si="10"/>
        <v>8.7639999999999993</v>
      </c>
      <c r="D173" s="18">
        <f t="shared" si="11"/>
        <v>0.27100000000000002</v>
      </c>
      <c r="E173" s="7">
        <v>100</v>
      </c>
      <c r="V173" s="18">
        <v>0.17100000000000001</v>
      </c>
      <c r="W173" s="20">
        <f t="shared" si="12"/>
        <v>0.16085207303391169</v>
      </c>
      <c r="X173" s="20">
        <f t="shared" si="13"/>
        <v>4.7557671279207375E-4</v>
      </c>
      <c r="Y173" s="20">
        <f t="shared" si="14"/>
        <v>-1.8123587284249898E-2</v>
      </c>
    </row>
    <row r="174" spans="1:25" x14ac:dyDescent="0.2">
      <c r="A174" s="7">
        <v>38941</v>
      </c>
      <c r="B174" s="7">
        <v>271</v>
      </c>
      <c r="C174" s="17">
        <f t="shared" si="10"/>
        <v>8.7959999999999994</v>
      </c>
      <c r="D174" s="18">
        <f t="shared" si="11"/>
        <v>0.27100000000000002</v>
      </c>
      <c r="E174" s="7">
        <v>100</v>
      </c>
      <c r="V174" s="18">
        <v>0.17199999999999999</v>
      </c>
      <c r="W174" s="20">
        <f t="shared" si="12"/>
        <v>0.16085253976800748</v>
      </c>
      <c r="X174" s="20">
        <f t="shared" si="13"/>
        <v>4.5810997183461794E-4</v>
      </c>
      <c r="Y174" s="20">
        <f t="shared" si="14"/>
        <v>-1.681262747824297E-2</v>
      </c>
    </row>
    <row r="175" spans="1:25" x14ac:dyDescent="0.2">
      <c r="A175" s="7">
        <v>39010</v>
      </c>
      <c r="B175" s="7">
        <v>275</v>
      </c>
      <c r="C175" s="17">
        <f t="shared" si="10"/>
        <v>8.8650000000000002</v>
      </c>
      <c r="D175" s="18">
        <f t="shared" si="11"/>
        <v>0.27500000000000002</v>
      </c>
      <c r="E175" s="7">
        <v>100</v>
      </c>
      <c r="V175" s="18">
        <v>0.17299999999999999</v>
      </c>
      <c r="W175" s="20">
        <f t="shared" si="12"/>
        <v>0.16085298968811293</v>
      </c>
      <c r="X175" s="20">
        <f t="shared" si="13"/>
        <v>4.4194600641595666E-4</v>
      </c>
      <c r="Y175" s="20">
        <f t="shared" si="14"/>
        <v>-1.5518021936518411E-2</v>
      </c>
    </row>
    <row r="176" spans="1:25" x14ac:dyDescent="0.2">
      <c r="A176" s="7">
        <v>39042</v>
      </c>
      <c r="B176" s="7">
        <v>279</v>
      </c>
      <c r="C176" s="17">
        <f t="shared" si="10"/>
        <v>8.8970000000000002</v>
      </c>
      <c r="D176" s="18">
        <f t="shared" si="11"/>
        <v>0.27900000000000003</v>
      </c>
      <c r="E176" s="7">
        <v>100</v>
      </c>
      <c r="V176" s="18">
        <v>0.17399999999999999</v>
      </c>
      <c r="W176" s="20">
        <f t="shared" si="12"/>
        <v>0.16085342408884071</v>
      </c>
      <c r="X176" s="20">
        <f t="shared" si="13"/>
        <v>4.2706850505539601E-4</v>
      </c>
      <c r="Y176" s="20">
        <f t="shared" si="14"/>
        <v>-1.423968511871454E-2</v>
      </c>
    </row>
    <row r="177" spans="1:25" x14ac:dyDescent="0.2">
      <c r="A177" s="7">
        <v>39111</v>
      </c>
      <c r="B177" s="7">
        <v>284</v>
      </c>
      <c r="C177" s="17">
        <f t="shared" si="10"/>
        <v>8.9659999999999993</v>
      </c>
      <c r="D177" s="18">
        <f t="shared" si="11"/>
        <v>0.28399999999999997</v>
      </c>
      <c r="E177" s="7">
        <v>80</v>
      </c>
      <c r="V177" s="18">
        <v>0.17499999999999999</v>
      </c>
      <c r="W177" s="20">
        <f t="shared" si="12"/>
        <v>0.16085384424853477</v>
      </c>
      <c r="X177" s="20">
        <f t="shared" si="13"/>
        <v>4.134612417321451E-4</v>
      </c>
      <c r="Y177" s="20">
        <f t="shared" si="14"/>
        <v>-1.2977531645437912E-2</v>
      </c>
    </row>
    <row r="178" spans="1:25" x14ac:dyDescent="0.2">
      <c r="A178" s="7">
        <v>39143</v>
      </c>
      <c r="B178" s="7">
        <v>283</v>
      </c>
      <c r="C178" s="17">
        <f t="shared" si="10"/>
        <v>8.9979999999999993</v>
      </c>
      <c r="D178" s="18">
        <f t="shared" si="11"/>
        <v>0.28299999999999997</v>
      </c>
      <c r="E178" s="7">
        <v>85</v>
      </c>
      <c r="V178" s="18">
        <v>0.17599999999999999</v>
      </c>
      <c r="W178" s="20">
        <f t="shared" si="12"/>
        <v>0.16085425142935567</v>
      </c>
      <c r="X178" s="20">
        <f t="shared" si="13"/>
        <v>4.0110807572427132E-4</v>
      </c>
      <c r="Y178" s="20">
        <f t="shared" si="14"/>
        <v>-1.1731476298263654E-2</v>
      </c>
    </row>
    <row r="179" spans="1:25" x14ac:dyDescent="0.2">
      <c r="A179" s="7">
        <v>39212</v>
      </c>
      <c r="B179" s="7">
        <v>288</v>
      </c>
      <c r="C179" s="17">
        <f t="shared" si="10"/>
        <v>9.0670000000000002</v>
      </c>
      <c r="D179" s="18">
        <f t="shared" si="11"/>
        <v>0.28799999999999998</v>
      </c>
      <c r="E179" s="7">
        <v>80</v>
      </c>
      <c r="V179" s="18">
        <v>0.17699999999999999</v>
      </c>
      <c r="W179" s="20">
        <f t="shared" si="12"/>
        <v>0.16085464687736584</v>
      </c>
      <c r="X179" s="20">
        <f t="shared" si="13"/>
        <v>3.8999295144784979E-4</v>
      </c>
      <c r="Y179" s="20">
        <f t="shared" si="14"/>
        <v>-1.0501434019734801E-2</v>
      </c>
    </row>
    <row r="180" spans="1:25" x14ac:dyDescent="0.2">
      <c r="A180" s="7">
        <v>39244</v>
      </c>
      <c r="B180" s="7">
        <v>294</v>
      </c>
      <c r="C180" s="17">
        <f t="shared" si="10"/>
        <v>9.0990000000000002</v>
      </c>
      <c r="D180" s="18">
        <f t="shared" si="11"/>
        <v>0.29399999999999998</v>
      </c>
      <c r="E180" s="7">
        <v>80</v>
      </c>
      <c r="V180" s="18">
        <v>0.17799999999999999</v>
      </c>
      <c r="W180" s="20">
        <f t="shared" si="12"/>
        <v>0.16085503182261465</v>
      </c>
      <c r="X180" s="20">
        <f t="shared" si="13"/>
        <v>3.8009989829587698E-4</v>
      </c>
      <c r="Y180" s="20">
        <f t="shared" si="14"/>
        <v>-9.287319913363179E-3</v>
      </c>
    </row>
    <row r="181" spans="1:25" x14ac:dyDescent="0.2">
      <c r="A181" s="7">
        <v>39313</v>
      </c>
      <c r="B181" s="7">
        <v>298</v>
      </c>
      <c r="C181" s="17">
        <f t="shared" si="10"/>
        <v>9.1679999999999993</v>
      </c>
      <c r="D181" s="18">
        <f t="shared" si="11"/>
        <v>0.29799999999999999</v>
      </c>
      <c r="E181" s="7">
        <v>80</v>
      </c>
      <c r="V181" s="18">
        <v>0.17899999999999999</v>
      </c>
      <c r="W181" s="20">
        <f t="shared" si="12"/>
        <v>0.16085540747922328</v>
      </c>
      <c r="X181" s="20">
        <f t="shared" si="13"/>
        <v>3.7141303047736468E-4</v>
      </c>
      <c r="Y181" s="20">
        <f t="shared" si="14"/>
        <v>-8.089049243628299E-3</v>
      </c>
    </row>
    <row r="182" spans="1:25" x14ac:dyDescent="0.2">
      <c r="A182" s="7">
        <v>39345</v>
      </c>
      <c r="B182" s="7">
        <v>298</v>
      </c>
      <c r="C182" s="17">
        <f t="shared" si="10"/>
        <v>9.1999999999999993</v>
      </c>
      <c r="D182" s="18">
        <f t="shared" si="11"/>
        <v>0.29799999999999999</v>
      </c>
      <c r="E182" s="7">
        <v>80</v>
      </c>
      <c r="V182" s="18">
        <v>0.18</v>
      </c>
      <c r="W182" s="20">
        <f t="shared" si="12"/>
        <v>0.16085577504546941</v>
      </c>
      <c r="X182" s="20">
        <f t="shared" si="13"/>
        <v>3.6391654685637848E-4</v>
      </c>
      <c r="Y182" s="20">
        <f t="shared" si="14"/>
        <v>-6.906537435978688E-3</v>
      </c>
    </row>
    <row r="183" spans="1:25" x14ac:dyDescent="0.2">
      <c r="A183" s="7">
        <v>39414</v>
      </c>
      <c r="B183" s="7">
        <v>301</v>
      </c>
      <c r="C183" s="17">
        <f t="shared" si="10"/>
        <v>9.2690000000000001</v>
      </c>
      <c r="D183" s="18">
        <f t="shared" si="11"/>
        <v>0.30099999999999999</v>
      </c>
      <c r="E183" s="7">
        <v>80</v>
      </c>
      <c r="V183" s="18">
        <v>0.18099999999999999</v>
      </c>
      <c r="W183" s="20">
        <f t="shared" si="12"/>
        <v>0.16085613570387192</v>
      </c>
      <c r="X183" s="20">
        <f t="shared" si="13"/>
        <v>3.5759473079102072E-4</v>
      </c>
      <c r="Y183" s="20">
        <f t="shared" si="14"/>
        <v>-5.7397000768305562E-3</v>
      </c>
    </row>
    <row r="184" spans="1:25" x14ac:dyDescent="0.2">
      <c r="A184" s="7">
        <v>39446</v>
      </c>
      <c r="B184" s="7">
        <v>305</v>
      </c>
      <c r="C184" s="17">
        <f t="shared" si="10"/>
        <v>9.3010000000000002</v>
      </c>
      <c r="D184" s="18">
        <f t="shared" si="11"/>
        <v>0.30499999999999999</v>
      </c>
      <c r="E184" s="7">
        <v>80</v>
      </c>
      <c r="V184" s="18">
        <v>0.182</v>
      </c>
      <c r="W184" s="20">
        <f t="shared" si="12"/>
        <v>0.16085649062127513</v>
      </c>
      <c r="X184" s="20">
        <f t="shared" si="13"/>
        <v>3.5243194997255228E-4</v>
      </c>
      <c r="Y184" s="20">
        <f t="shared" si="14"/>
        <v>-4.5884529135690189E-3</v>
      </c>
    </row>
    <row r="185" spans="1:25" x14ac:dyDescent="0.2">
      <c r="A185" s="7">
        <v>39515</v>
      </c>
      <c r="B185" s="7">
        <v>306</v>
      </c>
      <c r="C185" s="17">
        <f t="shared" si="10"/>
        <v>9.3699999999999992</v>
      </c>
      <c r="D185" s="18">
        <f t="shared" si="11"/>
        <v>0.30599999999999999</v>
      </c>
      <c r="E185" s="7">
        <v>80</v>
      </c>
      <c r="V185" s="18">
        <v>0.183</v>
      </c>
      <c r="W185" s="20">
        <f t="shared" si="12"/>
        <v>0.16085684094893329</v>
      </c>
      <c r="X185" s="20">
        <f t="shared" si="13"/>
        <v>3.4841265626426449E-4</v>
      </c>
      <c r="Y185" s="20">
        <f t="shared" si="14"/>
        <v>-3.4527118545466529E-3</v>
      </c>
    </row>
    <row r="186" spans="1:25" x14ac:dyDescent="0.2">
      <c r="A186" s="7">
        <v>39547</v>
      </c>
      <c r="B186" s="7">
        <v>304</v>
      </c>
      <c r="C186" s="17">
        <f t="shared" si="10"/>
        <v>9.4019999999999992</v>
      </c>
      <c r="D186" s="18">
        <f t="shared" si="11"/>
        <v>0.30399999999999999</v>
      </c>
      <c r="E186" s="7">
        <v>80</v>
      </c>
      <c r="V186" s="18">
        <v>0.184</v>
      </c>
      <c r="W186" s="20">
        <f t="shared" si="12"/>
        <v>0.16085718782259439</v>
      </c>
      <c r="X186" s="20">
        <f t="shared" si="13"/>
        <v>3.4552138554070494E-4</v>
      </c>
      <c r="Y186" s="20">
        <f t="shared" si="14"/>
        <v>-2.3323929690852729E-3</v>
      </c>
    </row>
    <row r="187" spans="1:25" x14ac:dyDescent="0.2">
      <c r="A187" s="7">
        <v>39616</v>
      </c>
      <c r="B187" s="7">
        <v>303</v>
      </c>
      <c r="C187" s="17">
        <f t="shared" si="10"/>
        <v>9.4710000000000001</v>
      </c>
      <c r="D187" s="18">
        <f t="shared" si="11"/>
        <v>0.30299999999999999</v>
      </c>
      <c r="E187" s="7">
        <v>80</v>
      </c>
      <c r="V187" s="18">
        <v>0.185</v>
      </c>
      <c r="W187" s="20">
        <f t="shared" si="12"/>
        <v>0.16085753236258435</v>
      </c>
      <c r="X187" s="20">
        <f t="shared" si="13"/>
        <v>3.4374275752661193E-4</v>
      </c>
      <c r="Y187" s="20">
        <f t="shared" si="14"/>
        <v>-1.2274124874742665E-3</v>
      </c>
    </row>
    <row r="188" spans="1:25" x14ac:dyDescent="0.2">
      <c r="A188" s="7">
        <v>39647</v>
      </c>
      <c r="B188" s="7">
        <v>305</v>
      </c>
      <c r="C188" s="17">
        <f t="shared" si="10"/>
        <v>9.5020000000000007</v>
      </c>
      <c r="D188" s="18">
        <f t="shared" si="11"/>
        <v>0.30499999999999999</v>
      </c>
      <c r="E188" s="7">
        <v>80</v>
      </c>
      <c r="V188" s="18">
        <v>0.186</v>
      </c>
      <c r="W188" s="20">
        <f t="shared" si="12"/>
        <v>0.16085787567389057</v>
      </c>
      <c r="X188" s="20">
        <f t="shared" si="13"/>
        <v>3.430614756358627E-4</v>
      </c>
      <c r="Y188" s="20">
        <f t="shared" si="14"/>
        <v>-1.3768680097192565E-4</v>
      </c>
    </row>
    <row r="189" spans="1:25" x14ac:dyDescent="0.2">
      <c r="A189" s="7">
        <v>39708</v>
      </c>
      <c r="B189" s="7">
        <v>303</v>
      </c>
      <c r="C189" s="17">
        <f t="shared" si="10"/>
        <v>9.5630000000000006</v>
      </c>
      <c r="D189" s="18">
        <f t="shared" si="11"/>
        <v>0.30299999999999999</v>
      </c>
      <c r="E189" s="7">
        <v>80</v>
      </c>
      <c r="V189" s="18">
        <v>0.187</v>
      </c>
      <c r="W189" s="20">
        <f t="shared" si="12"/>
        <v>0.16085821884624571</v>
      </c>
      <c r="X189" s="20">
        <f t="shared" si="13"/>
        <v>3.4346232681067151E-4</v>
      </c>
      <c r="Y189" s="20">
        <f t="shared" si="14"/>
        <v>9.368675381956626E-4</v>
      </c>
    </row>
    <row r="190" spans="1:25" x14ac:dyDescent="0.2">
      <c r="A190" s="7">
        <v>39777</v>
      </c>
      <c r="B190" s="7">
        <v>298</v>
      </c>
      <c r="C190" s="17">
        <f t="shared" si="10"/>
        <v>9.6319999999999997</v>
      </c>
      <c r="D190" s="18">
        <f t="shared" si="11"/>
        <v>0.29799999999999999</v>
      </c>
      <c r="E190" s="7">
        <v>80</v>
      </c>
      <c r="V190" s="18">
        <v>0.188</v>
      </c>
      <c r="W190" s="20">
        <f t="shared" si="12"/>
        <v>0.16085856295421105</v>
      </c>
      <c r="X190" s="20">
        <f t="shared" si="13"/>
        <v>3.4493018136051018E-4</v>
      </c>
      <c r="Y190" s="20">
        <f t="shared" si="14"/>
        <v>1.9963338168336175E-3</v>
      </c>
    </row>
    <row r="191" spans="1:25" x14ac:dyDescent="0.2">
      <c r="A191" s="7">
        <v>39809</v>
      </c>
      <c r="B191" s="7">
        <v>295</v>
      </c>
      <c r="C191" s="17">
        <f t="shared" si="10"/>
        <v>9.6639999999999997</v>
      </c>
      <c r="D191" s="18">
        <f t="shared" si="11"/>
        <v>0.29499999999999998</v>
      </c>
      <c r="E191" s="7">
        <v>80</v>
      </c>
      <c r="V191" s="18">
        <v>0.189</v>
      </c>
      <c r="W191" s="20">
        <f t="shared" si="12"/>
        <v>0.1608589090572598</v>
      </c>
      <c r="X191" s="20">
        <f t="shared" si="13"/>
        <v>3.4744999280122285E-4</v>
      </c>
      <c r="Y191" s="20">
        <f t="shared" si="14"/>
        <v>3.0407951607791528E-3</v>
      </c>
    </row>
    <row r="192" spans="1:25" x14ac:dyDescent="0.2">
      <c r="A192" s="7">
        <v>39878</v>
      </c>
      <c r="B192" s="7">
        <v>290</v>
      </c>
      <c r="C192" s="17">
        <f t="shared" si="10"/>
        <v>9.7330000000000005</v>
      </c>
      <c r="D192" s="18">
        <f t="shared" si="11"/>
        <v>0.28999999999999998</v>
      </c>
      <c r="E192" s="7">
        <v>80</v>
      </c>
      <c r="V192" s="18">
        <v>0.19</v>
      </c>
      <c r="W192" s="20">
        <f t="shared" si="12"/>
        <v>0.16085925819986022</v>
      </c>
      <c r="X192" s="20">
        <f t="shared" si="13"/>
        <v>3.5100679769391879E-4</v>
      </c>
      <c r="Y192" s="20">
        <f t="shared" si="14"/>
        <v>4.0703345349011322E-3</v>
      </c>
    </row>
    <row r="193" spans="1:25" x14ac:dyDescent="0.2">
      <c r="A193" s="7">
        <v>39909</v>
      </c>
      <c r="B193" s="7">
        <v>287</v>
      </c>
      <c r="C193" s="17">
        <f t="shared" si="10"/>
        <v>9.7639999999999993</v>
      </c>
      <c r="D193" s="18">
        <f t="shared" si="11"/>
        <v>0.28699999999999998</v>
      </c>
      <c r="E193" s="7">
        <v>80</v>
      </c>
      <c r="V193" s="18">
        <v>0.191</v>
      </c>
      <c r="W193" s="20">
        <f t="shared" si="12"/>
        <v>0.16085961141155858</v>
      </c>
      <c r="X193" s="20">
        <f t="shared" si="13"/>
        <v>3.5558571548415657E-4</v>
      </c>
      <c r="Y193" s="20">
        <f t="shared" si="14"/>
        <v>5.0850347430997367E-3</v>
      </c>
    </row>
    <row r="194" spans="1:25" x14ac:dyDescent="0.2">
      <c r="A194" s="7">
        <v>39979</v>
      </c>
      <c r="B194" s="7">
        <v>281</v>
      </c>
      <c r="C194" s="17">
        <f t="shared" si="10"/>
        <v>9.8339999999999996</v>
      </c>
      <c r="D194" s="18">
        <f t="shared" si="11"/>
        <v>0.28100000000000003</v>
      </c>
      <c r="E194" s="7">
        <v>95</v>
      </c>
      <c r="V194" s="18">
        <v>0.192</v>
      </c>
      <c r="W194" s="20">
        <f t="shared" si="12"/>
        <v>0.16085996970706196</v>
      </c>
      <c r="X194" s="20">
        <f t="shared" si="13"/>
        <v>3.6117194834092009E-4</v>
      </c>
      <c r="Y194" s="20">
        <f t="shared" si="14"/>
        <v>6.0849784283074637E-3</v>
      </c>
    </row>
    <row r="195" spans="1:25" x14ac:dyDescent="0.2">
      <c r="A195" s="7">
        <v>40011</v>
      </c>
      <c r="B195" s="7">
        <v>279</v>
      </c>
      <c r="C195" s="17">
        <f t="shared" ref="C195:C258" si="15">($A195-$A$2)/1000</f>
        <v>9.8659999999999997</v>
      </c>
      <c r="D195" s="18">
        <f t="shared" ref="D195:D258" si="16">$B195/1000</f>
        <v>0.27900000000000003</v>
      </c>
      <c r="E195" s="7">
        <v>100</v>
      </c>
      <c r="V195" s="18">
        <v>0.193</v>
      </c>
      <c r="W195" s="20">
        <f t="shared" ref="W195:W258" si="17" xml:space="preserve"> -0.223567093536985*V195^6 + 0.944228289125022*V195^5 - 1.39425331473467*V195^4 + 0.919786041369661*V195^3 - 0.280641903613287*V195^2 + 0.0398143416441599*V195 + 0.158710616051081</f>
        <v>0.16086033408632094</v>
      </c>
      <c r="X195" s="20">
        <f t="shared" ref="X195:X258" si="18" xml:space="preserve"> 6*-0.223567093536985*V195^5 + 5*0.944228289125022*V195^4 - 4*1.39425331473467*V195^3 + 3*0.919786041369661*V195^2 - 2*0.280641903613287*V195^1 + 0.0398143416441599</f>
        <v>3.6775078099556685E-4</v>
      </c>
      <c r="Y195" s="20">
        <f t="shared" ref="Y195:Y258" si="19" xml:space="preserve"> 5*6*-0.223567093536985*V195^4 + 4*5*0.944228289125022*V195^3 - 3*4*1.39425331473467*V195^2 + 2*3*0.919786041369661*V195^1 - 2*0.280641903613287</f>
        <v>7.0702480724877947E-3</v>
      </c>
    </row>
    <row r="196" spans="1:25" x14ac:dyDescent="0.2">
      <c r="A196" s="7">
        <v>40080</v>
      </c>
      <c r="B196" s="7">
        <v>273</v>
      </c>
      <c r="C196" s="17">
        <f t="shared" si="15"/>
        <v>9.9350000000000005</v>
      </c>
      <c r="D196" s="18">
        <f t="shared" si="16"/>
        <v>0.27300000000000002</v>
      </c>
      <c r="E196" s="7">
        <v>100</v>
      </c>
      <c r="V196" s="18">
        <v>0.19400000000000001</v>
      </c>
      <c r="W196" s="20">
        <f t="shared" si="17"/>
        <v>0.16086070553461201</v>
      </c>
      <c r="X196" s="20">
        <f t="shared" si="18"/>
        <v>3.7530758058101216E-4</v>
      </c>
      <c r="Y196" s="20">
        <f t="shared" si="19"/>
        <v>8.0409259966365276E-3</v>
      </c>
    </row>
    <row r="197" spans="1:25" x14ac:dyDescent="0.2">
      <c r="A197" s="7">
        <v>40111</v>
      </c>
      <c r="B197" s="7">
        <v>269</v>
      </c>
      <c r="C197" s="17">
        <f t="shared" si="15"/>
        <v>9.9659999999999993</v>
      </c>
      <c r="D197" s="18">
        <f t="shared" si="16"/>
        <v>0.26900000000000002</v>
      </c>
      <c r="E197" s="7">
        <v>100</v>
      </c>
      <c r="V197" s="18">
        <v>0.19500000000000001</v>
      </c>
      <c r="W197" s="20">
        <f t="shared" si="17"/>
        <v>0.16086108502261995</v>
      </c>
      <c r="X197" s="20">
        <f t="shared" si="18"/>
        <v>3.8382779647063575E-4</v>
      </c>
      <c r="Y197" s="20">
        <f t="shared" si="19"/>
        <v>8.9970943607807774E-3</v>
      </c>
    </row>
    <row r="198" spans="1:25" x14ac:dyDescent="0.2">
      <c r="A198" s="7">
        <v>40181</v>
      </c>
      <c r="B198" s="7">
        <v>265</v>
      </c>
      <c r="C198" s="17">
        <f t="shared" si="15"/>
        <v>10.036</v>
      </c>
      <c r="D198" s="18">
        <f t="shared" si="16"/>
        <v>0.26500000000000001</v>
      </c>
      <c r="E198" s="7">
        <v>100</v>
      </c>
      <c r="V198" s="18">
        <v>0.19600000000000001</v>
      </c>
      <c r="W198" s="20">
        <f t="shared" si="17"/>
        <v>0.16086147350651997</v>
      </c>
      <c r="X198" s="20">
        <f t="shared" si="18"/>
        <v>3.9329696011739662E-4</v>
      </c>
      <c r="Y198" s="20">
        <f t="shared" si="19"/>
        <v>9.9388351639793093E-3</v>
      </c>
    </row>
    <row r="199" spans="1:25" x14ac:dyDescent="0.2">
      <c r="A199" s="7">
        <v>40213</v>
      </c>
      <c r="B199" s="7">
        <v>262</v>
      </c>
      <c r="C199" s="17">
        <f t="shared" si="15"/>
        <v>10.068</v>
      </c>
      <c r="D199" s="18">
        <f t="shared" si="16"/>
        <v>0.26200000000000001</v>
      </c>
      <c r="E199" s="7">
        <v>100</v>
      </c>
      <c r="V199" s="18">
        <v>0.19700000000000001</v>
      </c>
      <c r="W199" s="20">
        <f t="shared" si="17"/>
        <v>0.16086187192805965</v>
      </c>
      <c r="X199" s="20">
        <f t="shared" si="18"/>
        <v>4.0370068489273964E-4</v>
      </c>
      <c r="Y199" s="20">
        <f t="shared" si="19"/>
        <v>1.0866230244323205E-2</v>
      </c>
    </row>
    <row r="200" spans="1:25" x14ac:dyDescent="0.2">
      <c r="A200" s="7">
        <v>40282</v>
      </c>
      <c r="B200" s="7">
        <v>259</v>
      </c>
      <c r="C200" s="17">
        <f t="shared" si="15"/>
        <v>10.137</v>
      </c>
      <c r="D200" s="18">
        <f t="shared" si="16"/>
        <v>0.25900000000000001</v>
      </c>
      <c r="E200" s="7">
        <v>100</v>
      </c>
      <c r="V200" s="18">
        <v>0.19800000000000001</v>
      </c>
      <c r="W200" s="20">
        <f t="shared" si="17"/>
        <v>0.16086228121464091</v>
      </c>
      <c r="X200" s="20">
        <f t="shared" si="18"/>
        <v>4.1502466592587689E-4</v>
      </c>
      <c r="Y200" s="20">
        <f t="shared" si="19"/>
        <v>1.1779361278934308E-2</v>
      </c>
    </row>
    <row r="201" spans="1:25" x14ac:dyDescent="0.2">
      <c r="A201" s="7">
        <v>40313</v>
      </c>
      <c r="B201" s="7">
        <v>259</v>
      </c>
      <c r="C201" s="17">
        <f t="shared" si="15"/>
        <v>10.167999999999999</v>
      </c>
      <c r="D201" s="18">
        <f t="shared" si="16"/>
        <v>0.25900000000000001</v>
      </c>
      <c r="E201" s="7">
        <v>100</v>
      </c>
      <c r="V201" s="18">
        <v>0.19900000000000001</v>
      </c>
      <c r="W201" s="20">
        <f t="shared" si="17"/>
        <v>0.16086270227940161</v>
      </c>
      <c r="X201" s="20">
        <f t="shared" si="18"/>
        <v>4.2725467994254168E-4</v>
      </c>
      <c r="Y201" s="20">
        <f t="shared" si="19"/>
        <v>1.2678309783966668E-2</v>
      </c>
    </row>
    <row r="202" spans="1:25" x14ac:dyDescent="0.2">
      <c r="A202" s="7">
        <v>40383</v>
      </c>
      <c r="B202" s="7">
        <v>259</v>
      </c>
      <c r="C202" s="17">
        <f t="shared" si="15"/>
        <v>10.238</v>
      </c>
      <c r="D202" s="18">
        <f t="shared" si="16"/>
        <v>0.25900000000000001</v>
      </c>
      <c r="E202" s="7">
        <v>100</v>
      </c>
      <c r="V202" s="18">
        <v>0.2</v>
      </c>
      <c r="W202" s="20">
        <f t="shared" si="17"/>
        <v>0.16086313602129695</v>
      </c>
      <c r="X202" s="20">
        <f t="shared" si="18"/>
        <v>4.4037658510415884E-4</v>
      </c>
      <c r="Y202" s="20">
        <f t="shared" si="19"/>
        <v>1.3563157114605762E-2</v>
      </c>
    </row>
    <row r="203" spans="1:25" x14ac:dyDescent="0.2">
      <c r="A203" s="7">
        <v>40415</v>
      </c>
      <c r="B203" s="7">
        <v>257</v>
      </c>
      <c r="C203" s="17">
        <f t="shared" si="15"/>
        <v>10.27</v>
      </c>
      <c r="D203" s="18">
        <f t="shared" si="16"/>
        <v>0.25700000000000001</v>
      </c>
      <c r="E203" s="7">
        <v>100</v>
      </c>
      <c r="V203" s="18">
        <v>0.20100000000000001</v>
      </c>
      <c r="W203" s="20">
        <f t="shared" si="17"/>
        <v>0.16086358332518111</v>
      </c>
      <c r="X203" s="20">
        <f t="shared" si="18"/>
        <v>4.543763208468346E-4</v>
      </c>
      <c r="Y203" s="20">
        <f t="shared" si="19"/>
        <v>1.4433984465069605E-2</v>
      </c>
    </row>
    <row r="204" spans="1:25" x14ac:dyDescent="0.2">
      <c r="A204" s="7">
        <v>40484</v>
      </c>
      <c r="B204" s="7">
        <v>258</v>
      </c>
      <c r="C204" s="17">
        <f t="shared" si="15"/>
        <v>10.339</v>
      </c>
      <c r="D204" s="18">
        <f t="shared" si="16"/>
        <v>0.25800000000000001</v>
      </c>
      <c r="E204" s="7">
        <v>100</v>
      </c>
      <c r="V204" s="18">
        <v>0.20200000000000001</v>
      </c>
      <c r="W204" s="20">
        <f t="shared" si="17"/>
        <v>0.16086404506188812</v>
      </c>
      <c r="X204" s="20">
        <f t="shared" si="18"/>
        <v>4.6923990772045759E-4</v>
      </c>
      <c r="Y204" s="20">
        <f t="shared" si="19"/>
        <v>1.5290872868606975E-2</v>
      </c>
    </row>
    <row r="205" spans="1:25" x14ac:dyDescent="0.2">
      <c r="A205" s="7">
        <v>40515</v>
      </c>
      <c r="B205" s="7">
        <v>262</v>
      </c>
      <c r="C205" s="17">
        <f t="shared" si="15"/>
        <v>10.37</v>
      </c>
      <c r="D205" s="18">
        <f t="shared" si="16"/>
        <v>0.26200000000000001</v>
      </c>
      <c r="E205" s="7">
        <v>100</v>
      </c>
      <c r="V205" s="18">
        <v>0.20300000000000001</v>
      </c>
      <c r="W205" s="20">
        <f t="shared" si="17"/>
        <v>0.1608645220883132</v>
      </c>
      <c r="X205" s="20">
        <f t="shared" si="18"/>
        <v>4.8495344722760542E-4</v>
      </c>
      <c r="Y205" s="20">
        <f t="shared" si="19"/>
        <v>1.6133903197498634E-2</v>
      </c>
    </row>
    <row r="206" spans="1:25" x14ac:dyDescent="0.2">
      <c r="A206" s="7">
        <v>40585</v>
      </c>
      <c r="B206" s="7">
        <v>264</v>
      </c>
      <c r="C206" s="17">
        <f t="shared" si="15"/>
        <v>10.44</v>
      </c>
      <c r="D206" s="18">
        <f t="shared" si="16"/>
        <v>0.26400000000000001</v>
      </c>
      <c r="E206" s="7">
        <v>100</v>
      </c>
      <c r="V206" s="18">
        <v>0.20399999999999999</v>
      </c>
      <c r="W206" s="20">
        <f t="shared" si="17"/>
        <v>0.16086501524749333</v>
      </c>
      <c r="X206" s="20">
        <f t="shared" si="18"/>
        <v>5.0150312166278438E-4</v>
      </c>
      <c r="Y206" s="20">
        <f t="shared" si="19"/>
        <v>1.6963156163056992E-2</v>
      </c>
    </row>
    <row r="207" spans="1:25" x14ac:dyDescent="0.2">
      <c r="A207" s="7">
        <v>40617</v>
      </c>
      <c r="B207" s="7">
        <v>264</v>
      </c>
      <c r="C207" s="17">
        <f t="shared" si="15"/>
        <v>10.472</v>
      </c>
      <c r="D207" s="18">
        <f t="shared" si="16"/>
        <v>0.26400000000000001</v>
      </c>
      <c r="E207" s="7">
        <v>100</v>
      </c>
      <c r="V207" s="18">
        <v>0.20499999999999999</v>
      </c>
      <c r="W207" s="20">
        <f t="shared" si="17"/>
        <v>0.16086552536868823</v>
      </c>
      <c r="X207" s="20">
        <f t="shared" si="18"/>
        <v>5.1887519395119736E-4</v>
      </c>
      <c r="Y207" s="20">
        <f t="shared" si="19"/>
        <v>1.7778712315626222E-2</v>
      </c>
    </row>
    <row r="208" spans="1:25" x14ac:dyDescent="0.2">
      <c r="A208" s="7">
        <v>40686</v>
      </c>
      <c r="B208" s="7">
        <v>268</v>
      </c>
      <c r="C208" s="17">
        <f t="shared" si="15"/>
        <v>10.541</v>
      </c>
      <c r="D208" s="18">
        <f t="shared" si="16"/>
        <v>0.26800000000000002</v>
      </c>
      <c r="E208" s="7">
        <v>100</v>
      </c>
      <c r="V208" s="18">
        <v>0.20599999999999999</v>
      </c>
      <c r="W208" s="20">
        <f t="shared" si="17"/>
        <v>0.16086605326746076</v>
      </c>
      <c r="X208" s="20">
        <f t="shared" si="18"/>
        <v>5.3705600748796961E-4</v>
      </c>
      <c r="Y208" s="20">
        <f t="shared" si="19"/>
        <v>1.8580652044581925E-2</v>
      </c>
    </row>
    <row r="209" spans="1:25" x14ac:dyDescent="0.2">
      <c r="A209" s="7">
        <v>40718</v>
      </c>
      <c r="B209" s="7">
        <v>273</v>
      </c>
      <c r="C209" s="17">
        <f t="shared" si="15"/>
        <v>10.573</v>
      </c>
      <c r="D209" s="18">
        <f t="shared" si="16"/>
        <v>0.27300000000000002</v>
      </c>
      <c r="E209" s="7">
        <v>100</v>
      </c>
      <c r="V209" s="18">
        <v>0.20699999999999999</v>
      </c>
      <c r="W209" s="20">
        <f t="shared" si="17"/>
        <v>0.16086659974575732</v>
      </c>
      <c r="X209" s="20">
        <f t="shared" si="18"/>
        <v>5.560319859770832E-4</v>
      </c>
      <c r="Y209" s="20">
        <f t="shared" si="19"/>
        <v>1.9369055578331795E-2</v>
      </c>
    </row>
    <row r="210" spans="1:25" x14ac:dyDescent="0.2">
      <c r="A210" s="7">
        <v>40787</v>
      </c>
      <c r="B210" s="7">
        <v>278</v>
      </c>
      <c r="C210" s="17">
        <f t="shared" si="15"/>
        <v>10.641999999999999</v>
      </c>
      <c r="D210" s="18">
        <f t="shared" si="16"/>
        <v>0.27800000000000002</v>
      </c>
      <c r="E210" s="7">
        <v>100</v>
      </c>
      <c r="V210" s="18">
        <v>0.20799999999999999</v>
      </c>
      <c r="W210" s="20">
        <f t="shared" si="17"/>
        <v>0.16086716559198808</v>
      </c>
      <c r="X210" s="20">
        <f t="shared" si="18"/>
        <v>5.7578963327047789E-4</v>
      </c>
      <c r="Y210" s="20">
        <f t="shared" si="19"/>
        <v>2.0144002984315401E-2</v>
      </c>
    </row>
    <row r="211" spans="1:25" x14ac:dyDescent="0.2">
      <c r="A211" s="7">
        <v>40819</v>
      </c>
      <c r="B211" s="7">
        <v>278</v>
      </c>
      <c r="C211" s="17">
        <f t="shared" si="15"/>
        <v>10.673999999999999</v>
      </c>
      <c r="D211" s="18">
        <f t="shared" si="16"/>
        <v>0.27800000000000002</v>
      </c>
      <c r="E211" s="7">
        <v>100</v>
      </c>
      <c r="V211" s="18">
        <v>0.20899999999999999</v>
      </c>
      <c r="W211" s="20">
        <f t="shared" si="17"/>
        <v>0.16086775158110717</v>
      </c>
      <c r="X211" s="20">
        <f t="shared" si="18"/>
        <v>5.9631553320705494E-4</v>
      </c>
      <c r="Y211" s="20">
        <f t="shared" si="19"/>
        <v>2.0905574169003294E-2</v>
      </c>
    </row>
    <row r="212" spans="1:25" x14ac:dyDescent="0.2">
      <c r="A212" s="7">
        <v>40879</v>
      </c>
      <c r="B212" s="7">
        <v>284</v>
      </c>
      <c r="C212" s="17">
        <f t="shared" si="15"/>
        <v>10.734</v>
      </c>
      <c r="D212" s="18">
        <f t="shared" si="16"/>
        <v>0.28399999999999997</v>
      </c>
      <c r="E212" s="7">
        <v>80</v>
      </c>
      <c r="V212" s="18">
        <v>0.21</v>
      </c>
      <c r="W212" s="20">
        <f t="shared" si="17"/>
        <v>0.16086835847469239</v>
      </c>
      <c r="X212" s="20">
        <f t="shared" si="18"/>
        <v>6.175963494516809E-4</v>
      </c>
      <c r="Y212" s="20">
        <f t="shared" si="19"/>
        <v>2.1653848877898341E-2</v>
      </c>
    </row>
    <row r="213" spans="1:25" x14ac:dyDescent="0.2">
      <c r="A213" s="7">
        <v>40948</v>
      </c>
      <c r="B213" s="7">
        <v>288</v>
      </c>
      <c r="C213" s="17">
        <f t="shared" si="15"/>
        <v>10.803000000000001</v>
      </c>
      <c r="D213" s="18">
        <f t="shared" si="16"/>
        <v>0.28799999999999998</v>
      </c>
      <c r="E213" s="7">
        <v>80</v>
      </c>
      <c r="V213" s="18">
        <v>0.21099999999999999</v>
      </c>
      <c r="W213" s="20">
        <f t="shared" si="17"/>
        <v>0.16086898702102506</v>
      </c>
      <c r="X213" s="20">
        <f t="shared" si="18"/>
        <v>6.3961882533423303E-4</v>
      </c>
      <c r="Y213" s="20">
        <f t="shared" si="19"/>
        <v>2.2388906695534394E-2</v>
      </c>
    </row>
    <row r="214" spans="1:25" x14ac:dyDescent="0.2">
      <c r="A214" s="7">
        <v>40980</v>
      </c>
      <c r="B214" s="7">
        <v>294</v>
      </c>
      <c r="C214" s="17">
        <f t="shared" si="15"/>
        <v>10.835000000000001</v>
      </c>
      <c r="D214" s="18">
        <f t="shared" si="16"/>
        <v>0.29399999999999998</v>
      </c>
      <c r="E214" s="7">
        <v>80</v>
      </c>
      <c r="V214" s="18">
        <v>0.21199999999999999</v>
      </c>
      <c r="W214" s="20">
        <f t="shared" si="17"/>
        <v>0.16086963795516968</v>
      </c>
      <c r="X214" s="20">
        <f t="shared" si="18"/>
        <v>6.6236978368865856E-4</v>
      </c>
      <c r="Y214" s="20">
        <f t="shared" si="19"/>
        <v>2.3110827045477844E-2</v>
      </c>
    </row>
    <row r="215" spans="1:25" x14ac:dyDescent="0.2">
      <c r="A215" s="7">
        <v>41049</v>
      </c>
      <c r="B215" s="7">
        <v>298</v>
      </c>
      <c r="C215" s="17">
        <f t="shared" si="15"/>
        <v>10.904</v>
      </c>
      <c r="D215" s="18">
        <f t="shared" si="16"/>
        <v>0.29799999999999999</v>
      </c>
      <c r="E215" s="7">
        <v>80</v>
      </c>
      <c r="V215" s="18">
        <v>0.21299999999999999</v>
      </c>
      <c r="W215" s="20">
        <f t="shared" si="17"/>
        <v>0.16087031199905311</v>
      </c>
      <c r="X215" s="20">
        <f t="shared" si="18"/>
        <v>6.8583612669193689E-4</v>
      </c>
      <c r="Y215" s="20">
        <f t="shared" si="19"/>
        <v>2.3819689190326399E-2</v>
      </c>
    </row>
    <row r="216" spans="1:25" x14ac:dyDescent="0.2">
      <c r="A216" s="7">
        <v>41081</v>
      </c>
      <c r="B216" s="7">
        <v>298</v>
      </c>
      <c r="C216" s="17">
        <f t="shared" si="15"/>
        <v>10.936</v>
      </c>
      <c r="D216" s="18">
        <f t="shared" si="16"/>
        <v>0.29799999999999999</v>
      </c>
      <c r="E216" s="7">
        <v>80</v>
      </c>
      <c r="V216" s="18">
        <v>0.214</v>
      </c>
      <c r="W216" s="20">
        <f t="shared" si="17"/>
        <v>0.16087100986154418</v>
      </c>
      <c r="X216" s="20">
        <f t="shared" si="18"/>
        <v>7.1000483570326373E-4</v>
      </c>
      <c r="Y216" s="20">
        <f t="shared" si="19"/>
        <v>2.4515572231709193E-2</v>
      </c>
    </row>
    <row r="217" spans="1:25" x14ac:dyDescent="0.2">
      <c r="A217" s="7">
        <v>41150</v>
      </c>
      <c r="B217" s="7">
        <v>302</v>
      </c>
      <c r="C217" s="17">
        <f t="shared" si="15"/>
        <v>11.005000000000001</v>
      </c>
      <c r="D217" s="18">
        <f t="shared" si="16"/>
        <v>0.30199999999999999</v>
      </c>
      <c r="E217" s="7">
        <v>80</v>
      </c>
      <c r="V217" s="18">
        <v>0.215</v>
      </c>
      <c r="W217" s="20">
        <f t="shared" si="17"/>
        <v>0.16087173223853246</v>
      </c>
      <c r="X217" s="20">
        <f t="shared" si="18"/>
        <v>7.3486297110287452E-4</v>
      </c>
      <c r="Y217" s="20">
        <f t="shared" si="19"/>
        <v>2.5198555110287568E-2</v>
      </c>
    </row>
    <row r="218" spans="1:25" x14ac:dyDescent="0.2">
      <c r="A218" s="7">
        <v>41182</v>
      </c>
      <c r="B218" s="7">
        <v>305</v>
      </c>
      <c r="C218" s="17">
        <f t="shared" si="15"/>
        <v>11.037000000000001</v>
      </c>
      <c r="D218" s="18">
        <f t="shared" si="16"/>
        <v>0.30499999999999999</v>
      </c>
      <c r="E218" s="7">
        <v>80</v>
      </c>
      <c r="V218" s="18">
        <v>0.216</v>
      </c>
      <c r="W218" s="20">
        <f t="shared" si="17"/>
        <v>0.16087247981300737</v>
      </c>
      <c r="X218" s="20">
        <f t="shared" si="18"/>
        <v>7.6039767213124249E-4</v>
      </c>
      <c r="Y218" s="20">
        <f t="shared" si="19"/>
        <v>2.5868716605754072E-2</v>
      </c>
    </row>
    <row r="219" spans="1:25" x14ac:dyDescent="0.2">
      <c r="A219" s="7">
        <v>41251</v>
      </c>
      <c r="B219" s="7">
        <v>306</v>
      </c>
      <c r="C219" s="17">
        <f t="shared" si="15"/>
        <v>11.106</v>
      </c>
      <c r="D219" s="18">
        <f t="shared" si="16"/>
        <v>0.30599999999999999</v>
      </c>
      <c r="E219" s="7">
        <v>80</v>
      </c>
      <c r="V219" s="18">
        <v>0.217</v>
      </c>
      <c r="W219" s="20">
        <f t="shared" si="17"/>
        <v>0.16087325325513702</v>
      </c>
      <c r="X219" s="20">
        <f t="shared" si="18"/>
        <v>7.8659615672802691E-4</v>
      </c>
      <c r="Y219" s="20">
        <f t="shared" si="19"/>
        <v>2.6526135336833234E-2</v>
      </c>
    </row>
    <row r="220" spans="1:25" x14ac:dyDescent="0.2">
      <c r="A220" s="7">
        <v>41283</v>
      </c>
      <c r="B220" s="7">
        <v>304</v>
      </c>
      <c r="C220" s="17">
        <f t="shared" si="15"/>
        <v>11.138</v>
      </c>
      <c r="D220" s="18">
        <f t="shared" si="16"/>
        <v>0.30399999999999999</v>
      </c>
      <c r="E220" s="7">
        <v>80</v>
      </c>
      <c r="V220" s="18">
        <v>0.218</v>
      </c>
      <c r="W220" s="20">
        <f t="shared" si="17"/>
        <v>0.16087405322234666</v>
      </c>
      <c r="X220" s="20">
        <f t="shared" si="18"/>
        <v>8.1344572137114629E-4</v>
      </c>
      <c r="Y220" s="20">
        <f t="shared" si="19"/>
        <v>2.7170889761281347E-2</v>
      </c>
    </row>
    <row r="221" spans="1:25" x14ac:dyDescent="0.2">
      <c r="A221" s="7">
        <v>41352</v>
      </c>
      <c r="B221" s="7">
        <v>304</v>
      </c>
      <c r="C221" s="17">
        <f t="shared" si="15"/>
        <v>11.207000000000001</v>
      </c>
      <c r="D221" s="18">
        <f t="shared" si="16"/>
        <v>0.30399999999999999</v>
      </c>
      <c r="E221" s="7">
        <v>80</v>
      </c>
      <c r="V221" s="18">
        <v>0.219</v>
      </c>
      <c r="W221" s="20">
        <f t="shared" si="17"/>
        <v>0.1608748803593972</v>
      </c>
      <c r="X221" s="20">
        <f t="shared" si="18"/>
        <v>8.409337409157544E-4</v>
      </c>
      <c r="Y221" s="20">
        <f t="shared" si="19"/>
        <v>2.7803058175886131E-2</v>
      </c>
    </row>
    <row r="222" spans="1:25" x14ac:dyDescent="0.2">
      <c r="A222" s="7">
        <v>41384</v>
      </c>
      <c r="B222" s="7">
        <v>303</v>
      </c>
      <c r="C222" s="17">
        <f t="shared" si="15"/>
        <v>11.239000000000001</v>
      </c>
      <c r="D222" s="18">
        <f t="shared" si="16"/>
        <v>0.30299999999999999</v>
      </c>
      <c r="E222" s="7">
        <v>80</v>
      </c>
      <c r="V222" s="18">
        <v>0.22</v>
      </c>
      <c r="W222" s="20">
        <f t="shared" si="17"/>
        <v>0.16087573529846361</v>
      </c>
      <c r="X222" s="20">
        <f t="shared" si="18"/>
        <v>8.6904766843336895E-4</v>
      </c>
      <c r="Y222" s="20">
        <f t="shared" si="19"/>
        <v>2.8422718716467066E-2</v>
      </c>
    </row>
    <row r="223" spans="1:25" x14ac:dyDescent="0.2">
      <c r="A223" s="7">
        <v>41453</v>
      </c>
      <c r="B223" s="7">
        <v>299</v>
      </c>
      <c r="C223" s="17">
        <f t="shared" si="15"/>
        <v>11.308</v>
      </c>
      <c r="D223" s="18">
        <f t="shared" si="16"/>
        <v>0.29899999999999999</v>
      </c>
      <c r="E223" s="7">
        <v>80</v>
      </c>
      <c r="V223" s="18">
        <v>0.221</v>
      </c>
      <c r="W223" s="20">
        <f t="shared" si="17"/>
        <v>0.16087661865921291</v>
      </c>
      <c r="X223" s="20">
        <f t="shared" si="18"/>
        <v>8.9777503505079209E-4</v>
      </c>
      <c r="Y223" s="20">
        <f t="shared" si="19"/>
        <v>2.9029949357875284E-2</v>
      </c>
    </row>
    <row r="224" spans="1:25" x14ac:dyDescent="0.2">
      <c r="A224" s="7">
        <v>41485</v>
      </c>
      <c r="B224" s="7">
        <v>296</v>
      </c>
      <c r="C224" s="17">
        <f t="shared" si="15"/>
        <v>11.34</v>
      </c>
      <c r="D224" s="18">
        <f t="shared" si="16"/>
        <v>0.29599999999999999</v>
      </c>
      <c r="E224" s="7">
        <v>80</v>
      </c>
      <c r="V224" s="18">
        <v>0.222</v>
      </c>
      <c r="W224" s="20">
        <f t="shared" si="17"/>
        <v>0.16087753104888222</v>
      </c>
      <c r="X224" s="20">
        <f t="shared" si="18"/>
        <v>9.2710344978916975E-4</v>
      </c>
      <c r="Y224" s="20">
        <f t="shared" si="19"/>
        <v>2.9624827913994123E-2</v>
      </c>
    </row>
    <row r="225" spans="1:25" x14ac:dyDescent="0.2">
      <c r="A225" s="7">
        <v>41554</v>
      </c>
      <c r="B225" s="7">
        <v>290</v>
      </c>
      <c r="C225" s="17">
        <f t="shared" si="15"/>
        <v>11.409000000000001</v>
      </c>
      <c r="D225" s="18">
        <f t="shared" si="16"/>
        <v>0.28999999999999998</v>
      </c>
      <c r="E225" s="7">
        <v>80</v>
      </c>
      <c r="V225" s="18">
        <v>0.223</v>
      </c>
      <c r="W225" s="20">
        <f t="shared" si="17"/>
        <v>0.16087847306235659</v>
      </c>
      <c r="X225" s="20">
        <f t="shared" si="18"/>
        <v>9.5702059940307865E-4</v>
      </c>
      <c r="Y225" s="20">
        <f t="shared" si="19"/>
        <v>3.0207432037737902E-2</v>
      </c>
    </row>
    <row r="226" spans="1:25" x14ac:dyDescent="0.2">
      <c r="A226" s="7">
        <v>41585</v>
      </c>
      <c r="B226" s="7">
        <v>287</v>
      </c>
      <c r="C226" s="17">
        <f t="shared" si="15"/>
        <v>11.44</v>
      </c>
      <c r="D226" s="18">
        <f t="shared" si="16"/>
        <v>0.28699999999999998</v>
      </c>
      <c r="E226" s="7">
        <v>80</v>
      </c>
      <c r="V226" s="18">
        <v>0.224</v>
      </c>
      <c r="W226" s="20">
        <f t="shared" si="17"/>
        <v>0.16087944528224657</v>
      </c>
      <c r="X226" s="20">
        <f t="shared" si="18"/>
        <v>9.8751424821961337E-4</v>
      </c>
      <c r="Y226" s="20">
        <f t="shared" si="19"/>
        <v>3.0777839221053038E-2</v>
      </c>
    </row>
    <row r="227" spans="1:25" x14ac:dyDescent="0.2">
      <c r="A227" s="7">
        <v>41655</v>
      </c>
      <c r="B227" s="7">
        <v>281</v>
      </c>
      <c r="C227" s="17">
        <f t="shared" si="15"/>
        <v>11.51</v>
      </c>
      <c r="D227" s="18">
        <f t="shared" si="16"/>
        <v>0.28100000000000003</v>
      </c>
      <c r="E227" s="7">
        <v>95</v>
      </c>
      <c r="V227" s="18">
        <v>0.22500000000000001</v>
      </c>
      <c r="W227" s="20">
        <f t="shared" si="17"/>
        <v>0.1608804482789658</v>
      </c>
      <c r="X227" s="20">
        <f t="shared" si="18"/>
        <v>1.0185722379771542E-3</v>
      </c>
      <c r="Y227" s="20">
        <f t="shared" si="19"/>
        <v>3.1336126794917485E-2</v>
      </c>
    </row>
    <row r="228" spans="1:25" x14ac:dyDescent="0.2">
      <c r="A228" s="7">
        <v>41687</v>
      </c>
      <c r="B228" s="7">
        <v>278</v>
      </c>
      <c r="C228" s="17">
        <f t="shared" si="15"/>
        <v>11.542</v>
      </c>
      <c r="D228" s="18">
        <f t="shared" si="16"/>
        <v>0.27800000000000002</v>
      </c>
      <c r="E228" s="7">
        <v>100</v>
      </c>
      <c r="V228" s="18">
        <v>0.22600000000000001</v>
      </c>
      <c r="W228" s="20">
        <f t="shared" si="17"/>
        <v>0.16088148261080831</v>
      </c>
      <c r="X228" s="20">
        <f t="shared" si="18"/>
        <v>1.0501824876647733E-3</v>
      </c>
      <c r="Y228" s="20">
        <f t="shared" si="19"/>
        <v>3.1882371929340847E-2</v>
      </c>
    </row>
    <row r="229" spans="1:25" x14ac:dyDescent="0.2">
      <c r="A229" s="7">
        <v>41756</v>
      </c>
      <c r="B229" s="7">
        <v>270</v>
      </c>
      <c r="C229" s="17">
        <f t="shared" si="15"/>
        <v>11.611000000000001</v>
      </c>
      <c r="D229" s="18">
        <f t="shared" si="16"/>
        <v>0.27</v>
      </c>
      <c r="E229" s="7">
        <v>100</v>
      </c>
      <c r="V229" s="18">
        <v>0.22700000000000001</v>
      </c>
      <c r="W229" s="20">
        <f t="shared" si="17"/>
        <v>0.16088254882402561</v>
      </c>
      <c r="X229" s="20">
        <f t="shared" si="18"/>
        <v>1.0823329933608364E-3</v>
      </c>
      <c r="Y229" s="20">
        <f t="shared" si="19"/>
        <v>3.2416651633364602E-2</v>
      </c>
    </row>
    <row r="230" spans="1:25" x14ac:dyDescent="0.2">
      <c r="A230" s="7">
        <v>41788</v>
      </c>
      <c r="B230" s="7">
        <v>269</v>
      </c>
      <c r="C230" s="17">
        <f t="shared" si="15"/>
        <v>11.643000000000001</v>
      </c>
      <c r="D230" s="18">
        <f t="shared" si="16"/>
        <v>0.26900000000000002</v>
      </c>
      <c r="E230" s="7">
        <v>100</v>
      </c>
      <c r="V230" s="18">
        <v>0.22800000000000001</v>
      </c>
      <c r="W230" s="20">
        <f t="shared" si="17"/>
        <v>0.16088364745290384</v>
      </c>
      <c r="X230" s="20">
        <f t="shared" si="18"/>
        <v>1.1150118280725055E-3</v>
      </c>
      <c r="Y230" s="20">
        <f t="shared" si="19"/>
        <v>3.2939042755061987E-2</v>
      </c>
    </row>
    <row r="231" spans="1:25" x14ac:dyDescent="0.2">
      <c r="A231" s="7">
        <v>41857</v>
      </c>
      <c r="B231" s="7">
        <v>263</v>
      </c>
      <c r="C231" s="17">
        <f t="shared" si="15"/>
        <v>11.712</v>
      </c>
      <c r="D231" s="18">
        <f t="shared" si="16"/>
        <v>0.26300000000000001</v>
      </c>
      <c r="E231" s="7">
        <v>100</v>
      </c>
      <c r="V231" s="18">
        <v>0.22900000000000001</v>
      </c>
      <c r="W231" s="20">
        <f t="shared" si="17"/>
        <v>0.1608847790198405</v>
      </c>
      <c r="X231" s="20">
        <f t="shared" si="18"/>
        <v>1.1482071415743547E-3</v>
      </c>
      <c r="Y231" s="20">
        <f t="shared" si="19"/>
        <v>3.3449621981537447E-2</v>
      </c>
    </row>
    <row r="232" spans="1:25" x14ac:dyDescent="0.2">
      <c r="A232" s="7">
        <v>41889</v>
      </c>
      <c r="B232" s="7">
        <v>259</v>
      </c>
      <c r="C232" s="17">
        <f t="shared" si="15"/>
        <v>11.744</v>
      </c>
      <c r="D232" s="18">
        <f t="shared" si="16"/>
        <v>0.25900000000000001</v>
      </c>
      <c r="E232" s="7">
        <v>100</v>
      </c>
      <c r="V232" s="18">
        <v>0.23</v>
      </c>
      <c r="W232" s="20">
        <f t="shared" si="17"/>
        <v>0.1608859440354212</v>
      </c>
      <c r="X232" s="20">
        <f t="shared" si="18"/>
        <v>1.181907160247693E-3</v>
      </c>
      <c r="Y232" s="20">
        <f t="shared" si="19"/>
        <v>3.3948465838927744E-2</v>
      </c>
    </row>
    <row r="233" spans="1:25" x14ac:dyDescent="0.2">
      <c r="A233" s="7">
        <v>41958</v>
      </c>
      <c r="B233" s="7">
        <v>256</v>
      </c>
      <c r="C233" s="17">
        <f t="shared" si="15"/>
        <v>11.813000000000001</v>
      </c>
      <c r="D233" s="18">
        <f t="shared" si="16"/>
        <v>0.25600000000000001</v>
      </c>
      <c r="E233" s="7">
        <v>100</v>
      </c>
      <c r="V233" s="18">
        <v>0.23100000000000001</v>
      </c>
      <c r="W233" s="20">
        <f t="shared" si="17"/>
        <v>0.16088714299849616</v>
      </c>
      <c r="X233" s="20">
        <f t="shared" si="18"/>
        <v>1.2161001869193597E-3</v>
      </c>
      <c r="Y233" s="20">
        <f t="shared" si="19"/>
        <v>3.4435650692400621E-2</v>
      </c>
    </row>
    <row r="234" spans="1:25" x14ac:dyDescent="0.2">
      <c r="A234" s="7">
        <v>41989</v>
      </c>
      <c r="B234" s="7">
        <v>256</v>
      </c>
      <c r="C234" s="17">
        <f t="shared" si="15"/>
        <v>11.843999999999999</v>
      </c>
      <c r="D234" s="18">
        <f t="shared" si="16"/>
        <v>0.25600000000000001</v>
      </c>
      <c r="E234" s="7">
        <v>100</v>
      </c>
      <c r="V234" s="18">
        <v>0.23200000000000001</v>
      </c>
      <c r="W234" s="20">
        <f t="shared" si="17"/>
        <v>0.16088837639625655</v>
      </c>
      <c r="X234" s="20">
        <f t="shared" si="18"/>
        <v>1.2507746007010059E-3</v>
      </c>
      <c r="Y234" s="20">
        <f t="shared" si="19"/>
        <v>3.4911252746156474E-2</v>
      </c>
    </row>
    <row r="235" spans="1:25" x14ac:dyDescent="0.2">
      <c r="A235" s="7">
        <v>42049</v>
      </c>
      <c r="B235" s="7">
        <v>255</v>
      </c>
      <c r="C235" s="17">
        <f t="shared" si="15"/>
        <v>11.904</v>
      </c>
      <c r="D235" s="18">
        <f t="shared" si="16"/>
        <v>0.255</v>
      </c>
      <c r="E235" s="7">
        <v>100</v>
      </c>
      <c r="V235" s="18">
        <v>0.23300000000000001</v>
      </c>
      <c r="W235" s="20">
        <f t="shared" si="17"/>
        <v>0.16088964470431083</v>
      </c>
      <c r="X235" s="20">
        <f t="shared" si="18"/>
        <v>1.2859188568279459E-3</v>
      </c>
      <c r="Y235" s="20">
        <f t="shared" si="19"/>
        <v>3.5375348043426569E-2</v>
      </c>
    </row>
    <row r="236" spans="1:25" x14ac:dyDescent="0.2">
      <c r="A236" s="7">
        <v>42119</v>
      </c>
      <c r="B236" s="7">
        <v>255</v>
      </c>
      <c r="C236" s="17">
        <f t="shared" si="15"/>
        <v>11.974</v>
      </c>
      <c r="D236" s="18">
        <f t="shared" si="16"/>
        <v>0.255</v>
      </c>
      <c r="E236" s="7">
        <v>100</v>
      </c>
      <c r="V236" s="18">
        <v>0.23400000000000001</v>
      </c>
      <c r="W236" s="20">
        <f t="shared" si="17"/>
        <v>0.16089094838676055</v>
      </c>
      <c r="X236" s="20">
        <f t="shared" si="18"/>
        <v>1.3215214864982297E-3</v>
      </c>
      <c r="Y236" s="20">
        <f t="shared" si="19"/>
        <v>3.5828012466474157E-2</v>
      </c>
    </row>
    <row r="237" spans="1:25" x14ac:dyDescent="0.2">
      <c r="A237" s="7">
        <v>42151</v>
      </c>
      <c r="B237" s="7">
        <v>254</v>
      </c>
      <c r="C237" s="17">
        <f t="shared" si="15"/>
        <v>12.006</v>
      </c>
      <c r="D237" s="18">
        <f t="shared" si="16"/>
        <v>0.254</v>
      </c>
      <c r="E237" s="7">
        <v>100</v>
      </c>
      <c r="V237" s="18">
        <v>0.23499999999999999</v>
      </c>
      <c r="W237" s="20">
        <f t="shared" si="17"/>
        <v>0.16089228789627649</v>
      </c>
      <c r="X237" s="20">
        <f t="shared" si="18"/>
        <v>1.3575710967117308E-3</v>
      </c>
      <c r="Y237" s="20">
        <f t="shared" si="19"/>
        <v>3.6269321736594362E-2</v>
      </c>
    </row>
    <row r="238" spans="1:25" x14ac:dyDescent="0.2">
      <c r="A238" s="7">
        <v>42220</v>
      </c>
      <c r="B238" s="7">
        <v>257</v>
      </c>
      <c r="C238" s="17">
        <f t="shared" si="15"/>
        <v>12.074999999999999</v>
      </c>
      <c r="D238" s="18">
        <f t="shared" si="16"/>
        <v>0.25700000000000001</v>
      </c>
      <c r="E238" s="7">
        <v>100</v>
      </c>
      <c r="V238" s="18">
        <v>0.23599999999999999</v>
      </c>
      <c r="W238" s="20">
        <f t="shared" si="17"/>
        <v>0.16089366367417421</v>
      </c>
      <c r="X238" s="20">
        <f t="shared" si="18"/>
        <v>1.3940563701090244E-3</v>
      </c>
      <c r="Y238" s="20">
        <f t="shared" si="19"/>
        <v>3.6699351414113401E-2</v>
      </c>
    </row>
    <row r="239" spans="1:25" x14ac:dyDescent="0.2">
      <c r="A239" s="7">
        <v>42251</v>
      </c>
      <c r="B239" s="7">
        <v>261</v>
      </c>
      <c r="C239" s="17">
        <f t="shared" si="15"/>
        <v>12.106</v>
      </c>
      <c r="D239" s="18">
        <f t="shared" si="16"/>
        <v>0.26100000000000001</v>
      </c>
      <c r="E239" s="7">
        <v>100</v>
      </c>
      <c r="V239" s="18">
        <v>0.23699999999999999</v>
      </c>
      <c r="W239" s="20">
        <f t="shared" si="17"/>
        <v>0.16089507615048965</v>
      </c>
      <c r="X239" s="20">
        <f t="shared" si="18"/>
        <v>1.4309660648106418E-3</v>
      </c>
      <c r="Y239" s="20">
        <f t="shared" si="19"/>
        <v>3.7118176898389921E-2</v>
      </c>
    </row>
    <row r="240" spans="1:25" x14ac:dyDescent="0.2">
      <c r="A240" s="7">
        <v>42321</v>
      </c>
      <c r="B240" s="7">
        <v>265</v>
      </c>
      <c r="C240" s="17">
        <f t="shared" si="15"/>
        <v>12.176</v>
      </c>
      <c r="D240" s="18">
        <f t="shared" si="16"/>
        <v>0.26500000000000001</v>
      </c>
      <c r="E240" s="7">
        <v>100</v>
      </c>
      <c r="V240" s="18">
        <v>0.23799999999999999</v>
      </c>
      <c r="W240" s="20">
        <f t="shared" si="17"/>
        <v>0.16089652574405458</v>
      </c>
      <c r="X240" s="20">
        <f t="shared" si="18"/>
        <v>1.4682890142559898E-3</v>
      </c>
      <c r="Y240" s="20">
        <f t="shared" si="19"/>
        <v>3.7525873427813883E-2</v>
      </c>
    </row>
    <row r="241" spans="1:25" x14ac:dyDescent="0.2">
      <c r="A241" s="7">
        <v>42353</v>
      </c>
      <c r="B241" s="7">
        <v>264</v>
      </c>
      <c r="C241" s="17">
        <f t="shared" si="15"/>
        <v>12.208</v>
      </c>
      <c r="D241" s="18">
        <f t="shared" si="16"/>
        <v>0.26400000000000001</v>
      </c>
      <c r="E241" s="7">
        <v>100</v>
      </c>
      <c r="V241" s="18">
        <v>0.23899999999999999</v>
      </c>
      <c r="W241" s="20">
        <f t="shared" si="17"/>
        <v>0.16089801286257177</v>
      </c>
      <c r="X241" s="20">
        <f t="shared" si="18"/>
        <v>1.5060141270422725E-3</v>
      </c>
      <c r="Y241" s="20">
        <f t="shared" si="19"/>
        <v>3.7922516079806567E-2</v>
      </c>
    </row>
    <row r="242" spans="1:25" x14ac:dyDescent="0.2">
      <c r="A242" s="7">
        <v>42422</v>
      </c>
      <c r="B242" s="7">
        <v>269</v>
      </c>
      <c r="C242" s="17">
        <f t="shared" si="15"/>
        <v>12.276999999999999</v>
      </c>
      <c r="D242" s="18">
        <f t="shared" si="16"/>
        <v>0.26900000000000002</v>
      </c>
      <c r="E242" s="7">
        <v>100</v>
      </c>
      <c r="V242" s="18">
        <v>0.24</v>
      </c>
      <c r="W242" s="20">
        <f t="shared" si="17"/>
        <v>0.16089953790269013</v>
      </c>
      <c r="X242" s="20">
        <f t="shared" si="18"/>
        <v>1.5441303867637299E-3</v>
      </c>
      <c r="Y242" s="20">
        <f t="shared" si="19"/>
        <v>3.8308179770822015E-2</v>
      </c>
    </row>
    <row r="243" spans="1:25" x14ac:dyDescent="0.2">
      <c r="A243" s="7">
        <v>42453</v>
      </c>
      <c r="B243" s="7">
        <v>274</v>
      </c>
      <c r="C243" s="17">
        <f t="shared" si="15"/>
        <v>12.308</v>
      </c>
      <c r="D243" s="18">
        <f t="shared" si="16"/>
        <v>0.27400000000000002</v>
      </c>
      <c r="E243" s="7">
        <v>100</v>
      </c>
      <c r="V243" s="18">
        <v>0.24099999999999999</v>
      </c>
      <c r="W243" s="20">
        <f t="shared" si="17"/>
        <v>0.16090110125007959</v>
      </c>
      <c r="X243" s="20">
        <f t="shared" si="18"/>
        <v>1.5826268518505174E-3</v>
      </c>
      <c r="Y243" s="20">
        <f t="shared" si="19"/>
        <v>3.8682939256345028E-2</v>
      </c>
    </row>
    <row r="244" spans="1:25" x14ac:dyDescent="0.2">
      <c r="A244" s="7">
        <v>42523</v>
      </c>
      <c r="B244" s="7">
        <v>279</v>
      </c>
      <c r="C244" s="17">
        <f t="shared" si="15"/>
        <v>12.378</v>
      </c>
      <c r="D244" s="18">
        <f t="shared" si="16"/>
        <v>0.27900000000000003</v>
      </c>
      <c r="E244" s="7">
        <v>100</v>
      </c>
      <c r="V244" s="18">
        <v>0.24199999999999999</v>
      </c>
      <c r="W244" s="20">
        <f t="shared" si="17"/>
        <v>0.16090270327950584</v>
      </c>
      <c r="X244" s="20">
        <f t="shared" si="18"/>
        <v>1.621492655407876E-3</v>
      </c>
      <c r="Y244" s="20">
        <f t="shared" si="19"/>
        <v>3.9046869130892281E-2</v>
      </c>
    </row>
    <row r="245" spans="1:25" x14ac:dyDescent="0.2">
      <c r="A245" s="7">
        <v>42555</v>
      </c>
      <c r="B245" s="7">
        <v>279</v>
      </c>
      <c r="C245" s="17">
        <f t="shared" si="15"/>
        <v>12.41</v>
      </c>
      <c r="D245" s="18">
        <f t="shared" si="16"/>
        <v>0.27900000000000003</v>
      </c>
      <c r="E245" s="7">
        <v>100</v>
      </c>
      <c r="V245" s="18">
        <v>0.24299999999999999</v>
      </c>
      <c r="W245" s="20">
        <f t="shared" si="17"/>
        <v>0.16090434435490494</v>
      </c>
      <c r="X245" s="20">
        <f t="shared" si="18"/>
        <v>1.6607170050549694E-3</v>
      </c>
      <c r="Y245" s="20">
        <f t="shared" si="19"/>
        <v>3.9400043828012432E-2</v>
      </c>
    </row>
    <row r="246" spans="1:25" x14ac:dyDescent="0.2">
      <c r="A246" s="7">
        <v>42624</v>
      </c>
      <c r="B246" s="7">
        <v>284</v>
      </c>
      <c r="C246" s="17">
        <f t="shared" si="15"/>
        <v>12.478999999999999</v>
      </c>
      <c r="D246" s="18">
        <f t="shared" si="16"/>
        <v>0.28399999999999997</v>
      </c>
      <c r="E246" s="7">
        <v>80</v>
      </c>
      <c r="V246" s="18">
        <v>0.24399999999999999</v>
      </c>
      <c r="W246" s="20">
        <f t="shared" si="17"/>
        <v>0.16090602482945782</v>
      </c>
      <c r="X246" s="20">
        <f t="shared" si="18"/>
        <v>1.7002891827640546E-3</v>
      </c>
      <c r="Y246" s="20">
        <f t="shared" si="19"/>
        <v>3.9742537620285567E-2</v>
      </c>
    </row>
    <row r="247" spans="1:25" x14ac:dyDescent="0.2">
      <c r="A247" s="7">
        <v>42656</v>
      </c>
      <c r="B247" s="7">
        <v>289</v>
      </c>
      <c r="C247" s="17">
        <f t="shared" si="15"/>
        <v>12.510999999999999</v>
      </c>
      <c r="D247" s="18">
        <f t="shared" si="16"/>
        <v>0.28899999999999998</v>
      </c>
      <c r="E247" s="7">
        <v>80</v>
      </c>
      <c r="V247" s="18">
        <v>0.245</v>
      </c>
      <c r="W247" s="20">
        <f t="shared" si="17"/>
        <v>0.16090774504566438</v>
      </c>
      <c r="X247" s="20">
        <f t="shared" si="18"/>
        <v>1.7401985446995685E-3</v>
      </c>
      <c r="Y247" s="20">
        <f t="shared" si="19"/>
        <v>4.0074424619323534E-2</v>
      </c>
    </row>
    <row r="248" spans="1:25" x14ac:dyDescent="0.2">
      <c r="A248" s="7">
        <v>42725</v>
      </c>
      <c r="B248" s="7">
        <v>294</v>
      </c>
      <c r="C248" s="17">
        <f t="shared" si="15"/>
        <v>12.58</v>
      </c>
      <c r="D248" s="18">
        <f t="shared" si="16"/>
        <v>0.29399999999999998</v>
      </c>
      <c r="E248" s="7">
        <v>80</v>
      </c>
      <c r="V248" s="18">
        <v>0.246</v>
      </c>
      <c r="W248" s="20">
        <f t="shared" si="17"/>
        <v>0.16090950533541787</v>
      </c>
      <c r="X248" s="20">
        <f t="shared" si="18"/>
        <v>1.7804345210569797E-3</v>
      </c>
      <c r="Y248" s="20">
        <f t="shared" si="19"/>
        <v>4.0395778775769831E-2</v>
      </c>
    </row>
    <row r="249" spans="1:25" x14ac:dyDescent="0.2">
      <c r="A249" s="7">
        <v>42757</v>
      </c>
      <c r="B249" s="7">
        <v>294</v>
      </c>
      <c r="C249" s="17">
        <f t="shared" si="15"/>
        <v>12.612</v>
      </c>
      <c r="D249" s="18">
        <f t="shared" si="16"/>
        <v>0.29399999999999998</v>
      </c>
      <c r="E249" s="7">
        <v>80</v>
      </c>
      <c r="V249" s="18">
        <v>0.247</v>
      </c>
      <c r="W249" s="20">
        <f t="shared" si="17"/>
        <v>0.16091130602007853</v>
      </c>
      <c r="X249" s="20">
        <f t="shared" si="18"/>
        <v>1.820986615901958E-3</v>
      </c>
      <c r="Y249" s="20">
        <f t="shared" si="19"/>
        <v>4.0706673879299715E-2</v>
      </c>
    </row>
    <row r="250" spans="1:25" x14ac:dyDescent="0.2">
      <c r="A250" s="7">
        <v>42826</v>
      </c>
      <c r="B250" s="7">
        <v>298</v>
      </c>
      <c r="C250" s="17">
        <f t="shared" si="15"/>
        <v>12.680999999999999</v>
      </c>
      <c r="D250" s="18">
        <f t="shared" si="16"/>
        <v>0.29799999999999999</v>
      </c>
      <c r="E250" s="7">
        <v>80</v>
      </c>
      <c r="V250" s="18">
        <v>0.248</v>
      </c>
      <c r="W250" s="20">
        <f t="shared" si="17"/>
        <v>0.1609131474105476</v>
      </c>
      <c r="X250" s="20">
        <f t="shared" si="18"/>
        <v>1.8618444070092818E-3</v>
      </c>
      <c r="Y250" s="20">
        <f t="shared" si="19"/>
        <v>4.1007183558620097E-2</v>
      </c>
    </row>
    <row r="251" spans="1:25" x14ac:dyDescent="0.2">
      <c r="A251" s="7">
        <v>42858</v>
      </c>
      <c r="B251" s="7">
        <v>301</v>
      </c>
      <c r="C251" s="17">
        <f t="shared" si="15"/>
        <v>12.712999999999999</v>
      </c>
      <c r="D251" s="18">
        <f t="shared" si="16"/>
        <v>0.30099999999999999</v>
      </c>
      <c r="E251" s="7">
        <v>80</v>
      </c>
      <c r="V251" s="18">
        <v>0.249</v>
      </c>
      <c r="W251" s="20">
        <f t="shared" si="17"/>
        <v>0.1609150298073409</v>
      </c>
      <c r="X251" s="20">
        <f t="shared" si="18"/>
        <v>1.9029975457021467E-3</v>
      </c>
      <c r="Y251" s="20">
        <f t="shared" si="19"/>
        <v>4.1297381281469869E-2</v>
      </c>
    </row>
    <row r="252" spans="1:25" x14ac:dyDescent="0.2">
      <c r="A252" s="7">
        <v>42927</v>
      </c>
      <c r="B252" s="7">
        <v>302</v>
      </c>
      <c r="C252" s="17">
        <f t="shared" si="15"/>
        <v>12.782</v>
      </c>
      <c r="D252" s="18">
        <f t="shared" si="16"/>
        <v>0.30199999999999999</v>
      </c>
      <c r="E252" s="7">
        <v>80</v>
      </c>
      <c r="V252" s="18">
        <v>0.25</v>
      </c>
      <c r="W252" s="20">
        <f t="shared" si="17"/>
        <v>0.16091695350066229</v>
      </c>
      <c r="X252" s="20">
        <f t="shared" si="18"/>
        <v>1.9444357566907947E-3</v>
      </c>
      <c r="Y252" s="20">
        <f t="shared" si="19"/>
        <v>4.157734035461913E-2</v>
      </c>
    </row>
    <row r="253" spans="1:25" x14ac:dyDescent="0.2">
      <c r="A253" s="7">
        <v>42959</v>
      </c>
      <c r="B253" s="7">
        <v>301</v>
      </c>
      <c r="C253" s="17">
        <f t="shared" si="15"/>
        <v>12.814</v>
      </c>
      <c r="D253" s="18">
        <f t="shared" si="16"/>
        <v>0.30099999999999999</v>
      </c>
      <c r="E253" s="7">
        <v>80</v>
      </c>
      <c r="V253" s="18">
        <v>0.251</v>
      </c>
      <c r="W253" s="20">
        <f t="shared" si="17"/>
        <v>0.1609189187704769</v>
      </c>
      <c r="X253" s="20">
        <f t="shared" si="18"/>
        <v>1.9861488379118511E-3</v>
      </c>
      <c r="Y253" s="20">
        <f t="shared" si="19"/>
        <v>4.1847133923869739E-2</v>
      </c>
    </row>
    <row r="254" spans="1:25" x14ac:dyDescent="0.2">
      <c r="A254" s="7">
        <v>43028</v>
      </c>
      <c r="B254" s="7">
        <v>300</v>
      </c>
      <c r="C254" s="17">
        <f t="shared" si="15"/>
        <v>12.882999999999999</v>
      </c>
      <c r="D254" s="18">
        <f t="shared" si="16"/>
        <v>0.3</v>
      </c>
      <c r="E254" s="7">
        <v>80</v>
      </c>
      <c r="V254" s="18">
        <v>0.252</v>
      </c>
      <c r="W254" s="20">
        <f t="shared" si="17"/>
        <v>0.16092092588658438</v>
      </c>
      <c r="X254" s="20">
        <f t="shared" si="18"/>
        <v>2.0281266603673145E-3</v>
      </c>
      <c r="Y254" s="20">
        <f t="shared" si="19"/>
        <v>4.210683497405554E-2</v>
      </c>
    </row>
    <row r="255" spans="1:25" x14ac:dyDescent="0.2">
      <c r="A255" s="7">
        <v>43060</v>
      </c>
      <c r="B255" s="7">
        <v>299</v>
      </c>
      <c r="C255" s="17">
        <f t="shared" si="15"/>
        <v>12.914999999999999</v>
      </c>
      <c r="D255" s="18">
        <f t="shared" si="16"/>
        <v>0.29899999999999999</v>
      </c>
      <c r="E255" s="7">
        <v>80</v>
      </c>
      <c r="V255" s="18">
        <v>0.253</v>
      </c>
      <c r="W255" s="20">
        <f t="shared" si="17"/>
        <v>0.16092297510869186</v>
      </c>
      <c r="X255" s="20">
        <f t="shared" si="18"/>
        <v>2.0703591679633523E-3</v>
      </c>
      <c r="Y255" s="20">
        <f t="shared" si="19"/>
        <v>4.2356516329042138E-2</v>
      </c>
    </row>
    <row r="256" spans="1:25" x14ac:dyDescent="0.2">
      <c r="A256" s="7">
        <v>43120</v>
      </c>
      <c r="B256" s="7">
        <v>297</v>
      </c>
      <c r="C256" s="17">
        <f t="shared" si="15"/>
        <v>12.975</v>
      </c>
      <c r="D256" s="18">
        <f t="shared" si="16"/>
        <v>0.29699999999999999</v>
      </c>
      <c r="E256" s="7">
        <v>80</v>
      </c>
      <c r="V256" s="18">
        <v>0.254</v>
      </c>
      <c r="W256" s="20">
        <f t="shared" si="17"/>
        <v>0.16092506668648676</v>
      </c>
      <c r="X256" s="20">
        <f t="shared" si="18"/>
        <v>2.1128363773497486E-3</v>
      </c>
      <c r="Y256" s="20">
        <f t="shared" si="19"/>
        <v>4.2596250651726231E-2</v>
      </c>
    </row>
    <row r="257" spans="1:25" x14ac:dyDescent="0.2">
      <c r="A257" s="7">
        <v>43189</v>
      </c>
      <c r="B257" s="7">
        <v>292</v>
      </c>
      <c r="C257" s="17">
        <f t="shared" si="15"/>
        <v>13.044</v>
      </c>
      <c r="D257" s="18">
        <f t="shared" si="16"/>
        <v>0.29199999999999998</v>
      </c>
      <c r="E257" s="7">
        <v>80</v>
      </c>
      <c r="V257" s="18">
        <v>0.255</v>
      </c>
      <c r="W257" s="20">
        <f t="shared" si="17"/>
        <v>0.16092720085970943</v>
      </c>
      <c r="X257" s="20">
        <f t="shared" si="18"/>
        <v>2.1555483777584775E-3</v>
      </c>
      <c r="Y257" s="20">
        <f t="shared" si="19"/>
        <v>4.2826110444037058E-2</v>
      </c>
    </row>
    <row r="258" spans="1:25" x14ac:dyDescent="0.2">
      <c r="A258" s="7">
        <v>43221</v>
      </c>
      <c r="B258" s="7">
        <v>288</v>
      </c>
      <c r="C258" s="17">
        <f t="shared" si="15"/>
        <v>13.076000000000001</v>
      </c>
      <c r="D258" s="18">
        <f t="shared" si="16"/>
        <v>0.28799999999999998</v>
      </c>
      <c r="E258" s="7">
        <v>80</v>
      </c>
      <c r="V258" s="18">
        <v>0.25600000000000001</v>
      </c>
      <c r="W258" s="20">
        <f t="shared" si="17"/>
        <v>0.1609293778582257</v>
      </c>
      <c r="X258" s="20">
        <f t="shared" si="18"/>
        <v>2.198485330843096E-3</v>
      </c>
      <c r="Y258" s="20">
        <f t="shared" si="19"/>
        <v>4.304616804693473E-2</v>
      </c>
    </row>
    <row r="259" spans="1:25" x14ac:dyDescent="0.2">
      <c r="A259" s="7">
        <v>43290</v>
      </c>
      <c r="B259" s="7">
        <v>281</v>
      </c>
      <c r="C259" s="17">
        <f t="shared" ref="C259:C322" si="20">($A259-$A$2)/1000</f>
        <v>13.145</v>
      </c>
      <c r="D259" s="18">
        <f t="shared" ref="D259:D322" si="21">$B259/1000</f>
        <v>0.28100000000000003</v>
      </c>
      <c r="E259" s="7">
        <v>95</v>
      </c>
      <c r="V259" s="18">
        <v>0.25700000000000001</v>
      </c>
      <c r="W259" s="20">
        <f t="shared" ref="W259:W322" si="22" xml:space="preserve"> -0.223567093536985*V259^6 + 0.944228289125022*V259^5 - 1.39425331473467*V259^4 + 0.919786041369661*V259^3 - 0.280641903613287*V259^2 + 0.0398143416441599*V259 + 0.158710616051081</f>
        <v>0.16093159790209918</v>
      </c>
      <c r="X259" s="20">
        <f t="shared" ref="X259:X322" si="23" xml:space="preserve"> 6*-0.223567093536985*V259^5 + 5*0.944228289125022*V259^4 - 4*1.39425331473467*V259^3 + 3*0.919786041369661*V259^2 - 2*0.280641903613287*V259^1 + 0.0398143416441599</f>
        <v>2.2416374705176503E-3</v>
      </c>
      <c r="Y259" s="20">
        <f t="shared" ref="Y259:Y322" si="24" xml:space="preserve"> 5*6*-0.223567093536985*V259^4 + 4*5*0.944228289125022*V259^3 - 3*4*1.39425331473467*V259^2 + 2*3*0.919786041369661*V259^1 - 2*0.280641903613287</f>
        <v>4.3256495640411452E-2</v>
      </c>
    </row>
    <row r="260" spans="1:25" x14ac:dyDescent="0.2">
      <c r="A260" s="7">
        <v>43321</v>
      </c>
      <c r="B260" s="7">
        <v>279</v>
      </c>
      <c r="C260" s="17">
        <f t="shared" si="20"/>
        <v>13.176</v>
      </c>
      <c r="D260" s="18">
        <f t="shared" si="21"/>
        <v>0.27900000000000003</v>
      </c>
      <c r="E260" s="7">
        <v>100</v>
      </c>
      <c r="V260" s="18">
        <v>0.25800000000000001</v>
      </c>
      <c r="W260" s="20">
        <f t="shared" si="22"/>
        <v>0.16093386120166348</v>
      </c>
      <c r="X260" s="20">
        <f t="shared" si="23"/>
        <v>2.2849951027956242E-3</v>
      </c>
      <c r="Y260" s="20">
        <f t="shared" si="24"/>
        <v>4.3457165243491414E-2</v>
      </c>
    </row>
    <row r="261" spans="1:25" x14ac:dyDescent="0.2">
      <c r="A261" s="7">
        <v>43391</v>
      </c>
      <c r="B261" s="7">
        <v>272</v>
      </c>
      <c r="C261" s="17">
        <f t="shared" si="20"/>
        <v>13.246</v>
      </c>
      <c r="D261" s="18">
        <f t="shared" si="21"/>
        <v>0.27200000000000002</v>
      </c>
      <c r="E261" s="7">
        <v>100</v>
      </c>
      <c r="V261" s="18">
        <v>0.25900000000000001</v>
      </c>
      <c r="W261" s="20">
        <f t="shared" si="22"/>
        <v>0.16093616795759416</v>
      </c>
      <c r="X261" s="20">
        <f t="shared" si="23"/>
        <v>2.3285486056289703E-3</v>
      </c>
      <c r="Y261" s="20">
        <f t="shared" si="24"/>
        <v>4.3648248714229565E-2</v>
      </c>
    </row>
    <row r="262" spans="1:25" x14ac:dyDescent="0.2">
      <c r="A262" s="7">
        <v>43423</v>
      </c>
      <c r="B262" s="7">
        <v>267</v>
      </c>
      <c r="C262" s="17">
        <f t="shared" si="20"/>
        <v>13.278</v>
      </c>
      <c r="D262" s="18">
        <f t="shared" si="21"/>
        <v>0.26700000000000002</v>
      </c>
      <c r="E262" s="7">
        <v>100</v>
      </c>
      <c r="V262" s="18">
        <v>0.26</v>
      </c>
      <c r="W262" s="20">
        <f t="shared" si="22"/>
        <v>0.16093851836098069</v>
      </c>
      <c r="X262" s="20">
        <f t="shared" si="23"/>
        <v>2.3722884287474336E-3</v>
      </c>
      <c r="Y262" s="20">
        <f t="shared" si="24"/>
        <v>4.3829817749713507E-2</v>
      </c>
    </row>
    <row r="263" spans="1:25" x14ac:dyDescent="0.2">
      <c r="A263" s="7">
        <v>43472</v>
      </c>
      <c r="B263" s="7">
        <v>260</v>
      </c>
      <c r="C263" s="17">
        <f t="shared" si="20"/>
        <v>13.327</v>
      </c>
      <c r="D263" s="18">
        <f t="shared" si="21"/>
        <v>0.26</v>
      </c>
      <c r="E263" s="7">
        <v>100</v>
      </c>
      <c r="V263" s="18">
        <v>0.26100000000000001</v>
      </c>
      <c r="W263" s="20">
        <f t="shared" si="22"/>
        <v>0.16094091259339807</v>
      </c>
      <c r="X263" s="20">
        <f t="shared" si="23"/>
        <v>2.4162050934971382E-3</v>
      </c>
      <c r="Y263" s="20">
        <f t="shared" si="24"/>
        <v>4.40019438860626E-2</v>
      </c>
    </row>
    <row r="264" spans="1:25" x14ac:dyDescent="0.2">
      <c r="A264" s="7">
        <v>43524</v>
      </c>
      <c r="B264" s="7">
        <v>260</v>
      </c>
      <c r="C264" s="17">
        <f t="shared" si="20"/>
        <v>13.379</v>
      </c>
      <c r="D264" s="18">
        <f t="shared" si="21"/>
        <v>0.26</v>
      </c>
      <c r="E264" s="7">
        <v>100</v>
      </c>
      <c r="V264" s="18">
        <v>0.26200000000000001</v>
      </c>
      <c r="W264" s="20">
        <f t="shared" si="22"/>
        <v>0.16094335082697836</v>
      </c>
      <c r="X264" s="20">
        <f t="shared" si="23"/>
        <v>2.4602891926800222E-3</v>
      </c>
      <c r="Y264" s="20">
        <f t="shared" si="24"/>
        <v>4.4164698498426302E-2</v>
      </c>
    </row>
    <row r="265" spans="1:25" x14ac:dyDescent="0.2">
      <c r="A265" s="7">
        <v>43593</v>
      </c>
      <c r="B265" s="7">
        <v>254</v>
      </c>
      <c r="C265" s="17">
        <f t="shared" si="20"/>
        <v>13.448</v>
      </c>
      <c r="D265" s="18">
        <f t="shared" si="21"/>
        <v>0.254</v>
      </c>
      <c r="E265" s="7">
        <v>100</v>
      </c>
      <c r="V265" s="18">
        <v>0.26300000000000001</v>
      </c>
      <c r="W265" s="20">
        <f t="shared" si="22"/>
        <v>0.16094583322448214</v>
      </c>
      <c r="X265" s="20">
        <f t="shared" si="23"/>
        <v>2.504531390392549E-3</v>
      </c>
      <c r="Y265" s="20">
        <f t="shared" si="24"/>
        <v>4.4318152800988275E-2</v>
      </c>
    </row>
    <row r="266" spans="1:25" x14ac:dyDescent="0.2">
      <c r="A266" s="7">
        <v>43625</v>
      </c>
      <c r="B266" s="7">
        <v>251</v>
      </c>
      <c r="C266" s="17">
        <f t="shared" si="20"/>
        <v>13.48</v>
      </c>
      <c r="D266" s="18">
        <f t="shared" si="21"/>
        <v>0.251</v>
      </c>
      <c r="E266" s="7">
        <v>100</v>
      </c>
      <c r="V266" s="18">
        <v>0.26400000000000001</v>
      </c>
      <c r="W266" s="20">
        <f t="shared" si="22"/>
        <v>0.16094835993936962</v>
      </c>
      <c r="X266" s="20">
        <f t="shared" si="23"/>
        <v>2.5489224218649201E-3</v>
      </c>
      <c r="Y266" s="20">
        <f t="shared" si="24"/>
        <v>4.446237784696172E-2</v>
      </c>
    </row>
    <row r="267" spans="1:25" x14ac:dyDescent="0.2">
      <c r="A267" s="7">
        <v>43694</v>
      </c>
      <c r="B267" s="7">
        <v>248</v>
      </c>
      <c r="C267" s="17">
        <f t="shared" si="20"/>
        <v>13.548999999999999</v>
      </c>
      <c r="D267" s="18">
        <f t="shared" si="21"/>
        <v>0.248</v>
      </c>
      <c r="E267" s="7">
        <v>100</v>
      </c>
      <c r="V267" s="18">
        <v>0.26500000000000001</v>
      </c>
      <c r="W267" s="20">
        <f t="shared" si="22"/>
        <v>0.16095093111587175</v>
      </c>
      <c r="X267" s="20">
        <f t="shared" si="23"/>
        <v>2.5934530933001201E-3</v>
      </c>
      <c r="Y267" s="20">
        <f t="shared" si="24"/>
        <v>4.4597444528592822E-2</v>
      </c>
    </row>
    <row r="268" spans="1:25" x14ac:dyDescent="0.2">
      <c r="A268" s="7">
        <v>43725</v>
      </c>
      <c r="B268" s="7">
        <v>251</v>
      </c>
      <c r="C268" s="17">
        <f t="shared" si="20"/>
        <v>13.58</v>
      </c>
      <c r="D268" s="18">
        <f t="shared" si="21"/>
        <v>0.251</v>
      </c>
      <c r="E268" s="7">
        <v>100</v>
      </c>
      <c r="V268" s="18">
        <v>0.26600000000000001</v>
      </c>
      <c r="W268" s="20">
        <f t="shared" si="22"/>
        <v>0.16095354688906111</v>
      </c>
      <c r="X268" s="20">
        <f t="shared" si="23"/>
        <v>2.6381142817128792E-3</v>
      </c>
      <c r="Y268" s="20">
        <f t="shared" si="24"/>
        <v>4.4723423577158528E-2</v>
      </c>
    </row>
    <row r="269" spans="1:25" x14ac:dyDescent="0.2">
      <c r="A269" s="7">
        <v>43795</v>
      </c>
      <c r="B269" s="7">
        <v>252</v>
      </c>
      <c r="C269" s="17">
        <f t="shared" si="20"/>
        <v>13.65</v>
      </c>
      <c r="D269" s="18">
        <f t="shared" si="21"/>
        <v>0.252</v>
      </c>
      <c r="E269" s="7">
        <v>100</v>
      </c>
      <c r="V269" s="18">
        <v>0.26700000000000002</v>
      </c>
      <c r="W269" s="20">
        <f t="shared" si="22"/>
        <v>0.16095620738492261</v>
      </c>
      <c r="X269" s="20">
        <f t="shared" si="23"/>
        <v>2.6828969347686485E-3</v>
      </c>
      <c r="Y269" s="20">
        <f t="shared" si="24"/>
        <v>4.4840385562968321E-2</v>
      </c>
    </row>
    <row r="270" spans="1:25" x14ac:dyDescent="0.2">
      <c r="A270" s="7">
        <v>43827</v>
      </c>
      <c r="B270" s="7">
        <v>250</v>
      </c>
      <c r="C270" s="17">
        <f t="shared" si="20"/>
        <v>13.682</v>
      </c>
      <c r="D270" s="18">
        <f t="shared" si="21"/>
        <v>0.25</v>
      </c>
      <c r="E270" s="7">
        <v>100</v>
      </c>
      <c r="V270" s="18">
        <v>0.26800000000000002</v>
      </c>
      <c r="W270" s="20">
        <f t="shared" si="22"/>
        <v>0.16095891272042412</v>
      </c>
      <c r="X270" s="20">
        <f t="shared" si="23"/>
        <v>2.727792070622799E-3</v>
      </c>
      <c r="Y270" s="20">
        <f t="shared" si="24"/>
        <v>4.4948400895362672E-2</v>
      </c>
    </row>
    <row r="271" spans="1:25" x14ac:dyDescent="0.2">
      <c r="A271" s="7">
        <v>43896</v>
      </c>
      <c r="B271" s="7">
        <v>253</v>
      </c>
      <c r="C271" s="17">
        <f t="shared" si="20"/>
        <v>13.750999999999999</v>
      </c>
      <c r="D271" s="18">
        <f t="shared" si="21"/>
        <v>0.253</v>
      </c>
      <c r="E271" s="7">
        <v>100</v>
      </c>
      <c r="V271" s="18">
        <v>0.26900000000000002</v>
      </c>
      <c r="W271" s="20">
        <f t="shared" si="22"/>
        <v>0.16096166300358683</v>
      </c>
      <c r="X271" s="20">
        <f t="shared" si="23"/>
        <v>2.7727907777594582E-3</v>
      </c>
      <c r="Y271" s="20">
        <f t="shared" si="24"/>
        <v>4.5047539822714255E-2</v>
      </c>
    </row>
    <row r="272" spans="1:25" x14ac:dyDescent="0.2">
      <c r="A272" s="7">
        <v>43927</v>
      </c>
      <c r="B272" s="7">
        <v>258</v>
      </c>
      <c r="C272" s="17">
        <f t="shared" si="20"/>
        <v>13.782</v>
      </c>
      <c r="D272" s="18">
        <f t="shared" si="21"/>
        <v>0.25800000000000001</v>
      </c>
      <c r="E272" s="7">
        <v>100</v>
      </c>
      <c r="V272" s="18">
        <v>0.27</v>
      </c>
      <c r="W272" s="20">
        <f t="shared" si="22"/>
        <v>0.16096445833355549</v>
      </c>
      <c r="X272" s="20">
        <f t="shared" si="23"/>
        <v>2.8178842148308056E-3</v>
      </c>
      <c r="Y272" s="20">
        <f t="shared" si="24"/>
        <v>4.5137872432427173E-2</v>
      </c>
    </row>
    <row r="273" spans="1:25" x14ac:dyDescent="0.2">
      <c r="A273" s="7">
        <v>43997</v>
      </c>
      <c r="B273" s="7">
        <v>263</v>
      </c>
      <c r="C273" s="17">
        <f t="shared" si="20"/>
        <v>13.852</v>
      </c>
      <c r="D273" s="18">
        <f t="shared" si="21"/>
        <v>0.26300000000000001</v>
      </c>
      <c r="E273" s="7">
        <v>100</v>
      </c>
      <c r="V273" s="18">
        <v>0.27100000000000002</v>
      </c>
      <c r="W273" s="20">
        <f t="shared" si="22"/>
        <v>0.1609672988006686</v>
      </c>
      <c r="X273" s="20">
        <f t="shared" si="23"/>
        <v>2.8630636104957016E-3</v>
      </c>
      <c r="Y273" s="20">
        <f t="shared" si="24"/>
        <v>4.5219468650937289E-2</v>
      </c>
    </row>
    <row r="274" spans="1:25" x14ac:dyDescent="0.2">
      <c r="A274" s="7">
        <v>44029</v>
      </c>
      <c r="B274" s="7">
        <v>263</v>
      </c>
      <c r="C274" s="17">
        <f t="shared" si="20"/>
        <v>13.884</v>
      </c>
      <c r="D274" s="18">
        <f t="shared" si="21"/>
        <v>0.26300000000000001</v>
      </c>
      <c r="E274" s="7">
        <v>100</v>
      </c>
      <c r="V274" s="18">
        <v>0.27200000000000002</v>
      </c>
      <c r="W274" s="20">
        <f t="shared" si="22"/>
        <v>0.16097018448652808</v>
      </c>
      <c r="X274" s="20">
        <f t="shared" si="23"/>
        <v>2.9083202632592051E-3</v>
      </c>
      <c r="Y274" s="20">
        <f t="shared" si="24"/>
        <v>4.5292398243712007E-2</v>
      </c>
    </row>
    <row r="275" spans="1:25" x14ac:dyDescent="0.2">
      <c r="A275" s="7">
        <v>44098</v>
      </c>
      <c r="B275" s="7">
        <v>268</v>
      </c>
      <c r="C275" s="17">
        <f t="shared" si="20"/>
        <v>13.952999999999999</v>
      </c>
      <c r="D275" s="18">
        <f t="shared" si="21"/>
        <v>0.26800000000000002</v>
      </c>
      <c r="E275" s="7">
        <v>100</v>
      </c>
      <c r="V275" s="18">
        <v>0.27300000000000002</v>
      </c>
      <c r="W275" s="20">
        <f t="shared" si="22"/>
        <v>0.16097311546406942</v>
      </c>
      <c r="X275" s="20">
        <f t="shared" si="23"/>
        <v>2.9536455413111881E-3</v>
      </c>
      <c r="Y275" s="20">
        <f t="shared" si="24"/>
        <v>4.5356730815250934E-2</v>
      </c>
    </row>
    <row r="276" spans="1:25" x14ac:dyDescent="0.2">
      <c r="A276" s="7">
        <v>44129</v>
      </c>
      <c r="B276" s="7">
        <v>271</v>
      </c>
      <c r="C276" s="17">
        <f t="shared" si="20"/>
        <v>13.984</v>
      </c>
      <c r="D276" s="18">
        <f t="shared" si="21"/>
        <v>0.27100000000000002</v>
      </c>
      <c r="E276" s="7">
        <v>100</v>
      </c>
      <c r="V276" s="18">
        <v>0.27400000000000002</v>
      </c>
      <c r="W276" s="20">
        <f t="shared" si="22"/>
        <v>0.16097609179763095</v>
      </c>
      <c r="X276" s="20">
        <f t="shared" si="23"/>
        <v>2.9990308823656317E-3</v>
      </c>
      <c r="Y276" s="20">
        <f t="shared" si="24"/>
        <v>4.5412535809084664E-2</v>
      </c>
    </row>
    <row r="277" spans="1:25" x14ac:dyDescent="0.2">
      <c r="A277" s="7">
        <v>44199</v>
      </c>
      <c r="B277" s="7">
        <v>276</v>
      </c>
      <c r="C277" s="17">
        <f t="shared" si="20"/>
        <v>14.054</v>
      </c>
      <c r="D277" s="18">
        <f t="shared" si="21"/>
        <v>0.27600000000000002</v>
      </c>
      <c r="E277" s="7">
        <v>100</v>
      </c>
      <c r="V277" s="18">
        <v>0.27500000000000002</v>
      </c>
      <c r="W277" s="20">
        <f t="shared" si="22"/>
        <v>0.16097911354302341</v>
      </c>
      <c r="X277" s="20">
        <f t="shared" si="23"/>
        <v>3.044467793499421E-3</v>
      </c>
      <c r="Y277" s="20">
        <f t="shared" si="24"/>
        <v>4.5459882507776328E-2</v>
      </c>
    </row>
    <row r="278" spans="1:25" x14ac:dyDescent="0.2">
      <c r="A278" s="7">
        <v>44231</v>
      </c>
      <c r="B278" s="7">
        <v>277</v>
      </c>
      <c r="C278" s="17">
        <f t="shared" si="20"/>
        <v>14.086</v>
      </c>
      <c r="D278" s="18">
        <f t="shared" si="21"/>
        <v>0.27700000000000002</v>
      </c>
      <c r="E278" s="7">
        <v>100</v>
      </c>
      <c r="V278" s="18">
        <v>0.27600000000000002</v>
      </c>
      <c r="W278" s="20">
        <f t="shared" si="22"/>
        <v>0.16098218074759929</v>
      </c>
      <c r="X278" s="20">
        <f t="shared" si="23"/>
        <v>3.0899478509917797E-3</v>
      </c>
      <c r="Y278" s="20">
        <f t="shared" si="24"/>
        <v>4.5498840032919485E-2</v>
      </c>
    </row>
    <row r="279" spans="1:25" x14ac:dyDescent="0.2">
      <c r="A279" s="7">
        <v>44300</v>
      </c>
      <c r="B279" s="7">
        <v>282</v>
      </c>
      <c r="C279" s="17">
        <f t="shared" si="20"/>
        <v>14.154999999999999</v>
      </c>
      <c r="D279" s="18">
        <f t="shared" si="21"/>
        <v>0.28199999999999997</v>
      </c>
      <c r="E279" s="7">
        <v>90</v>
      </c>
      <c r="V279" s="18">
        <v>0.27700000000000002</v>
      </c>
      <c r="W279" s="20">
        <f t="shared" si="22"/>
        <v>0.16098529345032186</v>
      </c>
      <c r="X279" s="20">
        <f t="shared" si="23"/>
        <v>3.1354627001627736E-3</v>
      </c>
      <c r="Y279" s="20">
        <f t="shared" si="24"/>
        <v>4.5529477345140679E-2</v>
      </c>
    </row>
    <row r="280" spans="1:25" x14ac:dyDescent="0.2">
      <c r="A280" s="7">
        <v>44332</v>
      </c>
      <c r="B280" s="7">
        <v>284</v>
      </c>
      <c r="C280" s="17">
        <f t="shared" si="20"/>
        <v>14.186999999999999</v>
      </c>
      <c r="D280" s="18">
        <f t="shared" si="21"/>
        <v>0.28399999999999997</v>
      </c>
      <c r="E280" s="7">
        <v>80</v>
      </c>
      <c r="V280" s="18">
        <v>0.27800000000000002</v>
      </c>
      <c r="W280" s="20">
        <f t="shared" si="22"/>
        <v>0.16098845168183415</v>
      </c>
      <c r="X280" s="20">
        <f t="shared" si="23"/>
        <v>3.1810040552127314E-3</v>
      </c>
      <c r="Y280" s="20">
        <f t="shared" si="24"/>
        <v>4.5551863244097879E-2</v>
      </c>
    </row>
    <row r="281" spans="1:25" x14ac:dyDescent="0.2">
      <c r="A281" s="7">
        <v>44392</v>
      </c>
      <c r="B281" s="7">
        <v>289</v>
      </c>
      <c r="C281" s="17">
        <f t="shared" si="20"/>
        <v>14.247</v>
      </c>
      <c r="D281" s="18">
        <f t="shared" si="21"/>
        <v>0.28899999999999998</v>
      </c>
      <c r="E281" s="7">
        <v>80</v>
      </c>
      <c r="V281" s="18">
        <v>0.27900000000000003</v>
      </c>
      <c r="W281" s="20">
        <f t="shared" si="22"/>
        <v>0.16099165546452779</v>
      </c>
      <c r="X281" s="20">
        <f t="shared" si="23"/>
        <v>3.2265636990612342E-3</v>
      </c>
      <c r="Y281" s="20">
        <f t="shared" si="24"/>
        <v>4.5566066368479818E-2</v>
      </c>
    </row>
    <row r="282" spans="1:25" x14ac:dyDescent="0.2">
      <c r="A282" s="7">
        <v>44462</v>
      </c>
      <c r="B282" s="7">
        <v>294</v>
      </c>
      <c r="C282" s="17">
        <f t="shared" si="20"/>
        <v>14.317</v>
      </c>
      <c r="D282" s="18">
        <f t="shared" si="21"/>
        <v>0.29399999999999998</v>
      </c>
      <c r="E282" s="7">
        <v>80</v>
      </c>
      <c r="V282" s="18">
        <v>0.28000000000000003</v>
      </c>
      <c r="W282" s="20">
        <f t="shared" si="22"/>
        <v>0.16099490481261161</v>
      </c>
      <c r="X282" s="20">
        <f t="shared" si="23"/>
        <v>3.2721334831858559E-3</v>
      </c>
      <c r="Y282" s="20">
        <f t="shared" si="24"/>
        <v>4.5572155196007991E-2</v>
      </c>
    </row>
    <row r="283" spans="1:25" x14ac:dyDescent="0.2">
      <c r="A283" s="7">
        <v>44494</v>
      </c>
      <c r="B283" s="7">
        <v>294</v>
      </c>
      <c r="C283" s="17">
        <f t="shared" si="20"/>
        <v>14.349</v>
      </c>
      <c r="D283" s="18">
        <f t="shared" si="21"/>
        <v>0.29399999999999998</v>
      </c>
      <c r="E283" s="7">
        <v>80</v>
      </c>
      <c r="V283" s="18">
        <v>0.28100000000000003</v>
      </c>
      <c r="W283" s="20">
        <f t="shared" si="22"/>
        <v>0.1609981997321801</v>
      </c>
      <c r="X283" s="20">
        <f t="shared" si="23"/>
        <v>3.31770532746168E-3</v>
      </c>
      <c r="Y283" s="20">
        <f t="shared" si="24"/>
        <v>4.5570198043435095E-2</v>
      </c>
    </row>
    <row r="284" spans="1:25" x14ac:dyDescent="0.2">
      <c r="A284" s="7">
        <v>44543</v>
      </c>
      <c r="B284" s="7">
        <v>298</v>
      </c>
      <c r="C284" s="17">
        <f t="shared" si="20"/>
        <v>14.398</v>
      </c>
      <c r="D284" s="18">
        <f t="shared" si="21"/>
        <v>0.29799999999999999</v>
      </c>
      <c r="E284" s="7">
        <v>80</v>
      </c>
      <c r="V284" s="18">
        <v>0.28199999999999997</v>
      </c>
      <c r="W284" s="20">
        <f t="shared" si="22"/>
        <v>0.16100154022128185</v>
      </c>
      <c r="X284" s="20">
        <f t="shared" si="23"/>
        <v>3.3632712199997764E-3</v>
      </c>
      <c r="Y284" s="20">
        <f t="shared" si="24"/>
        <v>4.5560263066545703E-2</v>
      </c>
    </row>
    <row r="285" spans="1:25" x14ac:dyDescent="0.2">
      <c r="A285" s="7">
        <v>44594</v>
      </c>
      <c r="B285" s="7">
        <v>301</v>
      </c>
      <c r="C285" s="17">
        <f t="shared" si="20"/>
        <v>14.449</v>
      </c>
      <c r="D285" s="18">
        <f t="shared" si="21"/>
        <v>0.30099999999999999</v>
      </c>
      <c r="E285" s="7">
        <v>80</v>
      </c>
      <c r="V285" s="18">
        <v>0.28299999999999997</v>
      </c>
      <c r="W285" s="20">
        <f t="shared" si="22"/>
        <v>0.16100492626998752</v>
      </c>
      <c r="X285" s="20">
        <f t="shared" si="23"/>
        <v>3.4088232169866908E-3</v>
      </c>
      <c r="Y285" s="20">
        <f t="shared" si="24"/>
        <v>4.5542418260156037E-2</v>
      </c>
    </row>
    <row r="286" spans="1:25" x14ac:dyDescent="0.2">
      <c r="A286" s="7">
        <v>44663</v>
      </c>
      <c r="B286" s="7">
        <v>303</v>
      </c>
      <c r="C286" s="17">
        <f t="shared" si="20"/>
        <v>14.518000000000001</v>
      </c>
      <c r="D286" s="18">
        <f t="shared" si="21"/>
        <v>0.30299999999999999</v>
      </c>
      <c r="E286" s="7">
        <v>80</v>
      </c>
      <c r="V286" s="18">
        <v>0.28399999999999997</v>
      </c>
      <c r="W286" s="20">
        <f t="shared" si="22"/>
        <v>0.16100835786045792</v>
      </c>
      <c r="X286" s="20">
        <f t="shared" si="23"/>
        <v>3.4543534425232961E-3</v>
      </c>
      <c r="Y286" s="20">
        <f t="shared" si="24"/>
        <v>4.5516731458113524E-2</v>
      </c>
    </row>
    <row r="287" spans="1:25" x14ac:dyDescent="0.2">
      <c r="A287" s="7">
        <v>44695</v>
      </c>
      <c r="B287" s="7">
        <v>301</v>
      </c>
      <c r="C287" s="17">
        <f t="shared" si="20"/>
        <v>14.55</v>
      </c>
      <c r="D287" s="18">
        <f t="shared" si="21"/>
        <v>0.30099999999999999</v>
      </c>
      <c r="E287" s="7">
        <v>80</v>
      </c>
      <c r="V287" s="18">
        <v>0.28499999999999998</v>
      </c>
      <c r="W287" s="20">
        <f t="shared" si="22"/>
        <v>0.16101183496701194</v>
      </c>
      <c r="X287" s="20">
        <f t="shared" si="23"/>
        <v>3.4998540884638094E-3</v>
      </c>
      <c r="Y287" s="20">
        <f t="shared" si="24"/>
        <v>4.5483270333298131E-2</v>
      </c>
    </row>
    <row r="288" spans="1:25" x14ac:dyDescent="0.2">
      <c r="A288" s="7">
        <v>44764</v>
      </c>
      <c r="B288" s="7">
        <v>300</v>
      </c>
      <c r="C288" s="17">
        <f t="shared" si="20"/>
        <v>14.619</v>
      </c>
      <c r="D288" s="18">
        <f t="shared" si="21"/>
        <v>0.3</v>
      </c>
      <c r="E288" s="7">
        <v>80</v>
      </c>
      <c r="V288" s="18">
        <v>0.28599999999999998</v>
      </c>
      <c r="W288" s="20">
        <f t="shared" si="22"/>
        <v>0.16101535755619406</v>
      </c>
      <c r="X288" s="20">
        <f t="shared" si="23"/>
        <v>3.545317414254727E-3</v>
      </c>
      <c r="Y288" s="20">
        <f t="shared" si="24"/>
        <v>4.5442102397621476E-2</v>
      </c>
    </row>
    <row r="289" spans="1:25" x14ac:dyDescent="0.2">
      <c r="A289" s="7">
        <v>44796</v>
      </c>
      <c r="B289" s="7">
        <v>302</v>
      </c>
      <c r="C289" s="17">
        <f t="shared" si="20"/>
        <v>14.651</v>
      </c>
      <c r="D289" s="18">
        <f t="shared" si="21"/>
        <v>0.30199999999999999</v>
      </c>
      <c r="E289" s="7">
        <v>80</v>
      </c>
      <c r="V289" s="18">
        <v>0.28699999999999998</v>
      </c>
      <c r="W289" s="20">
        <f t="shared" si="22"/>
        <v>0.16101892558684194</v>
      </c>
      <c r="X289" s="20">
        <f t="shared" si="23"/>
        <v>3.590735746774161E-3</v>
      </c>
      <c r="Y289" s="20">
        <f t="shared" si="24"/>
        <v>4.5393295002025713E-2</v>
      </c>
    </row>
    <row r="290" spans="1:25" x14ac:dyDescent="0.2">
      <c r="A290" s="7">
        <v>44865</v>
      </c>
      <c r="B290" s="7">
        <v>298</v>
      </c>
      <c r="C290" s="17">
        <f t="shared" si="20"/>
        <v>14.72</v>
      </c>
      <c r="D290" s="18">
        <f t="shared" si="21"/>
        <v>0.29799999999999999</v>
      </c>
      <c r="E290" s="7">
        <v>80</v>
      </c>
      <c r="V290" s="18">
        <v>0.28799999999999998</v>
      </c>
      <c r="W290" s="20">
        <f t="shared" si="22"/>
        <v>0.16102253901015381</v>
      </c>
      <c r="X290" s="20">
        <f t="shared" si="23"/>
        <v>3.6361014801706074E-3</v>
      </c>
      <c r="Y290" s="20">
        <f t="shared" si="24"/>
        <v>4.533691533648565E-2</v>
      </c>
    </row>
    <row r="291" spans="1:25" x14ac:dyDescent="0.2">
      <c r="A291" s="7">
        <v>44897</v>
      </c>
      <c r="B291" s="7">
        <v>294</v>
      </c>
      <c r="C291" s="17">
        <f t="shared" si="20"/>
        <v>14.752000000000001</v>
      </c>
      <c r="D291" s="18">
        <f t="shared" si="21"/>
        <v>0.29399999999999998</v>
      </c>
      <c r="E291" s="7">
        <v>80</v>
      </c>
      <c r="V291" s="18">
        <v>0.28899999999999998</v>
      </c>
      <c r="W291" s="20">
        <f t="shared" si="22"/>
        <v>0.1610261977697556</v>
      </c>
      <c r="X291" s="20">
        <f t="shared" si="23"/>
        <v>3.6814070757019493E-3</v>
      </c>
      <c r="Y291" s="20">
        <f t="shared" si="24"/>
        <v>4.5273030430008188E-2</v>
      </c>
    </row>
    <row r="292" spans="1:25" x14ac:dyDescent="0.2">
      <c r="A292" s="7">
        <v>44966</v>
      </c>
      <c r="B292" s="7">
        <v>289</v>
      </c>
      <c r="C292" s="17">
        <f t="shared" si="20"/>
        <v>14.821</v>
      </c>
      <c r="D292" s="18">
        <f t="shared" si="21"/>
        <v>0.28899999999999998</v>
      </c>
      <c r="E292" s="7">
        <v>80</v>
      </c>
      <c r="V292" s="18">
        <v>0.28999999999999998</v>
      </c>
      <c r="W292" s="20">
        <f t="shared" si="22"/>
        <v>0.16102990180176793</v>
      </c>
      <c r="X292" s="20">
        <f t="shared" si="23"/>
        <v>3.7266450615747806E-3</v>
      </c>
      <c r="Y292" s="20">
        <f t="shared" si="24"/>
        <v>4.5201707150630877E-2</v>
      </c>
    </row>
    <row r="293" spans="1:25" x14ac:dyDescent="0.2">
      <c r="A293" s="7">
        <v>44998</v>
      </c>
      <c r="B293" s="7">
        <v>286</v>
      </c>
      <c r="C293" s="17">
        <f t="shared" si="20"/>
        <v>14.853</v>
      </c>
      <c r="D293" s="18">
        <f t="shared" si="21"/>
        <v>0.28599999999999998</v>
      </c>
      <c r="E293" s="7">
        <v>80</v>
      </c>
      <c r="V293" s="18">
        <v>0.29099999999999998</v>
      </c>
      <c r="W293" s="20">
        <f t="shared" si="22"/>
        <v>0.1610336510348731</v>
      </c>
      <c r="X293" s="20">
        <f t="shared" si="23"/>
        <v>3.7718080327830486E-3</v>
      </c>
      <c r="Y293" s="20">
        <f t="shared" si="24"/>
        <v>4.5123012205423363E-2</v>
      </c>
    </row>
    <row r="294" spans="1:25" x14ac:dyDescent="0.2">
      <c r="A294" s="7">
        <v>45067</v>
      </c>
      <c r="B294" s="7">
        <v>278</v>
      </c>
      <c r="C294" s="17">
        <f t="shared" si="20"/>
        <v>14.922000000000001</v>
      </c>
      <c r="D294" s="18">
        <f t="shared" si="21"/>
        <v>0.27800000000000002</v>
      </c>
      <c r="E294" s="7">
        <v>100</v>
      </c>
      <c r="V294" s="18">
        <v>0.29199999999999998</v>
      </c>
      <c r="W294" s="20">
        <f t="shared" si="22"/>
        <v>0.16103744539038173</v>
      </c>
      <c r="X294" s="20">
        <f t="shared" si="23"/>
        <v>3.8168886509475156E-3</v>
      </c>
      <c r="Y294" s="20">
        <f t="shared" si="24"/>
        <v>4.5037012140487276E-2</v>
      </c>
    </row>
    <row r="295" spans="1:25" x14ac:dyDescent="0.2">
      <c r="A295" s="7">
        <v>45099</v>
      </c>
      <c r="B295" s="7">
        <v>273</v>
      </c>
      <c r="C295" s="17">
        <f t="shared" si="20"/>
        <v>14.954000000000001</v>
      </c>
      <c r="D295" s="18">
        <f t="shared" si="21"/>
        <v>0.27300000000000002</v>
      </c>
      <c r="E295" s="7">
        <v>100</v>
      </c>
      <c r="V295" s="18">
        <v>0.29299999999999998</v>
      </c>
      <c r="W295" s="20">
        <f t="shared" si="22"/>
        <v>0.16104128478229929</v>
      </c>
      <c r="X295" s="20">
        <f t="shared" si="23"/>
        <v>3.8618796441543327E-3</v>
      </c>
      <c r="Y295" s="20">
        <f t="shared" si="24"/>
        <v>4.4943773340955895E-2</v>
      </c>
    </row>
    <row r="296" spans="1:25" x14ac:dyDescent="0.2">
      <c r="A296" s="7">
        <v>45168</v>
      </c>
      <c r="B296" s="7">
        <v>266</v>
      </c>
      <c r="C296" s="17">
        <f t="shared" si="20"/>
        <v>15.023</v>
      </c>
      <c r="D296" s="18">
        <f t="shared" si="21"/>
        <v>0.26600000000000001</v>
      </c>
      <c r="E296" s="7">
        <v>100</v>
      </c>
      <c r="V296" s="18">
        <v>0.29399999999999998</v>
      </c>
      <c r="W296" s="20">
        <f t="shared" si="22"/>
        <v>0.16104516911739247</v>
      </c>
      <c r="X296" s="20">
        <f t="shared" si="23"/>
        <v>3.9067738067943905E-3</v>
      </c>
      <c r="Y296" s="20">
        <f t="shared" si="24"/>
        <v>4.4843362030993594E-2</v>
      </c>
    </row>
    <row r="297" spans="1:25" x14ac:dyDescent="0.2">
      <c r="A297" s="7">
        <v>45200</v>
      </c>
      <c r="B297" s="7">
        <v>263</v>
      </c>
      <c r="C297" s="17">
        <f t="shared" si="20"/>
        <v>15.055</v>
      </c>
      <c r="D297" s="18">
        <f t="shared" si="21"/>
        <v>0.26300000000000001</v>
      </c>
      <c r="E297" s="7">
        <v>100</v>
      </c>
      <c r="V297" s="18">
        <v>0.29499999999999998</v>
      </c>
      <c r="W297" s="20">
        <f t="shared" si="22"/>
        <v>0.16104909829525546</v>
      </c>
      <c r="X297" s="20">
        <f t="shared" si="23"/>
        <v>3.9515639994023369E-3</v>
      </c>
      <c r="Y297" s="20">
        <f t="shared" si="24"/>
        <v>4.4735844273797065E-2</v>
      </c>
    </row>
    <row r="298" spans="1:25" x14ac:dyDescent="0.2">
      <c r="A298" s="7">
        <v>45269</v>
      </c>
      <c r="B298" s="7">
        <v>256</v>
      </c>
      <c r="C298" s="17">
        <f t="shared" si="20"/>
        <v>15.124000000000001</v>
      </c>
      <c r="D298" s="18">
        <f t="shared" si="21"/>
        <v>0.25600000000000001</v>
      </c>
      <c r="E298" s="7">
        <v>100</v>
      </c>
      <c r="V298" s="18">
        <v>0.29599999999999999</v>
      </c>
      <c r="W298" s="20">
        <f t="shared" si="22"/>
        <v>0.16105307220837603</v>
      </c>
      <c r="X298" s="20">
        <f t="shared" si="23"/>
        <v>3.9962431484954278E-3</v>
      </c>
      <c r="Y298" s="20">
        <f t="shared" si="24"/>
        <v>4.4621285971594871E-2</v>
      </c>
    </row>
    <row r="299" spans="1:25" x14ac:dyDescent="0.2">
      <c r="A299" s="7">
        <v>45301</v>
      </c>
      <c r="B299" s="7">
        <v>254</v>
      </c>
      <c r="C299" s="17">
        <f t="shared" si="20"/>
        <v>15.156000000000001</v>
      </c>
      <c r="D299" s="18">
        <f t="shared" si="21"/>
        <v>0.254</v>
      </c>
      <c r="E299" s="7">
        <v>100</v>
      </c>
      <c r="V299" s="18">
        <v>0.29699999999999999</v>
      </c>
      <c r="W299" s="20">
        <f t="shared" si="22"/>
        <v>0.16105709074220134</v>
      </c>
      <c r="X299" s="20">
        <f t="shared" si="23"/>
        <v>4.0408042464127117E-3</v>
      </c>
      <c r="Y299" s="20">
        <f t="shared" si="24"/>
        <v>4.4499752865645892E-2</v>
      </c>
    </row>
    <row r="300" spans="1:25" x14ac:dyDescent="0.2">
      <c r="A300" s="7">
        <v>45370</v>
      </c>
      <c r="B300" s="7">
        <v>249</v>
      </c>
      <c r="C300" s="17">
        <f t="shared" si="20"/>
        <v>15.225</v>
      </c>
      <c r="D300" s="18">
        <f t="shared" si="21"/>
        <v>0.249</v>
      </c>
      <c r="E300" s="7">
        <v>100</v>
      </c>
      <c r="V300" s="18">
        <v>0.29799999999999999</v>
      </c>
      <c r="W300" s="20">
        <f t="shared" si="22"/>
        <v>0.16106115377520375</v>
      </c>
      <c r="X300" s="20">
        <f t="shared" si="23"/>
        <v>4.0852403511540472E-3</v>
      </c>
      <c r="Y300" s="20">
        <f t="shared" si="24"/>
        <v>4.4371310536242659E-2</v>
      </c>
    </row>
    <row r="301" spans="1:25" x14ac:dyDescent="0.2">
      <c r="A301" s="7">
        <v>45401</v>
      </c>
      <c r="B301" s="7">
        <v>249</v>
      </c>
      <c r="C301" s="17">
        <f t="shared" si="20"/>
        <v>15.256</v>
      </c>
      <c r="D301" s="18">
        <f t="shared" si="21"/>
        <v>0.249</v>
      </c>
      <c r="E301" s="7">
        <v>100</v>
      </c>
      <c r="V301" s="18">
        <v>0.29899999999999999</v>
      </c>
      <c r="W301" s="20">
        <f t="shared" si="22"/>
        <v>0.16106526117894635</v>
      </c>
      <c r="X301" s="20">
        <f t="shared" si="23"/>
        <v>4.1295445862189542E-3</v>
      </c>
      <c r="Y301" s="20">
        <f t="shared" si="24"/>
        <v>4.4236024402708018E-2</v>
      </c>
    </row>
    <row r="302" spans="1:25" x14ac:dyDescent="0.2">
      <c r="A302" s="7">
        <v>45471</v>
      </c>
      <c r="B302" s="7">
        <v>249</v>
      </c>
      <c r="C302" s="17">
        <f t="shared" si="20"/>
        <v>15.326000000000001</v>
      </c>
      <c r="D302" s="18">
        <f t="shared" si="21"/>
        <v>0.249</v>
      </c>
      <c r="E302" s="7">
        <v>100</v>
      </c>
      <c r="V302" s="18">
        <v>0.3</v>
      </c>
      <c r="W302" s="20">
        <f t="shared" si="22"/>
        <v>0.16106941281814852</v>
      </c>
      <c r="X302" s="20">
        <f t="shared" si="23"/>
        <v>4.1737101404459645E-3</v>
      </c>
      <c r="Y302" s="20">
        <f t="shared" si="24"/>
        <v>4.4093959723396914E-2</v>
      </c>
    </row>
    <row r="303" spans="1:25" x14ac:dyDescent="0.2">
      <c r="A303" s="7">
        <v>45503</v>
      </c>
      <c r="B303" s="7">
        <v>249</v>
      </c>
      <c r="C303" s="17">
        <f t="shared" si="20"/>
        <v>15.358000000000001</v>
      </c>
      <c r="D303" s="18">
        <f t="shared" si="21"/>
        <v>0.249</v>
      </c>
      <c r="E303" s="7">
        <v>100</v>
      </c>
      <c r="V303" s="18">
        <v>0.30099999999999999</v>
      </c>
      <c r="W303" s="20">
        <f t="shared" si="22"/>
        <v>0.16107360855075092</v>
      </c>
      <c r="X303" s="20">
        <f t="shared" si="23"/>
        <v>4.217730267851362E-3</v>
      </c>
      <c r="Y303" s="20">
        <f t="shared" si="24"/>
        <v>4.3945181595695937E-2</v>
      </c>
    </row>
    <row r="304" spans="1:25" x14ac:dyDescent="0.2">
      <c r="A304" s="7">
        <v>45564</v>
      </c>
      <c r="B304" s="7">
        <v>251</v>
      </c>
      <c r="C304" s="17">
        <f t="shared" si="20"/>
        <v>15.419</v>
      </c>
      <c r="D304" s="18">
        <f t="shared" si="21"/>
        <v>0.251</v>
      </c>
      <c r="E304" s="7">
        <v>100</v>
      </c>
      <c r="V304" s="18">
        <v>0.30199999999999999</v>
      </c>
      <c r="W304" s="20">
        <f t="shared" si="22"/>
        <v>0.16107784822798088</v>
      </c>
      <c r="X304" s="20">
        <f t="shared" si="23"/>
        <v>4.2615982874685057E-3</v>
      </c>
      <c r="Y304" s="20">
        <f t="shared" si="24"/>
        <v>4.3789754956023774E-2</v>
      </c>
    </row>
    <row r="305" spans="1:25" x14ac:dyDescent="0.2">
      <c r="A305" s="7">
        <v>45633</v>
      </c>
      <c r="B305" s="7">
        <v>254</v>
      </c>
      <c r="C305" s="17">
        <f t="shared" si="20"/>
        <v>15.488</v>
      </c>
      <c r="D305" s="18">
        <f t="shared" si="21"/>
        <v>0.254</v>
      </c>
      <c r="E305" s="7">
        <v>100</v>
      </c>
      <c r="V305" s="18">
        <v>0.30299999999999999</v>
      </c>
      <c r="W305" s="20">
        <f t="shared" si="22"/>
        <v>0.16108213169441718</v>
      </c>
      <c r="X305" s="20">
        <f t="shared" si="23"/>
        <v>4.305307583186431E-3</v>
      </c>
      <c r="Y305" s="20">
        <f t="shared" si="24"/>
        <v>4.3627744579829875E-2</v>
      </c>
    </row>
    <row r="306" spans="1:25" x14ac:dyDescent="0.2">
      <c r="A306" s="7">
        <v>45664</v>
      </c>
      <c r="B306" s="7">
        <v>259</v>
      </c>
      <c r="C306" s="17">
        <f t="shared" si="20"/>
        <v>15.519</v>
      </c>
      <c r="D306" s="18">
        <f t="shared" si="21"/>
        <v>0.25900000000000001</v>
      </c>
      <c r="E306" s="7">
        <v>100</v>
      </c>
      <c r="V306" s="18">
        <v>0.30399999999999999</v>
      </c>
      <c r="W306" s="20">
        <f t="shared" si="22"/>
        <v>0.16108645878805478</v>
      </c>
      <c r="X306" s="20">
        <f t="shared" si="23"/>
        <v>4.3488516035892835E-3</v>
      </c>
      <c r="Y306" s="20">
        <f t="shared" si="24"/>
        <v>4.3459215081596669E-2</v>
      </c>
    </row>
    <row r="307" spans="1:25" x14ac:dyDescent="0.2">
      <c r="A307" s="7">
        <v>45734</v>
      </c>
      <c r="B307" s="7">
        <v>262</v>
      </c>
      <c r="C307" s="17">
        <f t="shared" si="20"/>
        <v>15.589</v>
      </c>
      <c r="D307" s="18">
        <f t="shared" si="21"/>
        <v>0.26200000000000001</v>
      </c>
      <c r="E307" s="7">
        <v>100</v>
      </c>
      <c r="V307" s="18">
        <v>0.30499999999999999</v>
      </c>
      <c r="W307" s="20">
        <f t="shared" si="22"/>
        <v>0.16109082934036956</v>
      </c>
      <c r="X307" s="20">
        <f t="shared" si="23"/>
        <v>4.3922238617952261E-3</v>
      </c>
      <c r="Y307" s="20">
        <f t="shared" si="24"/>
        <v>4.3284230914837352E-2</v>
      </c>
    </row>
    <row r="308" spans="1:25" x14ac:dyDescent="0.2">
      <c r="A308" s="7">
        <v>45766</v>
      </c>
      <c r="B308" s="7">
        <v>262</v>
      </c>
      <c r="C308" s="17">
        <f t="shared" si="20"/>
        <v>15.621</v>
      </c>
      <c r="D308" s="18">
        <f t="shared" si="21"/>
        <v>0.26200000000000001</v>
      </c>
      <c r="E308" s="7">
        <v>100</v>
      </c>
      <c r="V308" s="18">
        <v>0.30599999999999999</v>
      </c>
      <c r="W308" s="20">
        <f t="shared" si="22"/>
        <v>0.16109524317638274</v>
      </c>
      <c r="X308" s="20">
        <f t="shared" si="23"/>
        <v>4.4354179352953729E-3</v>
      </c>
      <c r="Y308" s="20">
        <f t="shared" si="24"/>
        <v>4.3102856372096543E-2</v>
      </c>
    </row>
    <row r="309" spans="1:25" x14ac:dyDescent="0.2">
      <c r="A309" s="7">
        <v>45835</v>
      </c>
      <c r="B309" s="7">
        <v>266</v>
      </c>
      <c r="C309" s="17">
        <f t="shared" si="20"/>
        <v>15.69</v>
      </c>
      <c r="D309" s="18">
        <f t="shared" si="21"/>
        <v>0.26600000000000001</v>
      </c>
      <c r="E309" s="7">
        <v>100</v>
      </c>
      <c r="V309" s="18">
        <v>0.307</v>
      </c>
      <c r="W309" s="20">
        <f t="shared" si="22"/>
        <v>0.1610997001147251</v>
      </c>
      <c r="X309" s="20">
        <f t="shared" si="23"/>
        <v>4.4784274657930848E-3</v>
      </c>
      <c r="Y309" s="20">
        <f t="shared" si="24"/>
        <v>4.2915155584951403E-2</v>
      </c>
    </row>
    <row r="310" spans="1:25" x14ac:dyDescent="0.2">
      <c r="A310" s="7">
        <v>45866</v>
      </c>
      <c r="B310" s="7">
        <v>272</v>
      </c>
      <c r="C310" s="17">
        <f t="shared" si="20"/>
        <v>15.721</v>
      </c>
      <c r="D310" s="18">
        <f t="shared" si="21"/>
        <v>0.27200000000000002</v>
      </c>
      <c r="E310" s="7">
        <v>100</v>
      </c>
      <c r="V310" s="18">
        <v>0.308</v>
      </c>
      <c r="W310" s="20">
        <f t="shared" si="22"/>
        <v>0.1611041999677012</v>
      </c>
      <c r="X310" s="20">
        <f t="shared" si="23"/>
        <v>4.5212461590425426E-3</v>
      </c>
      <c r="Y310" s="20">
        <f t="shared" si="24"/>
        <v>4.2721192524010521E-2</v>
      </c>
    </row>
    <row r="311" spans="1:25" x14ac:dyDescent="0.2">
      <c r="A311" s="7">
        <v>45936</v>
      </c>
      <c r="B311" s="7">
        <v>276</v>
      </c>
      <c r="C311" s="17">
        <f t="shared" si="20"/>
        <v>15.791</v>
      </c>
      <c r="D311" s="18">
        <f t="shared" si="21"/>
        <v>0.27600000000000002</v>
      </c>
      <c r="E311" s="7">
        <v>100</v>
      </c>
      <c r="V311" s="18">
        <v>0.309</v>
      </c>
      <c r="W311" s="20">
        <f t="shared" si="22"/>
        <v>0.16110874254135329</v>
      </c>
      <c r="X311" s="20">
        <f t="shared" si="23"/>
        <v>4.5638677846881262E-3</v>
      </c>
      <c r="Y311" s="20">
        <f t="shared" si="24"/>
        <v>4.2521030998914133E-2</v>
      </c>
    </row>
    <row r="312" spans="1:25" x14ac:dyDescent="0.2">
      <c r="A312" s="7">
        <v>45968</v>
      </c>
      <c r="B312" s="7">
        <v>274</v>
      </c>
      <c r="C312" s="17">
        <f t="shared" si="20"/>
        <v>15.823</v>
      </c>
      <c r="D312" s="18">
        <f t="shared" si="21"/>
        <v>0.27400000000000002</v>
      </c>
      <c r="E312" s="7">
        <v>100</v>
      </c>
      <c r="V312" s="18">
        <v>0.31</v>
      </c>
      <c r="W312" s="20">
        <f t="shared" si="22"/>
        <v>0.16111332763552513</v>
      </c>
      <c r="X312" s="20">
        <f t="shared" si="23"/>
        <v>4.6062861761036536E-3</v>
      </c>
      <c r="Y312" s="20">
        <f t="shared" si="24"/>
        <v>4.2314734658333686E-2</v>
      </c>
    </row>
    <row r="313" spans="1:25" x14ac:dyDescent="0.2">
      <c r="A313" s="7">
        <v>46037</v>
      </c>
      <c r="B313" s="7">
        <v>279</v>
      </c>
      <c r="C313" s="17">
        <f t="shared" si="20"/>
        <v>15.891999999999999</v>
      </c>
      <c r="D313" s="18">
        <f t="shared" si="21"/>
        <v>0.27900000000000003</v>
      </c>
      <c r="E313" s="7">
        <v>100</v>
      </c>
      <c r="V313" s="18">
        <v>0.311</v>
      </c>
      <c r="W313" s="20">
        <f t="shared" si="22"/>
        <v>0.1611179550439257</v>
      </c>
      <c r="X313" s="20">
        <f t="shared" si="23"/>
        <v>4.6484952302306495E-3</v>
      </c>
      <c r="Y313" s="20">
        <f t="shared" si="24"/>
        <v>4.2102366989973161E-2</v>
      </c>
    </row>
    <row r="314" spans="1:25" x14ac:dyDescent="0.2">
      <c r="A314" s="7">
        <v>46069</v>
      </c>
      <c r="B314" s="7">
        <v>284</v>
      </c>
      <c r="C314" s="17">
        <f t="shared" si="20"/>
        <v>15.923999999999999</v>
      </c>
      <c r="D314" s="18">
        <f t="shared" si="21"/>
        <v>0.28399999999999997</v>
      </c>
      <c r="E314" s="7">
        <v>80</v>
      </c>
      <c r="V314" s="18">
        <v>0.312</v>
      </c>
      <c r="W314" s="20">
        <f t="shared" si="22"/>
        <v>0.16112262455419257</v>
      </c>
      <c r="X314" s="20">
        <f t="shared" si="23"/>
        <v>4.6904889074183623E-3</v>
      </c>
      <c r="Y314" s="20">
        <f t="shared" si="24"/>
        <v>4.1883991320567748E-2</v>
      </c>
    </row>
    <row r="315" spans="1:25" x14ac:dyDescent="0.2">
      <c r="A315" s="7">
        <v>46138</v>
      </c>
      <c r="B315" s="7">
        <v>288</v>
      </c>
      <c r="C315" s="17">
        <f t="shared" si="20"/>
        <v>15.993</v>
      </c>
      <c r="D315" s="18">
        <f t="shared" si="21"/>
        <v>0.28799999999999998</v>
      </c>
      <c r="E315" s="7">
        <v>80</v>
      </c>
      <c r="V315" s="18">
        <v>0.313</v>
      </c>
      <c r="W315" s="20">
        <f t="shared" si="22"/>
        <v>0.16112733594795539</v>
      </c>
      <c r="X315" s="20">
        <f t="shared" si="23"/>
        <v>4.7322612312618376E-3</v>
      </c>
      <c r="Y315" s="20">
        <f t="shared" si="24"/>
        <v>4.1659670815884287E-2</v>
      </c>
    </row>
    <row r="316" spans="1:25" x14ac:dyDescent="0.2">
      <c r="A316" s="7">
        <v>46170</v>
      </c>
      <c r="B316" s="7">
        <v>287</v>
      </c>
      <c r="C316" s="17">
        <f t="shared" si="20"/>
        <v>16.024999999999999</v>
      </c>
      <c r="D316" s="18">
        <f t="shared" si="21"/>
        <v>0.28699999999999998</v>
      </c>
      <c r="E316" s="7">
        <v>80</v>
      </c>
      <c r="V316" s="18">
        <v>0.314</v>
      </c>
      <c r="W316" s="20">
        <f t="shared" si="22"/>
        <v>0.16113208900089884</v>
      </c>
      <c r="X316" s="20">
        <f t="shared" si="23"/>
        <v>4.773806288441769E-3</v>
      </c>
      <c r="Y316" s="20">
        <f t="shared" si="24"/>
        <v>4.1429468480721265E-2</v>
      </c>
    </row>
    <row r="317" spans="1:25" x14ac:dyDescent="0.2">
      <c r="A317" s="7">
        <v>46239</v>
      </c>
      <c r="B317" s="7">
        <v>290</v>
      </c>
      <c r="C317" s="17">
        <f t="shared" si="20"/>
        <v>16.094000000000001</v>
      </c>
      <c r="D317" s="18">
        <f t="shared" si="21"/>
        <v>0.28999999999999998</v>
      </c>
      <c r="E317" s="7">
        <v>80</v>
      </c>
      <c r="V317" s="18">
        <v>0.315</v>
      </c>
      <c r="W317" s="20">
        <f t="shared" si="22"/>
        <v>0.16113688348282587</v>
      </c>
      <c r="X317" s="20">
        <f t="shared" si="23"/>
        <v>4.8151182285628771E-3</v>
      </c>
      <c r="Y317" s="20">
        <f t="shared" si="24"/>
        <v>4.1193447158909713E-2</v>
      </c>
    </row>
    <row r="318" spans="1:25" x14ac:dyDescent="0.2">
      <c r="A318" s="7">
        <v>46271</v>
      </c>
      <c r="B318" s="7">
        <v>294</v>
      </c>
      <c r="C318" s="17">
        <f t="shared" si="20"/>
        <v>16.126000000000001</v>
      </c>
      <c r="D318" s="18">
        <f t="shared" si="21"/>
        <v>0.29399999999999998</v>
      </c>
      <c r="E318" s="7">
        <v>80</v>
      </c>
      <c r="V318" s="18">
        <v>0.316</v>
      </c>
      <c r="W318" s="20">
        <f t="shared" si="22"/>
        <v>0.16114171915772038</v>
      </c>
      <c r="X318" s="20">
        <f t="shared" si="23"/>
        <v>4.8561912639933993E-3</v>
      </c>
      <c r="Y318" s="20">
        <f t="shared" si="24"/>
        <v>4.0951669533310975E-2</v>
      </c>
    </row>
    <row r="319" spans="1:25" x14ac:dyDescent="0.2">
      <c r="A319" s="7">
        <v>46340</v>
      </c>
      <c r="B319" s="7">
        <v>296</v>
      </c>
      <c r="C319" s="17">
        <f t="shared" si="20"/>
        <v>16.195</v>
      </c>
      <c r="D319" s="18">
        <f t="shared" si="21"/>
        <v>0.29599999999999999</v>
      </c>
      <c r="E319" s="7">
        <v>80</v>
      </c>
      <c r="V319" s="18">
        <v>0.317</v>
      </c>
      <c r="W319" s="20">
        <f t="shared" si="22"/>
        <v>0.16114659578380994</v>
      </c>
      <c r="X319" s="20">
        <f t="shared" si="23"/>
        <v>4.8970196697040239E-3</v>
      </c>
      <c r="Y319" s="20">
        <f t="shared" si="24"/>
        <v>4.0704198125818714E-2</v>
      </c>
    </row>
    <row r="320" spans="1:25" x14ac:dyDescent="0.2">
      <c r="A320" s="7">
        <v>46372</v>
      </c>
      <c r="B320" s="7">
        <v>293</v>
      </c>
      <c r="C320" s="17">
        <f t="shared" si="20"/>
        <v>16.227</v>
      </c>
      <c r="D320" s="18">
        <f t="shared" si="21"/>
        <v>0.29299999999999998</v>
      </c>
      <c r="E320" s="7">
        <v>80</v>
      </c>
      <c r="V320" s="18">
        <v>0.318</v>
      </c>
      <c r="W320" s="20">
        <f t="shared" si="22"/>
        <v>0.16115151311362833</v>
      </c>
      <c r="X320" s="20">
        <f t="shared" si="23"/>
        <v>4.937597783106519E-3</v>
      </c>
      <c r="Y320" s="20">
        <f t="shared" si="24"/>
        <v>4.0451095297358908E-2</v>
      </c>
    </row>
    <row r="321" spans="1:25" x14ac:dyDescent="0.2">
      <c r="A321" s="7">
        <v>46441</v>
      </c>
      <c r="B321" s="7">
        <v>294</v>
      </c>
      <c r="C321" s="17">
        <f t="shared" si="20"/>
        <v>16.295999999999999</v>
      </c>
      <c r="D321" s="18">
        <f t="shared" si="21"/>
        <v>0.29399999999999998</v>
      </c>
      <c r="E321" s="7">
        <v>80</v>
      </c>
      <c r="V321" s="18">
        <v>0.31900000000000001</v>
      </c>
      <c r="W321" s="20">
        <f t="shared" si="22"/>
        <v>0.16115647089407792</v>
      </c>
      <c r="X321" s="20">
        <f t="shared" si="23"/>
        <v>4.9779200038935004E-3</v>
      </c>
      <c r="Y321" s="20">
        <f t="shared" si="24"/>
        <v>4.0192423247888298E-2</v>
      </c>
    </row>
    <row r="322" spans="1:25" x14ac:dyDescent="0.2">
      <c r="A322" s="7">
        <v>46472</v>
      </c>
      <c r="B322" s="7">
        <v>294</v>
      </c>
      <c r="C322" s="17">
        <f t="shared" si="20"/>
        <v>16.327000000000002</v>
      </c>
      <c r="D322" s="18">
        <f t="shared" si="21"/>
        <v>0.29399999999999998</v>
      </c>
      <c r="E322" s="7">
        <v>80</v>
      </c>
      <c r="V322" s="18">
        <v>0.32</v>
      </c>
      <c r="W322" s="20">
        <f t="shared" si="22"/>
        <v>0.16116146886649182</v>
      </c>
      <c r="X322" s="20">
        <f t="shared" si="23"/>
        <v>5.0179807938767543E-3</v>
      </c>
      <c r="Y322" s="20">
        <f t="shared" si="24"/>
        <v>3.9928244016395942E-2</v>
      </c>
    </row>
    <row r="323" spans="1:25" x14ac:dyDescent="0.2">
      <c r="A323" s="7">
        <v>46542</v>
      </c>
      <c r="B323" s="7">
        <v>292</v>
      </c>
      <c r="C323" s="17">
        <f t="shared" ref="C323:C386" si="25">($A323-$A$2)/1000</f>
        <v>16.396999999999998</v>
      </c>
      <c r="D323" s="18">
        <f t="shared" ref="D323:D386" si="26">$B323/1000</f>
        <v>0.29199999999999998</v>
      </c>
      <c r="E323" s="7">
        <v>80</v>
      </c>
      <c r="V323" s="18">
        <v>0.32100000000000001</v>
      </c>
      <c r="W323" s="20">
        <f t="shared" ref="W323:W386" si="27" xml:space="preserve"> -0.223567093536985*V323^6 + 0.944228289125022*V323^5 - 1.39425331473467*V323^4 + 0.919786041369661*V323^3 - 0.280641903613287*V323^2 + 0.0398143416441599*V323 + 0.158710616051081</f>
        <v>0.16116650676669597</v>
      </c>
      <c r="X323" s="20">
        <f t="shared" ref="X323:X386" si="28" xml:space="preserve"> 6*-0.223567093536985*V323^5 + 5*0.944228289125022*V323^4 - 4*1.39425331473467*V323^3 + 3*0.919786041369661*V323^2 - 2*0.280641903613287*V323^1 + 0.0398143416441599</f>
        <v>5.0577746768267276E-3</v>
      </c>
      <c r="Y323" s="20">
        <f t="shared" ref="Y323:Y386" si="29" xml:space="preserve"> 5*6*-0.223567093536985*V323^4 + 4*5*0.944228289125022*V323^3 - 3*4*1.39425331473467*V323^2 + 2*3*0.919786041369661*V323^1 - 2*0.280641903613287</f>
        <v>3.965861948090188E-2</v>
      </c>
    </row>
    <row r="324" spans="1:25" x14ac:dyDescent="0.2">
      <c r="A324" s="7">
        <v>46574</v>
      </c>
      <c r="B324" s="7">
        <v>289</v>
      </c>
      <c r="C324" s="17">
        <f t="shared" si="25"/>
        <v>16.428999999999998</v>
      </c>
      <c r="D324" s="18">
        <f t="shared" si="26"/>
        <v>0.28899999999999998</v>
      </c>
      <c r="E324" s="7">
        <v>80</v>
      </c>
      <c r="V324" s="18">
        <v>0.32200000000000001</v>
      </c>
      <c r="W324" s="20">
        <f t="shared" si="27"/>
        <v>0.16117158432507098</v>
      </c>
      <c r="X324" s="20">
        <f t="shared" si="28"/>
        <v>5.097296238311351E-3</v>
      </c>
      <c r="Y324" s="20">
        <f t="shared" si="29"/>
        <v>3.9383611358458914E-2</v>
      </c>
    </row>
    <row r="325" spans="1:25" x14ac:dyDescent="0.2">
      <c r="A325" s="7">
        <v>46634</v>
      </c>
      <c r="B325" s="7">
        <v>283</v>
      </c>
      <c r="C325" s="17">
        <f t="shared" si="25"/>
        <v>16.489000000000001</v>
      </c>
      <c r="D325" s="18">
        <f t="shared" si="26"/>
        <v>0.28299999999999997</v>
      </c>
      <c r="E325" s="7">
        <v>85</v>
      </c>
      <c r="V325" s="18">
        <v>0.32300000000000001</v>
      </c>
      <c r="W325" s="20">
        <f t="shared" si="27"/>
        <v>0.16117670126661382</v>
      </c>
      <c r="X325" s="20">
        <f t="shared" si="28"/>
        <v>5.1365401255351398E-3</v>
      </c>
      <c r="Y325" s="20">
        <f t="shared" si="29"/>
        <v>3.9103281205150608E-2</v>
      </c>
    </row>
    <row r="326" spans="1:25" x14ac:dyDescent="0.2">
      <c r="A326" s="7">
        <v>46703</v>
      </c>
      <c r="B326" s="7">
        <v>278</v>
      </c>
      <c r="C326" s="17">
        <f t="shared" si="25"/>
        <v>16.558</v>
      </c>
      <c r="D326" s="18">
        <f t="shared" si="26"/>
        <v>0.27800000000000002</v>
      </c>
      <c r="E326" s="7">
        <v>100</v>
      </c>
      <c r="V326" s="18">
        <v>0.32400000000000001</v>
      </c>
      <c r="W326" s="20">
        <f t="shared" si="27"/>
        <v>0.16118185731099952</v>
      </c>
      <c r="X326" s="20">
        <f t="shared" si="28"/>
        <v>5.175501047178184E-3</v>
      </c>
      <c r="Y326" s="20">
        <f t="shared" si="29"/>
        <v>3.8817690416092621E-2</v>
      </c>
    </row>
    <row r="327" spans="1:25" x14ac:dyDescent="0.2">
      <c r="A327" s="7">
        <v>46734</v>
      </c>
      <c r="B327" s="7">
        <v>274</v>
      </c>
      <c r="C327" s="17">
        <f t="shared" si="25"/>
        <v>16.588999999999999</v>
      </c>
      <c r="D327" s="18">
        <f t="shared" si="26"/>
        <v>0.27400000000000002</v>
      </c>
      <c r="E327" s="7">
        <v>100</v>
      </c>
      <c r="V327" s="18">
        <v>0.32500000000000001</v>
      </c>
      <c r="W327" s="20">
        <f t="shared" si="27"/>
        <v>0.16118705217264231</v>
      </c>
      <c r="X327" s="20">
        <f t="shared" si="28"/>
        <v>5.2141737732352492E-3</v>
      </c>
      <c r="Y327" s="20">
        <f t="shared" si="29"/>
        <v>3.8526900225431593E-2</v>
      </c>
    </row>
    <row r="328" spans="1:25" x14ac:dyDescent="0.2">
      <c r="A328" s="7">
        <v>46804</v>
      </c>
      <c r="B328" s="7">
        <v>266</v>
      </c>
      <c r="C328" s="17">
        <f t="shared" si="25"/>
        <v>16.658999999999999</v>
      </c>
      <c r="D328" s="18">
        <f t="shared" si="26"/>
        <v>0.26600000000000001</v>
      </c>
      <c r="E328" s="7">
        <v>100</v>
      </c>
      <c r="V328" s="18">
        <v>0.32600000000000001</v>
      </c>
      <c r="W328" s="20">
        <f t="shared" si="27"/>
        <v>0.16119228556075715</v>
      </c>
      <c r="X328" s="20">
        <f t="shared" si="28"/>
        <v>5.2525531348547386E-3</v>
      </c>
      <c r="Y328" s="20">
        <f t="shared" si="29"/>
        <v>3.823097170634715E-2</v>
      </c>
    </row>
    <row r="329" spans="1:25" x14ac:dyDescent="0.2">
      <c r="A329" s="7">
        <v>46836</v>
      </c>
      <c r="B329" s="7">
        <v>262</v>
      </c>
      <c r="C329" s="17">
        <f t="shared" si="25"/>
        <v>16.690999999999999</v>
      </c>
      <c r="D329" s="18">
        <f t="shared" si="26"/>
        <v>0.26200000000000001</v>
      </c>
      <c r="E329" s="7">
        <v>100</v>
      </c>
      <c r="V329" s="18">
        <v>0.32700000000000001</v>
      </c>
      <c r="W329" s="20">
        <f t="shared" si="27"/>
        <v>0.16119755717942058</v>
      </c>
      <c r="X329" s="20">
        <f t="shared" si="28"/>
        <v>5.2906340241776276E-3</v>
      </c>
      <c r="Y329" s="20">
        <f t="shared" si="29"/>
        <v>3.7929965771050567E-2</v>
      </c>
    </row>
    <row r="330" spans="1:25" x14ac:dyDescent="0.2">
      <c r="A330" s="7">
        <v>46905</v>
      </c>
      <c r="B330" s="7">
        <v>255</v>
      </c>
      <c r="C330" s="17">
        <f t="shared" si="25"/>
        <v>16.760000000000002</v>
      </c>
      <c r="D330" s="18">
        <f t="shared" si="26"/>
        <v>0.255</v>
      </c>
      <c r="E330" s="7">
        <v>100</v>
      </c>
      <c r="V330" s="18">
        <v>0.32800000000000001</v>
      </c>
      <c r="W330" s="20">
        <f t="shared" si="27"/>
        <v>0.16120286672763173</v>
      </c>
      <c r="X330" s="20">
        <f t="shared" si="28"/>
        <v>5.3284113941769254E-3</v>
      </c>
      <c r="Y330" s="20">
        <f t="shared" si="29"/>
        <v>3.762394317078277E-2</v>
      </c>
    </row>
    <row r="331" spans="1:25" x14ac:dyDescent="0.2">
      <c r="A331" s="7">
        <v>46936</v>
      </c>
      <c r="B331" s="7">
        <v>254</v>
      </c>
      <c r="C331" s="17">
        <f t="shared" si="25"/>
        <v>16.791</v>
      </c>
      <c r="D331" s="18">
        <f t="shared" si="26"/>
        <v>0.254</v>
      </c>
      <c r="E331" s="7">
        <v>100</v>
      </c>
      <c r="V331" s="18">
        <v>0.32900000000000001</v>
      </c>
      <c r="W331" s="20">
        <f t="shared" si="27"/>
        <v>0.16120821389937304</v>
      </c>
      <c r="X331" s="20">
        <f t="shared" si="28"/>
        <v>5.3658802584961099E-3</v>
      </c>
      <c r="Y331" s="20">
        <f t="shared" si="29"/>
        <v>3.7312964495818779E-2</v>
      </c>
    </row>
    <row r="332" spans="1:25" x14ac:dyDescent="0.2">
      <c r="A332" s="7">
        <v>47006</v>
      </c>
      <c r="B332" s="7">
        <v>249</v>
      </c>
      <c r="C332" s="17">
        <f t="shared" si="25"/>
        <v>16.861000000000001</v>
      </c>
      <c r="D332" s="18">
        <f t="shared" si="26"/>
        <v>0.249</v>
      </c>
      <c r="E332" s="7">
        <v>100</v>
      </c>
      <c r="V332" s="18">
        <v>0.33</v>
      </c>
      <c r="W332" s="20">
        <f t="shared" si="27"/>
        <v>0.16121359838367086</v>
      </c>
      <c r="X332" s="20">
        <f t="shared" si="28"/>
        <v>5.4030356912885893E-3</v>
      </c>
      <c r="Y332" s="20">
        <f t="shared" si="29"/>
        <v>3.6997090175463931E-2</v>
      </c>
    </row>
    <row r="333" spans="1:25" x14ac:dyDescent="0.2">
      <c r="A333" s="7">
        <v>47038</v>
      </c>
      <c r="B333" s="7">
        <v>248</v>
      </c>
      <c r="C333" s="17">
        <f t="shared" si="25"/>
        <v>16.893000000000001</v>
      </c>
      <c r="D333" s="18">
        <f t="shared" si="26"/>
        <v>0.248</v>
      </c>
      <c r="E333" s="7">
        <v>100</v>
      </c>
      <c r="V333" s="18">
        <v>0.33100000000000002</v>
      </c>
      <c r="W333" s="20">
        <f t="shared" si="27"/>
        <v>0.16121901986465592</v>
      </c>
      <c r="X333" s="20">
        <f t="shared" si="28"/>
        <v>5.4398728270564703E-3</v>
      </c>
      <c r="Y333" s="20">
        <f t="shared" si="29"/>
        <v>3.6676380478055881E-2</v>
      </c>
    </row>
    <row r="334" spans="1:25" x14ac:dyDescent="0.2">
      <c r="A334" s="7">
        <v>47107</v>
      </c>
      <c r="B334" s="7">
        <v>246</v>
      </c>
      <c r="C334" s="17">
        <f t="shared" si="25"/>
        <v>16.962</v>
      </c>
      <c r="D334" s="18">
        <f t="shared" si="26"/>
        <v>0.246</v>
      </c>
      <c r="E334" s="7">
        <v>100</v>
      </c>
      <c r="V334" s="18">
        <v>0.33200000000000002</v>
      </c>
      <c r="W334" s="20">
        <f t="shared" si="27"/>
        <v>0.16122447802162354</v>
      </c>
      <c r="X334" s="20">
        <f t="shared" si="28"/>
        <v>5.476386860489936E-3</v>
      </c>
      <c r="Y334" s="20">
        <f t="shared" si="29"/>
        <v>3.6350895510963488E-2</v>
      </c>
    </row>
    <row r="335" spans="1:25" x14ac:dyDescent="0.2">
      <c r="A335" s="7">
        <v>47138</v>
      </c>
      <c r="B335" s="7">
        <v>247</v>
      </c>
      <c r="C335" s="17">
        <f t="shared" si="25"/>
        <v>16.992999999999999</v>
      </c>
      <c r="D335" s="18">
        <f t="shared" si="26"/>
        <v>0.247</v>
      </c>
      <c r="E335" s="7">
        <v>100</v>
      </c>
      <c r="V335" s="18">
        <v>0.33300000000000002</v>
      </c>
      <c r="W335" s="20">
        <f t="shared" si="27"/>
        <v>0.16122997252909371</v>
      </c>
      <c r="X335" s="20">
        <f t="shared" si="28"/>
        <v>5.5125730463057368E-3</v>
      </c>
      <c r="Y335" s="20">
        <f t="shared" si="29"/>
        <v>3.6020695220587706E-2</v>
      </c>
    </row>
    <row r="336" spans="1:25" x14ac:dyDescent="0.2">
      <c r="A336" s="7">
        <v>47208</v>
      </c>
      <c r="B336" s="7">
        <v>249</v>
      </c>
      <c r="C336" s="17">
        <f t="shared" si="25"/>
        <v>17.062999999999999</v>
      </c>
      <c r="D336" s="18">
        <f t="shared" si="26"/>
        <v>0.249</v>
      </c>
      <c r="E336" s="7">
        <v>100</v>
      </c>
      <c r="V336" s="18">
        <v>0.33400000000000002</v>
      </c>
      <c r="W336" s="20">
        <f t="shared" si="27"/>
        <v>0.16123550305687112</v>
      </c>
      <c r="X336" s="20">
        <f t="shared" si="28"/>
        <v>5.5484266990869571E-3</v>
      </c>
      <c r="Y336" s="20">
        <f t="shared" si="29"/>
        <v>3.5685839392360696E-2</v>
      </c>
    </row>
    <row r="337" spans="1:25" x14ac:dyDescent="0.2">
      <c r="A337" s="7">
        <v>47240</v>
      </c>
      <c r="B337" s="7">
        <v>249</v>
      </c>
      <c r="C337" s="17">
        <f t="shared" si="25"/>
        <v>17.094999999999999</v>
      </c>
      <c r="D337" s="18">
        <f t="shared" si="26"/>
        <v>0.249</v>
      </c>
      <c r="E337" s="7">
        <v>100</v>
      </c>
      <c r="V337" s="18">
        <v>0.33500000000000002</v>
      </c>
      <c r="W337" s="20">
        <f t="shared" si="27"/>
        <v>0.16124106927010495</v>
      </c>
      <c r="X337" s="20">
        <f t="shared" si="28"/>
        <v>5.5839431931211728E-3</v>
      </c>
      <c r="Y337" s="20">
        <f t="shared" si="29"/>
        <v>3.5346387650747824E-2</v>
      </c>
    </row>
    <row r="338" spans="1:25" x14ac:dyDescent="0.2">
      <c r="A338" s="7">
        <v>47309</v>
      </c>
      <c r="B338" s="7">
        <v>252</v>
      </c>
      <c r="C338" s="17">
        <f t="shared" si="25"/>
        <v>17.164000000000001</v>
      </c>
      <c r="D338" s="18">
        <f t="shared" si="26"/>
        <v>0.252</v>
      </c>
      <c r="E338" s="7">
        <v>100</v>
      </c>
      <c r="V338" s="18">
        <v>0.33600000000000002</v>
      </c>
      <c r="W338" s="20">
        <f t="shared" si="27"/>
        <v>0.16124667082934843</v>
      </c>
      <c r="X338" s="20">
        <f t="shared" si="28"/>
        <v>5.6191179622402179E-3</v>
      </c>
      <c r="Y338" s="20">
        <f t="shared" si="29"/>
        <v>3.500239945924366E-2</v>
      </c>
    </row>
    <row r="339" spans="1:25" x14ac:dyDescent="0.2">
      <c r="A339" s="7">
        <v>47340</v>
      </c>
      <c r="B339" s="7">
        <v>256</v>
      </c>
      <c r="C339" s="17">
        <f t="shared" si="25"/>
        <v>17.195</v>
      </c>
      <c r="D339" s="18">
        <f t="shared" si="26"/>
        <v>0.25600000000000001</v>
      </c>
      <c r="E339" s="7">
        <v>100</v>
      </c>
      <c r="V339" s="18">
        <v>0.33700000000000002</v>
      </c>
      <c r="W339" s="20">
        <f t="shared" si="27"/>
        <v>0.16125230739061822</v>
      </c>
      <c r="X339" s="20">
        <f t="shared" si="28"/>
        <v>5.6539464996590363E-3</v>
      </c>
      <c r="Y339" s="20">
        <f t="shared" si="29"/>
        <v>3.4653934120375984E-2</v>
      </c>
    </row>
    <row r="340" spans="1:25" x14ac:dyDescent="0.2">
      <c r="A340" s="7">
        <v>47410</v>
      </c>
      <c r="B340" s="7">
        <v>260</v>
      </c>
      <c r="C340" s="17">
        <f t="shared" si="25"/>
        <v>17.265000000000001</v>
      </c>
      <c r="D340" s="18">
        <f t="shared" si="26"/>
        <v>0.26</v>
      </c>
      <c r="E340" s="7">
        <v>100</v>
      </c>
      <c r="V340" s="18">
        <v>0.33800000000000002</v>
      </c>
      <c r="W340" s="20">
        <f t="shared" si="27"/>
        <v>0.16125797860545399</v>
      </c>
      <c r="X340" s="20">
        <f t="shared" si="28"/>
        <v>5.6884243578141716E-3</v>
      </c>
      <c r="Y340" s="20">
        <f t="shared" si="29"/>
        <v>3.4301050775704667E-2</v>
      </c>
    </row>
    <row r="341" spans="1:25" x14ac:dyDescent="0.2">
      <c r="A341" s="7">
        <v>47442</v>
      </c>
      <c r="B341" s="7">
        <v>260</v>
      </c>
      <c r="C341" s="17">
        <f t="shared" si="25"/>
        <v>17.297000000000001</v>
      </c>
      <c r="D341" s="18">
        <f t="shared" si="26"/>
        <v>0.26</v>
      </c>
      <c r="E341" s="7">
        <v>100</v>
      </c>
      <c r="V341" s="18">
        <v>0.33900000000000002</v>
      </c>
      <c r="W341" s="20">
        <f t="shared" si="27"/>
        <v>0.16126368412097727</v>
      </c>
      <c r="X341" s="20">
        <f t="shared" si="28"/>
        <v>5.7225471482037563E-3</v>
      </c>
      <c r="Y341" s="20">
        <f t="shared" si="29"/>
        <v>3.3943808405820564E-2</v>
      </c>
    </row>
    <row r="342" spans="1:25" x14ac:dyDescent="0.2">
      <c r="A342" s="7">
        <v>47511</v>
      </c>
      <c r="B342" s="7">
        <v>264</v>
      </c>
      <c r="C342" s="17">
        <f t="shared" si="25"/>
        <v>17.366</v>
      </c>
      <c r="D342" s="18">
        <f t="shared" si="26"/>
        <v>0.26400000000000001</v>
      </c>
      <c r="E342" s="7">
        <v>100</v>
      </c>
      <c r="V342" s="18">
        <v>0.34</v>
      </c>
      <c r="W342" s="20">
        <f t="shared" si="27"/>
        <v>0.16126942357995064</v>
      </c>
      <c r="X342" s="20">
        <f t="shared" si="28"/>
        <v>5.7563105412257246E-3</v>
      </c>
      <c r="Y342" s="20">
        <f t="shared" si="29"/>
        <v>3.3582265830345515E-2</v>
      </c>
    </row>
    <row r="343" spans="1:25" x14ac:dyDescent="0.2">
      <c r="A343" s="7">
        <v>47543</v>
      </c>
      <c r="B343" s="7">
        <v>269</v>
      </c>
      <c r="C343" s="17">
        <f t="shared" si="25"/>
        <v>17.398</v>
      </c>
      <c r="D343" s="18">
        <f t="shared" si="26"/>
        <v>0.26900000000000002</v>
      </c>
      <c r="E343" s="7">
        <v>100</v>
      </c>
      <c r="V343" s="18">
        <v>0.34100000000000003</v>
      </c>
      <c r="W343" s="20">
        <f t="shared" si="27"/>
        <v>0.16127519662083634</v>
      </c>
      <c r="X343" s="20">
        <f t="shared" si="28"/>
        <v>5.7897102660173019E-3</v>
      </c>
      <c r="Y343" s="20">
        <f t="shared" si="29"/>
        <v>3.3216481707934786E-2</v>
      </c>
    </row>
    <row r="344" spans="1:25" x14ac:dyDescent="0.2">
      <c r="A344" s="7">
        <v>47612</v>
      </c>
      <c r="B344" s="7">
        <v>273</v>
      </c>
      <c r="C344" s="17">
        <f t="shared" si="25"/>
        <v>17.466999999999999</v>
      </c>
      <c r="D344" s="18">
        <f t="shared" si="26"/>
        <v>0.27300000000000002</v>
      </c>
      <c r="E344" s="7">
        <v>100</v>
      </c>
      <c r="V344" s="18">
        <v>0.34200000000000003</v>
      </c>
      <c r="W344" s="20">
        <f t="shared" si="27"/>
        <v>0.16128100287785516</v>
      </c>
      <c r="X344" s="20">
        <f t="shared" si="28"/>
        <v>5.8227421102936341E-3</v>
      </c>
      <c r="Y344" s="20">
        <f t="shared" si="29"/>
        <v>3.2846514536273963E-2</v>
      </c>
    </row>
    <row r="345" spans="1:25" x14ac:dyDescent="0.2">
      <c r="A345" s="7">
        <v>47644</v>
      </c>
      <c r="B345" s="7">
        <v>272</v>
      </c>
      <c r="C345" s="17">
        <f t="shared" si="25"/>
        <v>17.498999999999999</v>
      </c>
      <c r="D345" s="18">
        <f t="shared" si="26"/>
        <v>0.27200000000000002</v>
      </c>
      <c r="E345" s="7">
        <v>100</v>
      </c>
      <c r="V345" s="18">
        <v>0.34300000000000003</v>
      </c>
      <c r="W345" s="20">
        <f t="shared" si="27"/>
        <v>0.16128684198104482</v>
      </c>
      <c r="X345" s="20">
        <f t="shared" si="28"/>
        <v>5.8554019201874433E-3</v>
      </c>
      <c r="Y345" s="20">
        <f t="shared" si="29"/>
        <v>3.2472422652081168E-2</v>
      </c>
    </row>
    <row r="346" spans="1:25" x14ac:dyDescent="0.2">
      <c r="A346" s="7">
        <v>47713</v>
      </c>
      <c r="B346" s="7">
        <v>276</v>
      </c>
      <c r="C346" s="17">
        <f t="shared" si="25"/>
        <v>17.568000000000001</v>
      </c>
      <c r="D346" s="18">
        <f t="shared" si="26"/>
        <v>0.27600000000000002</v>
      </c>
      <c r="E346" s="7">
        <v>100</v>
      </c>
      <c r="V346" s="18">
        <v>0.34399999999999997</v>
      </c>
      <c r="W346" s="20">
        <f t="shared" si="27"/>
        <v>0.16129271355631825</v>
      </c>
      <c r="X346" s="20">
        <f t="shared" si="28"/>
        <v>5.8876856000873515E-3</v>
      </c>
      <c r="Y346" s="20">
        <f t="shared" si="29"/>
        <v>3.2094264231105507E-2</v>
      </c>
    </row>
    <row r="347" spans="1:25" x14ac:dyDescent="0.2">
      <c r="A347" s="7">
        <v>47744</v>
      </c>
      <c r="B347" s="7">
        <v>279</v>
      </c>
      <c r="C347" s="17">
        <f t="shared" si="25"/>
        <v>17.599</v>
      </c>
      <c r="D347" s="18">
        <f t="shared" si="26"/>
        <v>0.27900000000000003</v>
      </c>
      <c r="E347" s="7">
        <v>100</v>
      </c>
      <c r="V347" s="18">
        <v>0.34499999999999997</v>
      </c>
      <c r="W347" s="20">
        <f t="shared" si="27"/>
        <v>0.16129861722552183</v>
      </c>
      <c r="X347" s="20">
        <f t="shared" si="28"/>
        <v>5.9195891124774261E-3</v>
      </c>
      <c r="Y347" s="20">
        <f t="shared" si="29"/>
        <v>3.1712097288128183E-2</v>
      </c>
    </row>
    <row r="348" spans="1:25" x14ac:dyDescent="0.2">
      <c r="A348" s="7">
        <v>47805</v>
      </c>
      <c r="B348" s="7">
        <v>283</v>
      </c>
      <c r="C348" s="17">
        <f t="shared" si="25"/>
        <v>17.66</v>
      </c>
      <c r="D348" s="18">
        <f t="shared" si="26"/>
        <v>0.28299999999999997</v>
      </c>
      <c r="E348" s="7">
        <v>85</v>
      </c>
      <c r="V348" s="18">
        <v>0.34599999999999997</v>
      </c>
      <c r="W348" s="20">
        <f t="shared" si="27"/>
        <v>0.16130455260649351</v>
      </c>
      <c r="X348" s="20">
        <f t="shared" si="28"/>
        <v>5.9511084777760306E-3</v>
      </c>
      <c r="Y348" s="20">
        <f t="shared" si="29"/>
        <v>3.1325979676961824E-2</v>
      </c>
    </row>
    <row r="349" spans="1:25" x14ac:dyDescent="0.2">
      <c r="A349" s="7">
        <v>47874</v>
      </c>
      <c r="B349" s="7">
        <v>285</v>
      </c>
      <c r="C349" s="17">
        <f t="shared" si="25"/>
        <v>17.728999999999999</v>
      </c>
      <c r="D349" s="18">
        <f t="shared" si="26"/>
        <v>0.28499999999999998</v>
      </c>
      <c r="E349" s="7">
        <v>80</v>
      </c>
      <c r="V349" s="18">
        <v>0.34699999999999998</v>
      </c>
      <c r="W349" s="20">
        <f t="shared" si="27"/>
        <v>0.16131051931312046</v>
      </c>
      <c r="X349" s="20">
        <f t="shared" si="28"/>
        <v>5.9822397741747038E-3</v>
      </c>
      <c r="Y349" s="20">
        <f t="shared" si="29"/>
        <v>3.0935969090451376E-2</v>
      </c>
    </row>
    <row r="350" spans="1:25" x14ac:dyDescent="0.2">
      <c r="A350" s="7">
        <v>47906</v>
      </c>
      <c r="B350" s="7">
        <v>286</v>
      </c>
      <c r="C350" s="17">
        <f t="shared" si="25"/>
        <v>17.760999999999999</v>
      </c>
      <c r="D350" s="18">
        <f t="shared" si="26"/>
        <v>0.28599999999999998</v>
      </c>
      <c r="E350" s="7">
        <v>80</v>
      </c>
      <c r="V350" s="18">
        <v>0.34799999999999998</v>
      </c>
      <c r="W350" s="20">
        <f t="shared" si="27"/>
        <v>0.16131651695539687</v>
      </c>
      <c r="X350" s="20">
        <f t="shared" si="28"/>
        <v>6.0129791374775379E-3</v>
      </c>
      <c r="Y350" s="20">
        <f t="shared" si="29"/>
        <v>3.0542123060472326E-2</v>
      </c>
    </row>
    <row r="351" spans="1:25" x14ac:dyDescent="0.2">
      <c r="A351" s="7">
        <v>47976</v>
      </c>
      <c r="B351" s="7">
        <v>290</v>
      </c>
      <c r="C351" s="17">
        <f t="shared" si="25"/>
        <v>17.831</v>
      </c>
      <c r="D351" s="18">
        <f t="shared" si="26"/>
        <v>0.28999999999999998</v>
      </c>
      <c r="E351" s="7">
        <v>80</v>
      </c>
      <c r="V351" s="18">
        <v>0.34899999999999998</v>
      </c>
      <c r="W351" s="20">
        <f t="shared" si="27"/>
        <v>0.16132254513948149</v>
      </c>
      <c r="X351" s="20">
        <f t="shared" si="28"/>
        <v>6.0433227609398635E-3</v>
      </c>
      <c r="Y351" s="20">
        <f t="shared" si="29"/>
        <v>3.0144498957933807E-2</v>
      </c>
    </row>
    <row r="352" spans="1:25" x14ac:dyDescent="0.2">
      <c r="A352" s="7">
        <v>48006</v>
      </c>
      <c r="B352" s="7">
        <v>291</v>
      </c>
      <c r="C352" s="17">
        <f t="shared" si="25"/>
        <v>17.861000000000001</v>
      </c>
      <c r="D352" s="18">
        <f t="shared" si="26"/>
        <v>0.29099999999999998</v>
      </c>
      <c r="E352" s="7">
        <v>80</v>
      </c>
      <c r="V352" s="18">
        <v>0.35</v>
      </c>
      <c r="W352" s="20">
        <f t="shared" si="27"/>
        <v>0.16132860346775502</v>
      </c>
      <c r="X352" s="20">
        <f t="shared" si="28"/>
        <v>6.0732668951076554E-3</v>
      </c>
      <c r="Y352" s="20">
        <f t="shared" si="29"/>
        <v>2.9743153992774163E-2</v>
      </c>
    </row>
    <row r="353" spans="1:25" x14ac:dyDescent="0.2">
      <c r="A353" s="7">
        <v>48056</v>
      </c>
      <c r="B353" s="7">
        <v>292</v>
      </c>
      <c r="C353" s="17">
        <f t="shared" si="25"/>
        <v>17.911000000000001</v>
      </c>
      <c r="D353" s="18">
        <f t="shared" si="26"/>
        <v>0.29199999999999998</v>
      </c>
      <c r="E353" s="7">
        <v>80</v>
      </c>
      <c r="V353" s="18">
        <v>0.35099999999999998</v>
      </c>
      <c r="W353" s="20">
        <f t="shared" si="27"/>
        <v>0.1613346915388772</v>
      </c>
      <c r="X353" s="20">
        <f t="shared" si="28"/>
        <v>6.1028078476560513E-3</v>
      </c>
      <c r="Y353" s="20">
        <f t="shared" si="29"/>
        <v>2.9338145213965161E-2</v>
      </c>
    </row>
    <row r="354" spans="1:25" x14ac:dyDescent="0.2">
      <c r="A354" s="7">
        <v>48107</v>
      </c>
      <c r="B354" s="7">
        <v>293</v>
      </c>
      <c r="C354" s="17">
        <f t="shared" si="25"/>
        <v>17.962</v>
      </c>
      <c r="D354" s="18">
        <f t="shared" si="26"/>
        <v>0.29299999999999998</v>
      </c>
      <c r="E354" s="7">
        <v>80</v>
      </c>
      <c r="V354" s="18">
        <v>0.35199999999999998</v>
      </c>
      <c r="W354" s="20">
        <f t="shared" si="27"/>
        <v>0.16134080894784403</v>
      </c>
      <c r="X354" s="20">
        <f t="shared" si="28"/>
        <v>6.131941983228785E-3</v>
      </c>
      <c r="Y354" s="20">
        <f t="shared" si="29"/>
        <v>2.8929529509509999E-2</v>
      </c>
    </row>
    <row r="355" spans="1:25" x14ac:dyDescent="0.2">
      <c r="A355" s="7">
        <v>48176</v>
      </c>
      <c r="B355" s="7">
        <v>293</v>
      </c>
      <c r="C355" s="17">
        <f t="shared" si="25"/>
        <v>18.030999999999999</v>
      </c>
      <c r="D355" s="18">
        <f t="shared" si="26"/>
        <v>0.29299999999999998</v>
      </c>
      <c r="E355" s="7">
        <v>80</v>
      </c>
      <c r="V355" s="18">
        <v>0.35299999999999998</v>
      </c>
      <c r="W355" s="20">
        <f t="shared" si="27"/>
        <v>0.16134695528604451</v>
      </c>
      <c r="X355" s="20">
        <f t="shared" si="28"/>
        <v>6.1606657232773157E-3</v>
      </c>
      <c r="Y355" s="20">
        <f t="shared" si="29"/>
        <v>2.8517363606442858E-2</v>
      </c>
    </row>
    <row r="356" spans="1:25" x14ac:dyDescent="0.2">
      <c r="A356" s="7">
        <v>48208</v>
      </c>
      <c r="B356" s="7">
        <v>292</v>
      </c>
      <c r="C356" s="17">
        <f t="shared" si="25"/>
        <v>18.062999999999999</v>
      </c>
      <c r="D356" s="18">
        <f t="shared" si="26"/>
        <v>0.29199999999999998</v>
      </c>
      <c r="E356" s="7">
        <v>80</v>
      </c>
      <c r="V356" s="18">
        <v>0.35399999999999998</v>
      </c>
      <c r="W356" s="20">
        <f t="shared" si="27"/>
        <v>0.16135313014131747</v>
      </c>
      <c r="X356" s="20">
        <f t="shared" si="28"/>
        <v>6.1889755458992626E-3</v>
      </c>
      <c r="Y356" s="20">
        <f t="shared" si="29"/>
        <v>2.8101704070830236E-2</v>
      </c>
    </row>
    <row r="357" spans="1:25" x14ac:dyDescent="0.2">
      <c r="A357" s="7">
        <v>48279</v>
      </c>
      <c r="B357" s="7">
        <v>290</v>
      </c>
      <c r="C357" s="17">
        <f t="shared" si="25"/>
        <v>18.134</v>
      </c>
      <c r="D357" s="18">
        <f t="shared" si="26"/>
        <v>0.28999999999999998</v>
      </c>
      <c r="E357" s="7">
        <v>80</v>
      </c>
      <c r="V357" s="18">
        <v>0.35499999999999998</v>
      </c>
      <c r="W357" s="20">
        <f t="shared" si="27"/>
        <v>0.16135933309800807</v>
      </c>
      <c r="X357" s="20">
        <f t="shared" si="28"/>
        <v>6.216867985678283E-3</v>
      </c>
      <c r="Y357" s="20">
        <f t="shared" si="29"/>
        <v>2.7682607307770057E-2</v>
      </c>
    </row>
    <row r="358" spans="1:25" x14ac:dyDescent="0.2">
      <c r="A358" s="7">
        <v>48310</v>
      </c>
      <c r="B358" s="7">
        <v>289</v>
      </c>
      <c r="C358" s="17">
        <f t="shared" si="25"/>
        <v>18.164999999999999</v>
      </c>
      <c r="D358" s="18">
        <f t="shared" si="26"/>
        <v>0.28899999999999998</v>
      </c>
      <c r="E358" s="7">
        <v>80</v>
      </c>
      <c r="V358" s="18">
        <v>0.35599999999999998</v>
      </c>
      <c r="W358" s="20">
        <f t="shared" si="27"/>
        <v>0.16136556373702424</v>
      </c>
      <c r="X358" s="20">
        <f t="shared" si="28"/>
        <v>6.2443396335221737E-3</v>
      </c>
      <c r="Y358" s="20">
        <f t="shared" si="29"/>
        <v>2.7260129561392787E-2</v>
      </c>
    </row>
    <row r="359" spans="1:25" x14ac:dyDescent="0.2">
      <c r="A359" s="7">
        <v>48379</v>
      </c>
      <c r="B359" s="7">
        <v>283</v>
      </c>
      <c r="C359" s="17">
        <f t="shared" si="25"/>
        <v>18.234000000000002</v>
      </c>
      <c r="D359" s="18">
        <f t="shared" si="26"/>
        <v>0.28299999999999997</v>
      </c>
      <c r="E359" s="7">
        <v>85</v>
      </c>
      <c r="V359" s="18">
        <v>0.35699999999999998</v>
      </c>
      <c r="W359" s="20">
        <f t="shared" si="27"/>
        <v>0.16137182163589286</v>
      </c>
      <c r="X359" s="20">
        <f t="shared" si="28"/>
        <v>6.2713871365028054E-3</v>
      </c>
      <c r="Y359" s="20">
        <f t="shared" si="29"/>
        <v>2.683432691485943E-2</v>
      </c>
    </row>
    <row r="360" spans="1:25" x14ac:dyDescent="0.2">
      <c r="A360" s="7">
        <v>48411</v>
      </c>
      <c r="B360" s="7">
        <v>278</v>
      </c>
      <c r="C360" s="17">
        <f t="shared" si="25"/>
        <v>18.265999999999998</v>
      </c>
      <c r="D360" s="18">
        <f t="shared" si="26"/>
        <v>0.27800000000000002</v>
      </c>
      <c r="E360" s="7">
        <v>100</v>
      </c>
      <c r="V360" s="18">
        <v>0.35799999999999998</v>
      </c>
      <c r="W360" s="20">
        <f t="shared" si="27"/>
        <v>0.16137810636881603</v>
      </c>
      <c r="X360" s="20">
        <f t="shared" si="28"/>
        <v>6.2980071976943622E-3</v>
      </c>
      <c r="Y360" s="20">
        <f t="shared" si="29"/>
        <v>2.6405255290362417E-2</v>
      </c>
    </row>
    <row r="361" spans="1:25" x14ac:dyDescent="0.2">
      <c r="A361" s="7">
        <v>48480</v>
      </c>
      <c r="B361" s="7">
        <v>271</v>
      </c>
      <c r="C361" s="17">
        <f t="shared" si="25"/>
        <v>18.335000000000001</v>
      </c>
      <c r="D361" s="18">
        <f t="shared" si="26"/>
        <v>0.27100000000000002</v>
      </c>
      <c r="E361" s="7">
        <v>100</v>
      </c>
      <c r="V361" s="18">
        <v>0.35899999999999999</v>
      </c>
      <c r="W361" s="20">
        <f t="shared" si="27"/>
        <v>0.16138441750672669</v>
      </c>
      <c r="X361" s="20">
        <f t="shared" si="28"/>
        <v>6.3241965760130817E-3</v>
      </c>
      <c r="Y361" s="20">
        <f t="shared" si="29"/>
        <v>2.5972970449127386E-2</v>
      </c>
    </row>
    <row r="362" spans="1:25" x14ac:dyDescent="0.2">
      <c r="A362" s="7">
        <v>48512</v>
      </c>
      <c r="B362" s="7">
        <v>266</v>
      </c>
      <c r="C362" s="17">
        <f t="shared" si="25"/>
        <v>18.367000000000001</v>
      </c>
      <c r="D362" s="18">
        <f t="shared" si="26"/>
        <v>0.26600000000000001</v>
      </c>
      <c r="E362" s="7">
        <v>100</v>
      </c>
      <c r="V362" s="18">
        <v>0.36</v>
      </c>
      <c r="W362" s="20">
        <f t="shared" si="27"/>
        <v>0.16139075461734467</v>
      </c>
      <c r="X362" s="20">
        <f t="shared" si="28"/>
        <v>6.3499520860556061E-3</v>
      </c>
      <c r="Y362" s="20">
        <f t="shared" si="29"/>
        <v>2.5537527991410736E-2</v>
      </c>
    </row>
    <row r="363" spans="1:25" x14ac:dyDescent="0.2">
      <c r="A363" s="7">
        <v>48561</v>
      </c>
      <c r="B363" s="7">
        <v>257</v>
      </c>
      <c r="C363" s="17">
        <f t="shared" si="25"/>
        <v>18.416</v>
      </c>
      <c r="D363" s="18">
        <f t="shared" si="26"/>
        <v>0.25700000000000001</v>
      </c>
      <c r="E363" s="7">
        <v>100</v>
      </c>
      <c r="V363" s="18">
        <v>0.36099999999999999</v>
      </c>
      <c r="W363" s="20">
        <f t="shared" si="27"/>
        <v>0.16139711726523215</v>
      </c>
      <c r="X363" s="20">
        <f t="shared" si="28"/>
        <v>6.3752705979385552E-3</v>
      </c>
      <c r="Y363" s="20">
        <f t="shared" si="29"/>
        <v>2.5098983356500737E-2</v>
      </c>
    </row>
    <row r="364" spans="1:25" x14ac:dyDescent="0.2">
      <c r="A364" s="7">
        <v>48611</v>
      </c>
      <c r="B364" s="7">
        <v>255</v>
      </c>
      <c r="C364" s="17">
        <f t="shared" si="25"/>
        <v>18.466000000000001</v>
      </c>
      <c r="D364" s="18">
        <f t="shared" si="26"/>
        <v>0.255</v>
      </c>
      <c r="E364" s="7">
        <v>100</v>
      </c>
      <c r="V364" s="18">
        <v>0.36199999999999999</v>
      </c>
      <c r="W364" s="20">
        <f t="shared" si="27"/>
        <v>0.16140350501184905</v>
      </c>
      <c r="X364" s="20">
        <f t="shared" si="28"/>
        <v>6.4001490371374051E-3</v>
      </c>
      <c r="Y364" s="20">
        <f t="shared" si="29"/>
        <v>2.4657391822716868E-2</v>
      </c>
    </row>
    <row r="365" spans="1:25" x14ac:dyDescent="0.2">
      <c r="A365" s="7">
        <v>48681</v>
      </c>
      <c r="B365" s="7">
        <v>249</v>
      </c>
      <c r="C365" s="17">
        <f t="shared" si="25"/>
        <v>18.536000000000001</v>
      </c>
      <c r="D365" s="18">
        <f t="shared" si="26"/>
        <v>0.249</v>
      </c>
      <c r="E365" s="7">
        <v>100</v>
      </c>
      <c r="V365" s="18">
        <v>0.36299999999999999</v>
      </c>
      <c r="W365" s="20">
        <f t="shared" si="27"/>
        <v>0.16140991741560845</v>
      </c>
      <c r="X365" s="20">
        <f t="shared" si="28"/>
        <v>6.4245843843253117E-3</v>
      </c>
      <c r="Y365" s="20">
        <f t="shared" si="29"/>
        <v>2.4212808507410255E-2</v>
      </c>
    </row>
    <row r="366" spans="1:25" x14ac:dyDescent="0.2">
      <c r="A366" s="7">
        <v>48713</v>
      </c>
      <c r="B366" s="7">
        <v>245</v>
      </c>
      <c r="C366" s="17">
        <f t="shared" si="25"/>
        <v>18.568000000000001</v>
      </c>
      <c r="D366" s="18">
        <f t="shared" si="26"/>
        <v>0.245</v>
      </c>
      <c r="E366" s="7">
        <v>100</v>
      </c>
      <c r="V366" s="18">
        <v>0.36399999999999999</v>
      </c>
      <c r="W366" s="20">
        <f t="shared" si="27"/>
        <v>0.16141635403193166</v>
      </c>
      <c r="X366" s="20">
        <f t="shared" si="28"/>
        <v>6.4485736752123504E-3</v>
      </c>
      <c r="Y366" s="20">
        <f t="shared" si="29"/>
        <v>2.3765288366965676E-2</v>
      </c>
    </row>
    <row r="367" spans="1:25" x14ac:dyDescent="0.2">
      <c r="A367" s="7">
        <v>48782</v>
      </c>
      <c r="B367" s="7">
        <v>242</v>
      </c>
      <c r="C367" s="17">
        <f t="shared" si="25"/>
        <v>18.637</v>
      </c>
      <c r="D367" s="18">
        <f t="shared" si="26"/>
        <v>0.24199999999999999</v>
      </c>
      <c r="E367" s="7">
        <v>100</v>
      </c>
      <c r="V367" s="18">
        <v>0.36499999999999999</v>
      </c>
      <c r="W367" s="20">
        <f t="shared" si="27"/>
        <v>0.16142281441330303</v>
      </c>
      <c r="X367" s="20">
        <f t="shared" si="28"/>
        <v>6.4721140003844227E-3</v>
      </c>
      <c r="Y367" s="20">
        <f t="shared" si="29"/>
        <v>2.3314886196797779E-2</v>
      </c>
    </row>
    <row r="368" spans="1:25" x14ac:dyDescent="0.2">
      <c r="A368" s="7">
        <v>48813</v>
      </c>
      <c r="B368" s="7">
        <v>243</v>
      </c>
      <c r="C368" s="17">
        <f t="shared" si="25"/>
        <v>18.667999999999999</v>
      </c>
      <c r="D368" s="18">
        <f t="shared" si="26"/>
        <v>0.24299999999999999</v>
      </c>
      <c r="E368" s="7">
        <v>100</v>
      </c>
      <c r="V368" s="18">
        <v>0.36599999999999999</v>
      </c>
      <c r="W368" s="20">
        <f t="shared" si="27"/>
        <v>0.16142929810932499</v>
      </c>
      <c r="X368" s="20">
        <f t="shared" si="28"/>
        <v>6.4952025051426346E-3</v>
      </c>
      <c r="Y368" s="20">
        <f t="shared" si="29"/>
        <v>2.2861656631351757E-2</v>
      </c>
    </row>
    <row r="369" spans="1:25" x14ac:dyDescent="0.2">
      <c r="A369" s="7">
        <v>48883</v>
      </c>
      <c r="B369" s="7">
        <v>242</v>
      </c>
      <c r="C369" s="17">
        <f t="shared" si="25"/>
        <v>18.738</v>
      </c>
      <c r="D369" s="18">
        <f t="shared" si="26"/>
        <v>0.24199999999999999</v>
      </c>
      <c r="E369" s="7">
        <v>100</v>
      </c>
      <c r="V369" s="18">
        <v>0.36699999999999999</v>
      </c>
      <c r="W369" s="20">
        <f t="shared" si="27"/>
        <v>0.16143580466677254</v>
      </c>
      <c r="X369" s="20">
        <f t="shared" si="28"/>
        <v>6.5178363893416483E-3</v>
      </c>
      <c r="Y369" s="20">
        <f t="shared" si="29"/>
        <v>2.2405654144107778E-2</v>
      </c>
    </row>
    <row r="370" spans="1:25" x14ac:dyDescent="0.2">
      <c r="A370" s="7">
        <v>48915</v>
      </c>
      <c r="B370" s="7">
        <v>243</v>
      </c>
      <c r="C370" s="17">
        <f t="shared" si="25"/>
        <v>18.77</v>
      </c>
      <c r="D370" s="18">
        <f t="shared" si="26"/>
        <v>0.24299999999999999</v>
      </c>
      <c r="E370" s="7">
        <v>100</v>
      </c>
      <c r="V370" s="18">
        <v>0.36799999999999999</v>
      </c>
      <c r="W370" s="20">
        <f t="shared" si="27"/>
        <v>0.16144233362964766</v>
      </c>
      <c r="X370" s="20">
        <f t="shared" si="28"/>
        <v>6.5400129072295046E-3</v>
      </c>
      <c r="Y370" s="20">
        <f t="shared" si="29"/>
        <v>2.1946933047574779E-2</v>
      </c>
    </row>
    <row r="371" spans="1:25" x14ac:dyDescent="0.2">
      <c r="A371" s="7">
        <v>48984</v>
      </c>
      <c r="B371" s="7">
        <v>246</v>
      </c>
      <c r="C371" s="17">
        <f t="shared" si="25"/>
        <v>18.838999999999999</v>
      </c>
      <c r="D371" s="18">
        <f t="shared" si="26"/>
        <v>0.246</v>
      </c>
      <c r="E371" s="7">
        <v>100</v>
      </c>
      <c r="V371" s="18">
        <v>0.36899999999999999</v>
      </c>
      <c r="W371" s="20">
        <f t="shared" si="27"/>
        <v>0.16144888453923378</v>
      </c>
      <c r="X371" s="20">
        <f t="shared" si="28"/>
        <v>6.561729367286058E-3</v>
      </c>
      <c r="Y371" s="20">
        <f t="shared" si="29"/>
        <v>2.1485547493294899E-2</v>
      </c>
    </row>
    <row r="372" spans="1:25" x14ac:dyDescent="0.2">
      <c r="A372" s="7">
        <v>49015</v>
      </c>
      <c r="B372" s="7">
        <v>247</v>
      </c>
      <c r="C372" s="17">
        <f t="shared" si="25"/>
        <v>18.87</v>
      </c>
      <c r="D372" s="18">
        <f t="shared" si="26"/>
        <v>0.247</v>
      </c>
      <c r="E372" s="7">
        <v>100</v>
      </c>
      <c r="V372" s="18">
        <v>0.37</v>
      </c>
      <c r="W372" s="20">
        <f t="shared" si="27"/>
        <v>0.16145545693414987</v>
      </c>
      <c r="X372" s="20">
        <f t="shared" si="28"/>
        <v>6.5829831320622159E-3</v>
      </c>
      <c r="Y372" s="20">
        <f t="shared" si="29"/>
        <v>2.1021551471841704E-2</v>
      </c>
    </row>
    <row r="373" spans="1:25" x14ac:dyDescent="0.2">
      <c r="A373" s="7">
        <v>49085</v>
      </c>
      <c r="B373" s="7">
        <v>251</v>
      </c>
      <c r="C373" s="17">
        <f t="shared" si="25"/>
        <v>18.940000000000001</v>
      </c>
      <c r="D373" s="18">
        <f t="shared" si="26"/>
        <v>0.251</v>
      </c>
      <c r="E373" s="7">
        <v>100</v>
      </c>
      <c r="V373" s="18">
        <v>0.371</v>
      </c>
      <c r="W373" s="20">
        <f t="shared" si="27"/>
        <v>0.16146205035040437</v>
      </c>
      <c r="X373" s="20">
        <f t="shared" si="28"/>
        <v>6.603771618018929E-3</v>
      </c>
      <c r="Y373" s="20">
        <f t="shared" si="29"/>
        <v>2.0554998812820191E-2</v>
      </c>
    </row>
    <row r="374" spans="1:25" x14ac:dyDescent="0.2">
      <c r="A374" s="7">
        <v>49117</v>
      </c>
      <c r="B374" s="7">
        <v>252</v>
      </c>
      <c r="C374" s="17">
        <f t="shared" si="25"/>
        <v>18.972000000000001</v>
      </c>
      <c r="D374" s="18">
        <f t="shared" si="26"/>
        <v>0.252</v>
      </c>
      <c r="E374" s="7">
        <v>100</v>
      </c>
      <c r="V374" s="18">
        <v>0.372</v>
      </c>
      <c r="W374" s="20">
        <f t="shared" si="27"/>
        <v>0.1614686643214491</v>
      </c>
      <c r="X374" s="20">
        <f t="shared" si="28"/>
        <v>6.6240922953666806E-3</v>
      </c>
      <c r="Y374" s="20">
        <f t="shared" si="29"/>
        <v>2.0085943184866339E-2</v>
      </c>
    </row>
    <row r="375" spans="1:25" x14ac:dyDescent="0.2">
      <c r="A375" s="7">
        <v>49186</v>
      </c>
      <c r="B375" s="7">
        <v>256</v>
      </c>
      <c r="C375" s="17">
        <f t="shared" si="25"/>
        <v>19.041</v>
      </c>
      <c r="D375" s="18">
        <f t="shared" si="26"/>
        <v>0.25600000000000001</v>
      </c>
      <c r="E375" s="7">
        <v>100</v>
      </c>
      <c r="V375" s="18">
        <v>0.373</v>
      </c>
      <c r="W375" s="20">
        <f t="shared" si="27"/>
        <v>0.16147529837823291</v>
      </c>
      <c r="X375" s="20">
        <f t="shared" si="28"/>
        <v>6.6439426879034216E-3</v>
      </c>
      <c r="Y375" s="20">
        <f t="shared" si="29"/>
        <v>1.9614438095649778E-2</v>
      </c>
    </row>
    <row r="376" spans="1:25" x14ac:dyDescent="0.2">
      <c r="A376" s="7">
        <v>49217</v>
      </c>
      <c r="B376" s="7">
        <v>260</v>
      </c>
      <c r="C376" s="17">
        <f t="shared" si="25"/>
        <v>19.071999999999999</v>
      </c>
      <c r="D376" s="18">
        <f t="shared" si="26"/>
        <v>0.26</v>
      </c>
      <c r="E376" s="7">
        <v>100</v>
      </c>
      <c r="V376" s="18">
        <v>0.374</v>
      </c>
      <c r="W376" s="20">
        <f t="shared" si="27"/>
        <v>0.16148195204925514</v>
      </c>
      <c r="X376" s="20">
        <f t="shared" si="28"/>
        <v>6.6633203728548654E-3</v>
      </c>
      <c r="Y376" s="20">
        <f t="shared" si="29"/>
        <v>1.9140536891871118E-2</v>
      </c>
    </row>
    <row r="377" spans="1:25" x14ac:dyDescent="0.2">
      <c r="A377" s="7">
        <v>49277</v>
      </c>
      <c r="B377" s="7">
        <v>265</v>
      </c>
      <c r="C377" s="17">
        <f t="shared" si="25"/>
        <v>19.132000000000001</v>
      </c>
      <c r="D377" s="18">
        <f t="shared" si="26"/>
        <v>0.26500000000000001</v>
      </c>
      <c r="E377" s="7">
        <v>100</v>
      </c>
      <c r="V377" s="18">
        <v>0.375</v>
      </c>
      <c r="W377" s="20">
        <f t="shared" si="27"/>
        <v>0.16148862486061899</v>
      </c>
      <c r="X377" s="20">
        <f t="shared" si="28"/>
        <v>6.6822229807126723E-3</v>
      </c>
      <c r="Y377" s="20">
        <f t="shared" si="29"/>
        <v>1.8664292759260626E-2</v>
      </c>
    </row>
    <row r="378" spans="1:25" x14ac:dyDescent="0.2">
      <c r="A378" s="7">
        <v>49347</v>
      </c>
      <c r="B378" s="7">
        <v>269</v>
      </c>
      <c r="C378" s="17">
        <f t="shared" si="25"/>
        <v>19.202000000000002</v>
      </c>
      <c r="D378" s="18">
        <f t="shared" si="26"/>
        <v>0.26900000000000002</v>
      </c>
      <c r="E378" s="7">
        <v>100</v>
      </c>
      <c r="V378" s="18">
        <v>0.376</v>
      </c>
      <c r="W378" s="20">
        <f t="shared" si="27"/>
        <v>0.1614953163360848</v>
      </c>
      <c r="X378" s="20">
        <f t="shared" si="28"/>
        <v>6.7006481950738009E-3</v>
      </c>
      <c r="Y378" s="20">
        <f t="shared" si="29"/>
        <v>1.8185758722582879E-2</v>
      </c>
    </row>
    <row r="379" spans="1:25" x14ac:dyDescent="0.2">
      <c r="A379" s="7">
        <v>49379</v>
      </c>
      <c r="B379" s="7">
        <v>269</v>
      </c>
      <c r="C379" s="17">
        <f t="shared" si="25"/>
        <v>19.234000000000002</v>
      </c>
      <c r="D379" s="18">
        <f t="shared" si="26"/>
        <v>0.26900000000000002</v>
      </c>
      <c r="E379" s="7">
        <v>100</v>
      </c>
      <c r="V379" s="18">
        <v>0.377</v>
      </c>
      <c r="W379" s="20">
        <f t="shared" si="27"/>
        <v>0.16150202599712291</v>
      </c>
      <c r="X379" s="20">
        <f t="shared" si="28"/>
        <v>6.7185937524795805E-3</v>
      </c>
      <c r="Y379" s="20">
        <f t="shared" si="29"/>
        <v>1.7704987645633885E-2</v>
      </c>
    </row>
    <row r="380" spans="1:25" x14ac:dyDescent="0.2">
      <c r="A380" s="7">
        <v>49448</v>
      </c>
      <c r="B380" s="7">
        <v>274</v>
      </c>
      <c r="C380" s="17">
        <f t="shared" si="25"/>
        <v>19.303000000000001</v>
      </c>
      <c r="D380" s="18">
        <f t="shared" si="26"/>
        <v>0.27400000000000002</v>
      </c>
      <c r="E380" s="7">
        <v>100</v>
      </c>
      <c r="V380" s="18">
        <v>0.378</v>
      </c>
      <c r="W380" s="20">
        <f t="shared" si="27"/>
        <v>0.16150875336296663</v>
      </c>
      <c r="X380" s="20">
        <f t="shared" si="28"/>
        <v>6.7360574422543687E-3</v>
      </c>
      <c r="Y380" s="20">
        <f t="shared" si="29"/>
        <v>1.722203223123886E-2</v>
      </c>
    </row>
    <row r="381" spans="1:25" x14ac:dyDescent="0.2">
      <c r="A381" s="7">
        <v>49480</v>
      </c>
      <c r="B381" s="7">
        <v>276</v>
      </c>
      <c r="C381" s="17">
        <f t="shared" si="25"/>
        <v>19.335000000000001</v>
      </c>
      <c r="D381" s="18">
        <f t="shared" si="26"/>
        <v>0.27600000000000002</v>
      </c>
      <c r="E381" s="7">
        <v>100</v>
      </c>
      <c r="V381" s="18">
        <v>0.379</v>
      </c>
      <c r="W381" s="20">
        <f t="shared" si="27"/>
        <v>0.16151549795066494</v>
      </c>
      <c r="X381" s="20">
        <f t="shared" si="28"/>
        <v>6.7530371063452624E-3</v>
      </c>
      <c r="Y381" s="20">
        <f t="shared" si="29"/>
        <v>1.6736945021257776E-2</v>
      </c>
    </row>
    <row r="382" spans="1:25" x14ac:dyDescent="0.2">
      <c r="A382" s="7">
        <v>49549</v>
      </c>
      <c r="B382" s="7">
        <v>279</v>
      </c>
      <c r="C382" s="17">
        <f t="shared" si="25"/>
        <v>19.404</v>
      </c>
      <c r="D382" s="18">
        <f t="shared" si="26"/>
        <v>0.27900000000000003</v>
      </c>
      <c r="E382" s="7">
        <v>100</v>
      </c>
      <c r="V382" s="18">
        <v>0.38</v>
      </c>
      <c r="W382" s="20">
        <f t="shared" si="27"/>
        <v>0.161522259275135</v>
      </c>
      <c r="X382" s="20">
        <f t="shared" si="28"/>
        <v>6.7695306391604218E-3</v>
      </c>
      <c r="Y382" s="20">
        <f t="shared" si="29"/>
        <v>1.6249778396580705E-2</v>
      </c>
    </row>
    <row r="383" spans="1:25" x14ac:dyDescent="0.2">
      <c r="A383" s="7">
        <v>49581</v>
      </c>
      <c r="B383" s="7">
        <v>279</v>
      </c>
      <c r="C383" s="17">
        <f t="shared" si="25"/>
        <v>19.436</v>
      </c>
      <c r="D383" s="18">
        <f t="shared" si="26"/>
        <v>0.27900000000000003</v>
      </c>
      <c r="E383" s="7">
        <v>100</v>
      </c>
      <c r="V383" s="18">
        <v>0.38100000000000001</v>
      </c>
      <c r="W383" s="20">
        <f t="shared" si="27"/>
        <v>0.16152903684921449</v>
      </c>
      <c r="X383" s="20">
        <f t="shared" si="28"/>
        <v>6.7855359874086155E-3</v>
      </c>
      <c r="Y383" s="20">
        <f t="shared" si="29"/>
        <v>1.576058457712981E-2</v>
      </c>
    </row>
    <row r="384" spans="1:25" x14ac:dyDescent="0.2">
      <c r="A384" s="7">
        <v>49650</v>
      </c>
      <c r="B384" s="7">
        <v>281</v>
      </c>
      <c r="C384" s="17">
        <f t="shared" si="25"/>
        <v>19.504999999999999</v>
      </c>
      <c r="D384" s="18">
        <f t="shared" si="26"/>
        <v>0.28100000000000003</v>
      </c>
      <c r="E384" s="7">
        <v>95</v>
      </c>
      <c r="V384" s="18">
        <v>0.38200000000000001</v>
      </c>
      <c r="W384" s="20">
        <f t="shared" si="27"/>
        <v>0.16153583018371398</v>
      </c>
      <c r="X384" s="20">
        <f t="shared" si="28"/>
        <v>6.8010511499378493E-3</v>
      </c>
      <c r="Y384" s="20">
        <f t="shared" si="29"/>
        <v>1.526941562185824E-2</v>
      </c>
    </row>
    <row r="385" spans="1:25" x14ac:dyDescent="0.2">
      <c r="A385" s="7">
        <v>49682</v>
      </c>
      <c r="B385" s="7">
        <v>283</v>
      </c>
      <c r="C385" s="17">
        <f t="shared" si="25"/>
        <v>19.536999999999999</v>
      </c>
      <c r="D385" s="18">
        <f t="shared" si="26"/>
        <v>0.28299999999999997</v>
      </c>
      <c r="E385" s="7">
        <v>85</v>
      </c>
      <c r="V385" s="18">
        <v>0.38300000000000001</v>
      </c>
      <c r="W385" s="20">
        <f t="shared" si="27"/>
        <v>0.16154263878746883</v>
      </c>
      <c r="X385" s="20">
        <f t="shared" si="28"/>
        <v>6.8160741775748282E-3</v>
      </c>
      <c r="Y385" s="20">
        <f t="shared" si="29"/>
        <v>1.4776323428752125E-2</v>
      </c>
    </row>
    <row r="386" spans="1:25" x14ac:dyDescent="0.2">
      <c r="A386" s="7">
        <v>49751</v>
      </c>
      <c r="B386" s="7">
        <v>286</v>
      </c>
      <c r="C386" s="17">
        <f t="shared" si="25"/>
        <v>19.606000000000002</v>
      </c>
      <c r="D386" s="18">
        <f t="shared" si="26"/>
        <v>0.28599999999999998</v>
      </c>
      <c r="E386" s="7">
        <v>80</v>
      </c>
      <c r="V386" s="18">
        <v>0.38400000000000001</v>
      </c>
      <c r="W386" s="20">
        <f t="shared" si="27"/>
        <v>0.16154946216739113</v>
      </c>
      <c r="X386" s="20">
        <f t="shared" si="28"/>
        <v>6.8306031729635855E-3</v>
      </c>
      <c r="Y386" s="20">
        <f t="shared" si="29"/>
        <v>1.428135973482858E-2</v>
      </c>
    </row>
    <row r="387" spans="1:25" x14ac:dyDescent="0.2">
      <c r="A387" s="7">
        <v>49783</v>
      </c>
      <c r="B387" s="7">
        <v>286</v>
      </c>
      <c r="C387" s="17">
        <f t="shared" ref="C387:C408" si="30">($A387-$A$2)/1000</f>
        <v>19.638000000000002</v>
      </c>
      <c r="D387" s="18">
        <f t="shared" ref="D387:D408" si="31">$B387/1000</f>
        <v>0.28599999999999998</v>
      </c>
      <c r="E387" s="7">
        <v>80</v>
      </c>
      <c r="V387" s="18">
        <v>0.38500000000000001</v>
      </c>
      <c r="W387" s="20">
        <f t="shared" ref="W387:W450" si="32" xml:space="preserve"> -0.223567093536985*V387^6 + 0.944228289125022*V387^5 - 1.39425331473467*V387^4 + 0.919786041369661*V387^3 - 0.280641903613287*V387^2 + 0.0398143416441599*V387 + 0.158710616051081</f>
        <v>0.16155629982852154</v>
      </c>
      <c r="X387" s="20">
        <f t="shared" ref="X387:X450" si="33" xml:space="preserve"> 6*-0.223567093536985*V387^5 + 5*0.944228289125022*V387^4 - 4*1.39425331473467*V387^3 + 3*0.919786041369661*V387^2 - 2*0.280641903613287*V387^1 + 0.0398143416441599</f>
        <v>6.8446362904046945E-3</v>
      </c>
      <c r="Y387" s="20">
        <f t="shared" ref="Y387:Y450" si="34" xml:space="preserve"> 5*6*-0.223567093536985*V387^4 + 4*5*0.944228289125022*V387^3 - 3*4*1.39425331473467*V387^2 + 2*3*0.919786041369661*V387^1 - 2*0.280641903613287</f>
        <v>1.3784576116135927E-2</v>
      </c>
    </row>
    <row r="388" spans="1:25" x14ac:dyDescent="0.2">
      <c r="A388" s="7">
        <v>49852</v>
      </c>
      <c r="B388" s="7">
        <v>287</v>
      </c>
      <c r="C388" s="17">
        <f t="shared" si="30"/>
        <v>19.707000000000001</v>
      </c>
      <c r="D388" s="18">
        <f t="shared" si="31"/>
        <v>0.28699999999999998</v>
      </c>
      <c r="E388" s="7">
        <v>80</v>
      </c>
      <c r="V388" s="18">
        <v>0.38600000000000001</v>
      </c>
      <c r="W388" s="20">
        <f t="shared" si="32"/>
        <v>0.16156315127408066</v>
      </c>
      <c r="X388" s="20">
        <f t="shared" si="33"/>
        <v>6.8581717356943697E-3</v>
      </c>
      <c r="Y388" s="20">
        <f t="shared" si="34"/>
        <v>1.3286023987754803E-2</v>
      </c>
    </row>
    <row r="389" spans="1:25" x14ac:dyDescent="0.2">
      <c r="A389" s="7">
        <v>49883</v>
      </c>
      <c r="B389" s="7">
        <v>289</v>
      </c>
      <c r="C389" s="17">
        <f t="shared" si="30"/>
        <v>19.738</v>
      </c>
      <c r="D389" s="18">
        <f t="shared" si="31"/>
        <v>0.28899999999999998</v>
      </c>
      <c r="E389" s="7">
        <v>80</v>
      </c>
      <c r="V389" s="18">
        <v>0.38700000000000001</v>
      </c>
      <c r="W389" s="20">
        <f t="shared" si="32"/>
        <v>0.16157001600552068</v>
      </c>
      <c r="X389" s="20">
        <f t="shared" si="33"/>
        <v>6.8712077659634566E-3</v>
      </c>
      <c r="Y389" s="20">
        <f t="shared" si="34"/>
        <v>1.2785754603798161E-2</v>
      </c>
    </row>
    <row r="390" spans="1:25" x14ac:dyDescent="0.2">
      <c r="A390" s="7">
        <v>49953</v>
      </c>
      <c r="B390" s="7">
        <v>290</v>
      </c>
      <c r="C390" s="17">
        <f t="shared" si="30"/>
        <v>19.808</v>
      </c>
      <c r="D390" s="18">
        <f t="shared" si="31"/>
        <v>0.28999999999999998</v>
      </c>
      <c r="E390" s="7">
        <v>80</v>
      </c>
      <c r="V390" s="18">
        <v>0.38800000000000001</v>
      </c>
      <c r="W390" s="20">
        <f t="shared" si="32"/>
        <v>0.16157689352257645</v>
      </c>
      <c r="X390" s="20">
        <f t="shared" si="33"/>
        <v>6.8837426895163104E-3</v>
      </c>
      <c r="Y390" s="20">
        <f t="shared" si="34"/>
        <v>1.2283819057409051E-2</v>
      </c>
    </row>
    <row r="391" spans="1:25" x14ac:dyDescent="0.2">
      <c r="A391" s="7">
        <v>49985</v>
      </c>
      <c r="B391" s="7">
        <v>289</v>
      </c>
      <c r="C391" s="17">
        <f t="shared" si="30"/>
        <v>19.84</v>
      </c>
      <c r="D391" s="18">
        <f t="shared" si="31"/>
        <v>0.28899999999999998</v>
      </c>
      <c r="E391" s="7">
        <v>80</v>
      </c>
      <c r="V391" s="18">
        <v>0.38900000000000001</v>
      </c>
      <c r="W391" s="20">
        <f t="shared" si="32"/>
        <v>0.16158378332331666</v>
      </c>
      <c r="X391" s="20">
        <f t="shared" si="33"/>
        <v>6.895774865670036E-3</v>
      </c>
      <c r="Y391" s="20">
        <f t="shared" si="34"/>
        <v>1.1780268280763062E-2</v>
      </c>
    </row>
    <row r="392" spans="1:25" x14ac:dyDescent="0.2">
      <c r="A392" s="7">
        <v>50054</v>
      </c>
      <c r="B392" s="7">
        <v>288</v>
      </c>
      <c r="C392" s="17">
        <f t="shared" si="30"/>
        <v>19.908999999999999</v>
      </c>
      <c r="D392" s="18">
        <f t="shared" si="31"/>
        <v>0.28799999999999998</v>
      </c>
      <c r="E392" s="7">
        <v>80</v>
      </c>
      <c r="V392" s="18">
        <v>0.39</v>
      </c>
      <c r="W392" s="20">
        <f t="shared" si="32"/>
        <v>0.16159068490419481</v>
      </c>
      <c r="X392" s="20">
        <f t="shared" si="33"/>
        <v>6.9073027045933391E-3</v>
      </c>
      <c r="Y392" s="20">
        <f t="shared" si="34"/>
        <v>1.1275153045068098E-2</v>
      </c>
    </row>
    <row r="393" spans="1:25" x14ac:dyDescent="0.2">
      <c r="A393" s="7">
        <v>50085</v>
      </c>
      <c r="B393" s="7">
        <v>288</v>
      </c>
      <c r="C393" s="17">
        <f t="shared" si="30"/>
        <v>19.940000000000001</v>
      </c>
      <c r="D393" s="18">
        <f t="shared" si="31"/>
        <v>0.28799999999999998</v>
      </c>
      <c r="E393" s="7">
        <v>80</v>
      </c>
      <c r="V393" s="18">
        <v>0.39100000000000001</v>
      </c>
      <c r="W393" s="20">
        <f t="shared" si="32"/>
        <v>0.16159759776009985</v>
      </c>
      <c r="X393" s="20">
        <f t="shared" si="33"/>
        <v>6.9183246671455992E-3</v>
      </c>
      <c r="Y393" s="20">
        <f t="shared" si="34"/>
        <v>1.0768523960562604E-2</v>
      </c>
    </row>
    <row r="394" spans="1:25" x14ac:dyDescent="0.2">
      <c r="A394" s="7">
        <v>50155</v>
      </c>
      <c r="B394" s="7">
        <v>285</v>
      </c>
      <c r="C394" s="17">
        <f t="shared" si="30"/>
        <v>20.010000000000002</v>
      </c>
      <c r="D394" s="18">
        <f t="shared" si="31"/>
        <v>0.28499999999999998</v>
      </c>
      <c r="E394" s="7">
        <v>80</v>
      </c>
      <c r="V394" s="18">
        <v>0.39200000000000002</v>
      </c>
      <c r="W394" s="20">
        <f t="shared" si="32"/>
        <v>0.1616045213844069</v>
      </c>
      <c r="X394" s="20">
        <f t="shared" si="33"/>
        <v>6.9288392647164146E-3</v>
      </c>
      <c r="Y394" s="20">
        <f t="shared" si="34"/>
        <v>1.026043147651734E-2</v>
      </c>
    </row>
    <row r="395" spans="1:25" x14ac:dyDescent="0.2">
      <c r="A395" s="7">
        <v>50187</v>
      </c>
      <c r="B395" s="7">
        <v>282</v>
      </c>
      <c r="C395" s="17">
        <f t="shared" si="30"/>
        <v>20.042000000000002</v>
      </c>
      <c r="D395" s="18">
        <f t="shared" si="31"/>
        <v>0.28199999999999997</v>
      </c>
      <c r="E395" s="7">
        <v>90</v>
      </c>
      <c r="V395" s="18">
        <v>0.39300000000000002</v>
      </c>
      <c r="W395" s="20">
        <f t="shared" si="32"/>
        <v>0.16161145526902765</v>
      </c>
      <c r="X395" s="20">
        <f t="shared" si="33"/>
        <v>6.938845059063399E-3</v>
      </c>
      <c r="Y395" s="20">
        <f t="shared" si="34"/>
        <v>9.7509258812353838E-3</v>
      </c>
    </row>
    <row r="396" spans="1:25" x14ac:dyDescent="0.2">
      <c r="A396" s="7">
        <v>50256</v>
      </c>
      <c r="B396" s="7">
        <v>278</v>
      </c>
      <c r="C396" s="17">
        <f t="shared" si="30"/>
        <v>20.111000000000001</v>
      </c>
      <c r="D396" s="18">
        <f t="shared" si="31"/>
        <v>0.27800000000000002</v>
      </c>
      <c r="E396" s="7">
        <v>100</v>
      </c>
      <c r="V396" s="18">
        <v>0.39400000000000002</v>
      </c>
      <c r="W396" s="20">
        <f t="shared" si="32"/>
        <v>0.1616183989044607</v>
      </c>
      <c r="X396" s="20">
        <f t="shared" si="33"/>
        <v>6.948340662152587E-3</v>
      </c>
      <c r="Y396" s="20">
        <f t="shared" si="34"/>
        <v>9.2400573020499088E-3</v>
      </c>
    </row>
    <row r="397" spans="1:25" x14ac:dyDescent="0.2">
      <c r="A397" s="7">
        <v>50288</v>
      </c>
      <c r="B397" s="7">
        <v>277</v>
      </c>
      <c r="C397" s="17">
        <f t="shared" si="30"/>
        <v>20.143000000000001</v>
      </c>
      <c r="D397" s="18">
        <f t="shared" si="31"/>
        <v>0.27700000000000002</v>
      </c>
      <c r="E397" s="7">
        <v>100</v>
      </c>
      <c r="V397" s="18">
        <v>0.39500000000000002</v>
      </c>
      <c r="W397" s="20">
        <f t="shared" si="32"/>
        <v>0.16162535177984164</v>
      </c>
      <c r="X397" s="20">
        <f t="shared" si="33"/>
        <v>6.9573247359967852E-3</v>
      </c>
      <c r="Y397" s="20">
        <f t="shared" si="34"/>
        <v>8.7278757053266265E-3</v>
      </c>
    </row>
    <row r="398" spans="1:25" x14ac:dyDescent="0.2">
      <c r="A398" s="7">
        <v>50347</v>
      </c>
      <c r="B398" s="7">
        <v>271</v>
      </c>
      <c r="C398" s="17">
        <f t="shared" si="30"/>
        <v>20.202000000000002</v>
      </c>
      <c r="D398" s="18">
        <f t="shared" si="31"/>
        <v>0.27100000000000002</v>
      </c>
      <c r="E398" s="7">
        <v>100</v>
      </c>
      <c r="V398" s="18">
        <v>0.39600000000000002</v>
      </c>
      <c r="W398" s="20">
        <f t="shared" si="32"/>
        <v>0.16163231338299303</v>
      </c>
      <c r="X398" s="20">
        <f t="shared" si="33"/>
        <v>6.9657959924943127E-3</v>
      </c>
      <c r="Y398" s="20">
        <f t="shared" si="34"/>
        <v>8.2144308964640089E-3</v>
      </c>
    </row>
    <row r="399" spans="1:25" x14ac:dyDescent="0.2">
      <c r="A399" s="7">
        <v>50417</v>
      </c>
      <c r="B399" s="7">
        <v>265</v>
      </c>
      <c r="C399" s="17">
        <f t="shared" si="30"/>
        <v>20.271999999999998</v>
      </c>
      <c r="D399" s="18">
        <f t="shared" si="31"/>
        <v>0.26500000000000001</v>
      </c>
      <c r="E399" s="7">
        <v>100</v>
      </c>
      <c r="V399" s="18">
        <v>0.39700000000000002</v>
      </c>
      <c r="W399" s="20">
        <f t="shared" si="32"/>
        <v>0.16163928320047416</v>
      </c>
      <c r="X399" s="20">
        <f t="shared" si="33"/>
        <v>6.9737531932689625E-3</v>
      </c>
      <c r="Y399" s="20">
        <f t="shared" si="34"/>
        <v>7.699772519889958E-3</v>
      </c>
    </row>
    <row r="400" spans="1:25" x14ac:dyDescent="0.2">
      <c r="A400" s="7">
        <v>50449</v>
      </c>
      <c r="B400" s="7">
        <v>262</v>
      </c>
      <c r="C400" s="17">
        <f t="shared" si="30"/>
        <v>20.303999999999998</v>
      </c>
      <c r="D400" s="18">
        <f t="shared" si="31"/>
        <v>0.26200000000000001</v>
      </c>
      <c r="E400" s="7">
        <v>100</v>
      </c>
      <c r="V400" s="18">
        <v>0.39800000000000002</v>
      </c>
      <c r="W400" s="20">
        <f t="shared" si="32"/>
        <v>0.16164626071763083</v>
      </c>
      <c r="X400" s="20">
        <f t="shared" si="33"/>
        <v>6.9811951495077698E-3</v>
      </c>
      <c r="Y400" s="20">
        <f t="shared" si="34"/>
        <v>7.1839500590662464E-3</v>
      </c>
    </row>
    <row r="401" spans="1:25" x14ac:dyDescent="0.2">
      <c r="A401" s="7">
        <v>50518</v>
      </c>
      <c r="B401" s="7">
        <v>258</v>
      </c>
      <c r="C401" s="17">
        <f t="shared" si="30"/>
        <v>20.373000000000001</v>
      </c>
      <c r="D401" s="18">
        <f t="shared" si="31"/>
        <v>0.25800000000000001</v>
      </c>
      <c r="E401" s="7">
        <v>100</v>
      </c>
      <c r="V401" s="18">
        <v>0.39900000000000002</v>
      </c>
      <c r="W401" s="20">
        <f t="shared" si="32"/>
        <v>0.16165324541864468</v>
      </c>
      <c r="X401" s="20">
        <f t="shared" si="33"/>
        <v>6.9881207218015842E-3</v>
      </c>
      <c r="Y401" s="20">
        <f t="shared" si="34"/>
        <v>6.6670128364840764E-3</v>
      </c>
    </row>
    <row r="402" spans="1:25" x14ac:dyDescent="0.2">
      <c r="A402" s="7">
        <v>50549</v>
      </c>
      <c r="B402" s="7">
        <v>258</v>
      </c>
      <c r="C402" s="17">
        <f t="shared" si="30"/>
        <v>20.404</v>
      </c>
      <c r="D402" s="18">
        <f t="shared" si="31"/>
        <v>0.25800000000000001</v>
      </c>
      <c r="E402" s="7">
        <v>100</v>
      </c>
      <c r="V402" s="18">
        <v>0.4</v>
      </c>
      <c r="W402" s="20">
        <f t="shared" si="32"/>
        <v>0.16166023678658251</v>
      </c>
      <c r="X402" s="20">
        <f t="shared" si="33"/>
        <v>6.9945288199825331E-3</v>
      </c>
      <c r="Y402" s="20">
        <f t="shared" si="34"/>
        <v>6.1490100136694092E-3</v>
      </c>
    </row>
    <row r="403" spans="1:25" x14ac:dyDescent="0.2">
      <c r="A403" s="7">
        <v>50619</v>
      </c>
      <c r="B403" s="7">
        <v>257</v>
      </c>
      <c r="C403" s="17">
        <f t="shared" si="30"/>
        <v>20.474</v>
      </c>
      <c r="D403" s="18">
        <f t="shared" si="31"/>
        <v>0.25700000000000001</v>
      </c>
      <c r="E403" s="7">
        <v>100</v>
      </c>
      <c r="V403" s="18">
        <v>0.40100000000000002</v>
      </c>
      <c r="W403" s="20">
        <f t="shared" si="32"/>
        <v>0.16166723430344568</v>
      </c>
      <c r="X403" s="20">
        <f t="shared" si="33"/>
        <v>7.000418402964205E-3</v>
      </c>
      <c r="Y403" s="20">
        <f t="shared" si="34"/>
        <v>5.629990591177414E-3</v>
      </c>
    </row>
    <row r="404" spans="1:25" x14ac:dyDescent="0.2">
      <c r="A404" s="7">
        <v>50651</v>
      </c>
      <c r="B404" s="7">
        <v>255</v>
      </c>
      <c r="C404" s="17">
        <f t="shared" si="30"/>
        <v>20.506</v>
      </c>
      <c r="D404" s="18">
        <f t="shared" si="31"/>
        <v>0.255</v>
      </c>
      <c r="E404" s="7">
        <v>100</v>
      </c>
      <c r="V404" s="18">
        <v>0.40200000000000002</v>
      </c>
      <c r="W404" s="20">
        <f t="shared" si="32"/>
        <v>0.16167423745021881</v>
      </c>
      <c r="X404" s="20">
        <f t="shared" si="33"/>
        <v>7.0057884785800009E-3</v>
      </c>
      <c r="Y404" s="20">
        <f t="shared" si="34"/>
        <v>5.1100034085951318E-3</v>
      </c>
    </row>
    <row r="405" spans="1:25" x14ac:dyDescent="0.2">
      <c r="A405" s="7">
        <v>50720</v>
      </c>
      <c r="B405" s="7">
        <v>256</v>
      </c>
      <c r="C405" s="17">
        <f t="shared" si="30"/>
        <v>20.574999999999999</v>
      </c>
      <c r="D405" s="18">
        <f t="shared" si="31"/>
        <v>0.25600000000000001</v>
      </c>
      <c r="E405" s="7">
        <v>100</v>
      </c>
      <c r="V405" s="18">
        <v>0.40300000000000002</v>
      </c>
      <c r="W405" s="20">
        <f t="shared" si="32"/>
        <v>0.16168124570691872</v>
      </c>
      <c r="X405" s="20">
        <f t="shared" si="33"/>
        <v>7.010638103422652E-3</v>
      </c>
      <c r="Y405" s="20">
        <f t="shared" si="34"/>
        <v>4.5890971445432527E-3</v>
      </c>
    </row>
    <row r="406" spans="1:25" x14ac:dyDescent="0.2">
      <c r="A406" s="7">
        <v>50751</v>
      </c>
      <c r="B406" s="7">
        <v>259</v>
      </c>
      <c r="C406" s="17">
        <f t="shared" si="30"/>
        <v>20.606000000000002</v>
      </c>
      <c r="D406" s="18">
        <f t="shared" si="31"/>
        <v>0.25900000000000001</v>
      </c>
      <c r="E406" s="7">
        <v>100</v>
      </c>
      <c r="V406" s="18">
        <v>0.40400000000000003</v>
      </c>
      <c r="W406" s="20">
        <f t="shared" si="32"/>
        <v>0.16168825855264324</v>
      </c>
      <c r="X406" s="20">
        <f t="shared" si="33"/>
        <v>7.0149663826829592E-3</v>
      </c>
      <c r="Y406" s="20">
        <f t="shared" si="34"/>
        <v>4.0673203166712302E-3</v>
      </c>
    </row>
    <row r="407" spans="1:25" x14ac:dyDescent="0.2">
      <c r="A407" s="7">
        <v>50821</v>
      </c>
      <c r="B407" s="7">
        <v>262</v>
      </c>
      <c r="C407" s="17">
        <f t="shared" si="30"/>
        <v>20.675999999999998</v>
      </c>
      <c r="D407" s="18">
        <f t="shared" si="31"/>
        <v>0.26200000000000001</v>
      </c>
      <c r="E407" s="7">
        <v>100</v>
      </c>
      <c r="V407" s="18">
        <v>0.40500000000000003</v>
      </c>
      <c r="W407" s="20">
        <f t="shared" si="32"/>
        <v>0.16169527546561954</v>
      </c>
      <c r="X407" s="20">
        <f t="shared" si="33"/>
        <v>7.018772469988728E-3</v>
      </c>
      <c r="Y407" s="20">
        <f t="shared" si="34"/>
        <v>3.5447212816623885E-3</v>
      </c>
    </row>
    <row r="408" spans="1:25" x14ac:dyDescent="0.2">
      <c r="A408" s="7">
        <v>50853</v>
      </c>
      <c r="B408" s="7">
        <v>262</v>
      </c>
      <c r="C408" s="17">
        <f t="shared" si="30"/>
        <v>20.707999999999998</v>
      </c>
      <c r="D408" s="18">
        <f t="shared" si="31"/>
        <v>0.26200000000000001</v>
      </c>
      <c r="E408" s="7">
        <v>100</v>
      </c>
      <c r="V408" s="18">
        <v>0.40600000000000003</v>
      </c>
      <c r="W408" s="20">
        <f t="shared" si="32"/>
        <v>0.16170229592325266</v>
      </c>
      <c r="X408" s="20">
        <f t="shared" si="33"/>
        <v>7.0220555672442023E-3</v>
      </c>
      <c r="Y408" s="20">
        <f t="shared" si="34"/>
        <v>3.0213482352317023E-3</v>
      </c>
    </row>
    <row r="409" spans="1:25" x14ac:dyDescent="0.2">
      <c r="V409" s="18">
        <v>0.40699999999999997</v>
      </c>
      <c r="W409" s="20">
        <f t="shared" si="32"/>
        <v>0.16170931940217348</v>
      </c>
      <c r="X409" s="20">
        <f t="shared" si="33"/>
        <v>7.0248149244688321E-3</v>
      </c>
      <c r="Y409" s="20">
        <f t="shared" si="34"/>
        <v>2.4972492121242418E-3</v>
      </c>
    </row>
    <row r="410" spans="1:25" x14ac:dyDescent="0.2">
      <c r="V410" s="18">
        <v>0.40799999999999997</v>
      </c>
      <c r="W410" s="20">
        <f t="shared" si="32"/>
        <v>0.16171634537828705</v>
      </c>
      <c r="X410" s="20">
        <f t="shared" si="33"/>
        <v>7.027049839636014E-3</v>
      </c>
      <c r="Y410" s="20">
        <f t="shared" si="34"/>
        <v>1.97247208611806E-3</v>
      </c>
    </row>
    <row r="411" spans="1:25" x14ac:dyDescent="0.2">
      <c r="V411" s="18">
        <v>0.40899999999999997</v>
      </c>
      <c r="W411" s="20">
        <f t="shared" si="32"/>
        <v>0.16172337332682016</v>
      </c>
      <c r="X411" s="20">
        <f t="shared" si="33"/>
        <v>7.0287596585127746E-3</v>
      </c>
      <c r="Y411" s="20">
        <f t="shared" si="34"/>
        <v>1.4470645700228602E-3</v>
      </c>
    </row>
    <row r="412" spans="1:25" x14ac:dyDescent="0.2">
      <c r="V412" s="18">
        <v>0.41</v>
      </c>
      <c r="W412" s="20">
        <f t="shared" si="32"/>
        <v>0.16173040272236924</v>
      </c>
      <c r="X412" s="20">
        <f t="shared" si="33"/>
        <v>7.0299437744983997E-3</v>
      </c>
      <c r="Y412" s="20">
        <f t="shared" si="34"/>
        <v>9.2107421567977354E-4</v>
      </c>
    </row>
    <row r="413" spans="1:25" x14ac:dyDescent="0.2">
      <c r="V413" s="18">
        <v>0.41099999999999998</v>
      </c>
      <c r="W413" s="20">
        <f t="shared" si="32"/>
        <v>0.16173743303894794</v>
      </c>
      <c r="X413" s="20">
        <f t="shared" si="33"/>
        <v>7.0306016284634801E-3</v>
      </c>
      <c r="Y413" s="20">
        <f t="shared" si="34"/>
        <v>3.9454841396069362E-4</v>
      </c>
    </row>
    <row r="414" spans="1:25" x14ac:dyDescent="0.2">
      <c r="V414" s="18">
        <v>0.41199999999999998</v>
      </c>
      <c r="W414" s="20">
        <f t="shared" si="32"/>
        <v>0.16174446375003437</v>
      </c>
      <c r="X414" s="20">
        <f t="shared" si="33"/>
        <v>7.030732708588984E-3</v>
      </c>
      <c r="Y414" s="20">
        <f t="shared" si="34"/>
        <v>-1.3246560522839346E-4</v>
      </c>
    </row>
    <row r="415" spans="1:25" x14ac:dyDescent="0.2">
      <c r="V415" s="18">
        <v>0.41299999999999998</v>
      </c>
      <c r="W415" s="20">
        <f t="shared" si="32"/>
        <v>0.16175149432861843</v>
      </c>
      <c r="X415" s="20">
        <f t="shared" si="33"/>
        <v>7.0303365502052198E-3</v>
      </c>
      <c r="Y415" s="20">
        <f t="shared" si="34"/>
        <v>-6.5992077295162765E-4</v>
      </c>
    </row>
    <row r="416" spans="1:25" x14ac:dyDescent="0.2">
      <c r="V416" s="18">
        <v>0.41399999999999998</v>
      </c>
      <c r="W416" s="20">
        <f t="shared" si="32"/>
        <v>0.16175852424724887</v>
      </c>
      <c r="X416" s="20">
        <f t="shared" si="33"/>
        <v>7.0294127356312977E-3</v>
      </c>
      <c r="Y416" s="20">
        <f t="shared" si="34"/>
        <v>-1.1877701812423869E-3</v>
      </c>
    </row>
    <row r="417" spans="22:25" x14ac:dyDescent="0.2">
      <c r="V417" s="18">
        <v>0.41499999999999998</v>
      </c>
      <c r="W417" s="20">
        <f t="shared" si="32"/>
        <v>0.16176555297808015</v>
      </c>
      <c r="X417" s="20">
        <f t="shared" si="33"/>
        <v>7.0279608940134256E-3</v>
      </c>
      <c r="Y417" s="20">
        <f t="shared" si="34"/>
        <v>-1.7159670830997342E-3</v>
      </c>
    </row>
    <row r="418" spans="22:25" x14ac:dyDescent="0.2">
      <c r="V418" s="18">
        <v>0.41599999999999998</v>
      </c>
      <c r="W418" s="20">
        <f t="shared" si="32"/>
        <v>0.1617725799929193</v>
      </c>
      <c r="X418" s="20">
        <f t="shared" si="33"/>
        <v>7.025980701164343E-3</v>
      </c>
      <c r="Y418" s="20">
        <f t="shared" si="34"/>
        <v>-2.2444648924919708E-3</v>
      </c>
    </row>
    <row r="419" spans="22:25" x14ac:dyDescent="0.2">
      <c r="V419" s="18">
        <v>0.41699999999999998</v>
      </c>
      <c r="W419" s="20">
        <f t="shared" si="32"/>
        <v>0.16177960476327233</v>
      </c>
      <c r="X419" s="20">
        <f t="shared" si="33"/>
        <v>7.0234718794027554E-3</v>
      </c>
      <c r="Y419" s="20">
        <f t="shared" si="34"/>
        <v>-2.7732171843575237E-3</v>
      </c>
    </row>
    <row r="420" spans="22:25" x14ac:dyDescent="0.2">
      <c r="V420" s="18">
        <v>0.41799999999999998</v>
      </c>
      <c r="W420" s="20">
        <f t="shared" si="32"/>
        <v>0.16178662676039082</v>
      </c>
      <c r="X420" s="20">
        <f t="shared" si="33"/>
        <v>7.02043419739138E-3</v>
      </c>
      <c r="Y420" s="20">
        <f t="shared" si="34"/>
        <v>-3.3021776946005055E-3</v>
      </c>
    </row>
    <row r="421" spans="22:25" x14ac:dyDescent="0.2">
      <c r="V421" s="18">
        <v>0.41899999999999998</v>
      </c>
      <c r="W421" s="20">
        <f t="shared" si="32"/>
        <v>0.16179364545531813</v>
      </c>
      <c r="X421" s="20">
        <f t="shared" si="33"/>
        <v>7.0168674699768799E-3</v>
      </c>
      <c r="Y421" s="20">
        <f t="shared" si="34"/>
        <v>-3.8313003200958207E-3</v>
      </c>
    </row>
    <row r="422" spans="22:25" x14ac:dyDescent="0.2">
      <c r="V422" s="18">
        <v>0.42</v>
      </c>
      <c r="W422" s="20">
        <f t="shared" si="32"/>
        <v>0.16180066031893545</v>
      </c>
      <c r="X422" s="20">
        <f t="shared" si="33"/>
        <v>7.012771558028548E-3</v>
      </c>
      <c r="Y422" s="20">
        <f t="shared" si="34"/>
        <v>-4.3605391186833931E-3</v>
      </c>
    </row>
    <row r="423" spans="22:25" x14ac:dyDescent="0.2">
      <c r="V423" s="18">
        <v>0.42099999999999999</v>
      </c>
      <c r="W423" s="20">
        <f t="shared" si="32"/>
        <v>0.16180767082200775</v>
      </c>
      <c r="X423" s="20">
        <f t="shared" si="33"/>
        <v>7.0081463682773806E-3</v>
      </c>
      <c r="Y423" s="20">
        <f t="shared" si="34"/>
        <v>-4.8898483091761591E-3</v>
      </c>
    </row>
    <row r="424" spans="22:25" x14ac:dyDescent="0.2">
      <c r="V424" s="18">
        <v>0.42199999999999999</v>
      </c>
      <c r="W424" s="20">
        <f t="shared" si="32"/>
        <v>0.1618146764352297</v>
      </c>
      <c r="X424" s="20">
        <f t="shared" si="33"/>
        <v>7.0029918531547622E-3</v>
      </c>
      <c r="Y424" s="20">
        <f t="shared" si="34"/>
        <v>-5.419182271350298E-3</v>
      </c>
    </row>
    <row r="425" spans="22:25" x14ac:dyDescent="0.2">
      <c r="V425" s="18">
        <v>0.42299999999999999</v>
      </c>
      <c r="W425" s="20">
        <f t="shared" si="32"/>
        <v>0.16182167662927111</v>
      </c>
      <c r="X425" s="20">
        <f t="shared" si="33"/>
        <v>6.9973080106322597E-3</v>
      </c>
      <c r="Y425" s="20">
        <f t="shared" si="34"/>
        <v>-5.9484955459532252E-3</v>
      </c>
    </row>
    <row r="426" spans="22:25" x14ac:dyDescent="0.2">
      <c r="V426" s="18">
        <v>0.42399999999999999</v>
      </c>
      <c r="W426" s="20">
        <f t="shared" si="32"/>
        <v>0.16182867087482244</v>
      </c>
      <c r="X426" s="20">
        <f t="shared" si="33"/>
        <v>6.9910948840599743E-3</v>
      </c>
      <c r="Y426" s="20">
        <f t="shared" si="34"/>
        <v>-6.4777428347015942E-3</v>
      </c>
    </row>
    <row r="427" spans="22:25" x14ac:dyDescent="0.2">
      <c r="V427" s="18">
        <v>0.42499999999999999</v>
      </c>
      <c r="W427" s="20">
        <f t="shared" si="32"/>
        <v>0.16183565864264021</v>
      </c>
      <c r="X427" s="20">
        <f t="shared" si="33"/>
        <v>6.9843525620056426E-3</v>
      </c>
      <c r="Y427" s="20">
        <f t="shared" si="34"/>
        <v>-7.0068790002768555E-3</v>
      </c>
    </row>
    <row r="428" spans="22:25" x14ac:dyDescent="0.2">
      <c r="V428" s="18">
        <v>0.42599999999999999</v>
      </c>
      <c r="W428" s="20">
        <f t="shared" si="32"/>
        <v>0.161842639403592</v>
      </c>
      <c r="X428" s="20">
        <f t="shared" si="33"/>
        <v>6.9770811780943479E-3</v>
      </c>
      <c r="Y428" s="20">
        <f t="shared" si="34"/>
        <v>-7.535859066331696E-3</v>
      </c>
    </row>
    <row r="429" spans="22:25" x14ac:dyDescent="0.2">
      <c r="V429" s="18">
        <v>0.42699999999999999</v>
      </c>
      <c r="W429" s="20">
        <f t="shared" si="32"/>
        <v>0.16184961262870146</v>
      </c>
      <c r="X429" s="20">
        <f t="shared" si="33"/>
        <v>6.9692809108465106E-3</v>
      </c>
      <c r="Y429" s="20">
        <f t="shared" si="34"/>
        <v>-8.0646382174862641E-3</v>
      </c>
    </row>
    <row r="430" spans="22:25" x14ac:dyDescent="0.2">
      <c r="V430" s="18">
        <v>0.42799999999999999</v>
      </c>
      <c r="W430" s="20">
        <f t="shared" si="32"/>
        <v>0.16185657778919318</v>
      </c>
      <c r="X430" s="20">
        <f t="shared" si="33"/>
        <v>6.9609519835175451E-3</v>
      </c>
      <c r="Y430" s="20">
        <f t="shared" si="34"/>
        <v>-8.59317179932928E-3</v>
      </c>
    </row>
    <row r="431" spans="22:25" x14ac:dyDescent="0.2">
      <c r="V431" s="18">
        <v>0.42899999999999999</v>
      </c>
      <c r="W431" s="20">
        <f t="shared" si="32"/>
        <v>0.16186353435653725</v>
      </c>
      <c r="X431" s="20">
        <f t="shared" si="33"/>
        <v>6.9520946639370987E-3</v>
      </c>
      <c r="Y431" s="20">
        <f t="shared" si="34"/>
        <v>-9.1214153184160374E-3</v>
      </c>
    </row>
    <row r="432" spans="22:25" x14ac:dyDescent="0.2">
      <c r="V432" s="18">
        <v>0.43</v>
      </c>
      <c r="W432" s="20">
        <f t="shared" si="32"/>
        <v>0.16187048180249392</v>
      </c>
      <c r="X432" s="20">
        <f t="shared" si="33"/>
        <v>6.9427092643475699E-3</v>
      </c>
      <c r="Y432" s="20">
        <f t="shared" si="34"/>
        <v>-9.6493244422732882E-3</v>
      </c>
    </row>
    <row r="433" spans="22:25" x14ac:dyDescent="0.2">
      <c r="V433" s="18">
        <v>0.43099999999999999</v>
      </c>
      <c r="W433" s="20">
        <f t="shared" si="32"/>
        <v>0.16187741959915763</v>
      </c>
      <c r="X433" s="20">
        <f t="shared" si="33"/>
        <v>6.9327961412434039E-3</v>
      </c>
      <c r="Y433" s="20">
        <f t="shared" si="34"/>
        <v>-1.0176854999393026E-2</v>
      </c>
    </row>
    <row r="434" spans="22:25" x14ac:dyDescent="0.2">
      <c r="V434" s="18">
        <v>0.432</v>
      </c>
      <c r="W434" s="20">
        <f t="shared" si="32"/>
        <v>0.16188434721900158</v>
      </c>
      <c r="X434" s="20">
        <f t="shared" si="33"/>
        <v>6.9223556952096657E-3</v>
      </c>
      <c r="Y434" s="20">
        <f t="shared" si="34"/>
        <v>-1.0703962979237813E-2</v>
      </c>
    </row>
    <row r="435" spans="22:25" x14ac:dyDescent="0.2">
      <c r="V435" s="18">
        <v>0.433</v>
      </c>
      <c r="W435" s="20">
        <f t="shared" si="32"/>
        <v>0.16189126413492144</v>
      </c>
      <c r="X435" s="20">
        <f t="shared" si="33"/>
        <v>6.911388370762224E-3</v>
      </c>
      <c r="Y435" s="20">
        <f t="shared" si="34"/>
        <v>-1.1230604532236788E-2</v>
      </c>
    </row>
    <row r="436" spans="22:25" x14ac:dyDescent="0.2">
      <c r="V436" s="18">
        <v>0.434</v>
      </c>
      <c r="W436" s="20">
        <f t="shared" si="32"/>
        <v>0.16189816982027924</v>
      </c>
      <c r="X436" s="20">
        <f t="shared" si="33"/>
        <v>6.8998946561854083E-3</v>
      </c>
      <c r="Y436" s="20">
        <f t="shared" si="34"/>
        <v>-1.1756735969789212E-2</v>
      </c>
    </row>
    <row r="437" spans="22:25" x14ac:dyDescent="0.2">
      <c r="V437" s="18">
        <v>0.435</v>
      </c>
      <c r="W437" s="20">
        <f t="shared" si="32"/>
        <v>0.16190506374894723</v>
      </c>
      <c r="X437" s="20">
        <f t="shared" si="33"/>
        <v>6.8878750833722205E-3</v>
      </c>
      <c r="Y437" s="20">
        <f t="shared" si="34"/>
        <v>-1.2282313764260033E-2</v>
      </c>
    </row>
    <row r="438" spans="22:25" x14ac:dyDescent="0.2">
      <c r="V438" s="18">
        <v>0.436</v>
      </c>
      <c r="W438" s="20">
        <f t="shared" si="32"/>
        <v>0.1619119453953512</v>
      </c>
      <c r="X438" s="20">
        <f t="shared" si="33"/>
        <v>6.8753302276619924E-3</v>
      </c>
      <c r="Y438" s="20">
        <f t="shared" si="34"/>
        <v>-1.2807294548985437E-2</v>
      </c>
    </row>
    <row r="439" spans="22:25" x14ac:dyDescent="0.2">
      <c r="V439" s="18">
        <v>0.437</v>
      </c>
      <c r="W439" s="20">
        <f t="shared" si="32"/>
        <v>0.16191881423451399</v>
      </c>
      <c r="X439" s="20">
        <f t="shared" si="33"/>
        <v>6.8622607076812073E-3</v>
      </c>
      <c r="Y439" s="20">
        <f t="shared" si="34"/>
        <v>-1.3331635118268403E-2</v>
      </c>
    </row>
    <row r="440" spans="22:25" x14ac:dyDescent="0.2">
      <c r="V440" s="18">
        <v>0.438</v>
      </c>
      <c r="W440" s="20">
        <f t="shared" si="32"/>
        <v>0.1619256697420986</v>
      </c>
      <c r="X440" s="20">
        <f t="shared" si="33"/>
        <v>6.8486671851805195E-3</v>
      </c>
      <c r="Y440" s="20">
        <f t="shared" si="34"/>
        <v>-1.3855292427379595E-2</v>
      </c>
    </row>
    <row r="441" spans="22:25" x14ac:dyDescent="0.2">
      <c r="V441" s="18">
        <v>0.439</v>
      </c>
      <c r="W441" s="20">
        <f t="shared" si="32"/>
        <v>0.16193251139445128</v>
      </c>
      <c r="X441" s="20">
        <f t="shared" si="33"/>
        <v>6.8345503648761033E-3</v>
      </c>
      <c r="Y441" s="20">
        <f t="shared" si="34"/>
        <v>-1.437822359255958E-2</v>
      </c>
    </row>
    <row r="442" spans="22:25" x14ac:dyDescent="0.2">
      <c r="V442" s="18">
        <v>0.44</v>
      </c>
      <c r="W442" s="20">
        <f t="shared" si="32"/>
        <v>0.16193933866864443</v>
      </c>
      <c r="X442" s="20">
        <f t="shared" si="33"/>
        <v>6.8199109942861727E-3</v>
      </c>
      <c r="Y442" s="20">
        <f t="shared" si="34"/>
        <v>-1.4900385891016388E-2</v>
      </c>
    </row>
    <row r="443" spans="22:25" x14ac:dyDescent="0.2">
      <c r="V443" s="18">
        <v>0.441</v>
      </c>
      <c r="W443" s="20">
        <f t="shared" si="32"/>
        <v>0.16194615104251933</v>
      </c>
      <c r="X443" s="20">
        <f t="shared" si="33"/>
        <v>6.8047498635721085E-3</v>
      </c>
      <c r="Y443" s="20">
        <f t="shared" si="34"/>
        <v>-1.5421736760926619E-2</v>
      </c>
    </row>
    <row r="444" spans="22:25" x14ac:dyDescent="0.2">
      <c r="V444" s="18">
        <v>0.442</v>
      </c>
      <c r="W444" s="20">
        <f t="shared" si="32"/>
        <v>0.16195294799472859</v>
      </c>
      <c r="X444" s="20">
        <f t="shared" si="33"/>
        <v>6.7890678053760325E-3</v>
      </c>
      <c r="Y444" s="20">
        <f t="shared" si="34"/>
        <v>-1.5942233801433892E-2</v>
      </c>
    </row>
    <row r="445" spans="22:25" x14ac:dyDescent="0.2">
      <c r="V445" s="18">
        <v>0.443</v>
      </c>
      <c r="W445" s="20">
        <f t="shared" si="32"/>
        <v>0.16195972900477879</v>
      </c>
      <c r="X445" s="20">
        <f t="shared" si="33"/>
        <v>6.7728656946607416E-3</v>
      </c>
      <c r="Y445" s="20">
        <f t="shared" si="34"/>
        <v>-1.6461834772651729E-2</v>
      </c>
    </row>
    <row r="446" spans="22:25" x14ac:dyDescent="0.2">
      <c r="V446" s="18">
        <v>0.44400000000000001</v>
      </c>
      <c r="W446" s="20">
        <f t="shared" si="32"/>
        <v>0.16196649355307233</v>
      </c>
      <c r="X446" s="20">
        <f t="shared" si="33"/>
        <v>6.7561444485485858E-3</v>
      </c>
      <c r="Y446" s="20">
        <f t="shared" si="34"/>
        <v>-1.6980497595662003E-2</v>
      </c>
    </row>
    <row r="447" spans="22:25" x14ac:dyDescent="0.2">
      <c r="V447" s="18">
        <v>0.44500000000000001</v>
      </c>
      <c r="W447" s="20">
        <f t="shared" si="32"/>
        <v>0.16197324112094996</v>
      </c>
      <c r="X447" s="20">
        <f t="shared" si="33"/>
        <v>6.738905026159904E-3</v>
      </c>
      <c r="Y447" s="20">
        <f t="shared" si="34"/>
        <v>-1.7498180352513604E-2</v>
      </c>
    </row>
    <row r="448" spans="22:25" x14ac:dyDescent="0.2">
      <c r="V448" s="18">
        <v>0.44600000000000001</v>
      </c>
      <c r="W448" s="20">
        <f t="shared" si="32"/>
        <v>0.16197997119073243</v>
      </c>
      <c r="X448" s="20">
        <f t="shared" si="33"/>
        <v>6.7211484284529291E-3</v>
      </c>
      <c r="Y448" s="20">
        <f t="shared" si="34"/>
        <v>-1.8014841286224659E-2</v>
      </c>
    </row>
    <row r="449" spans="22:25" x14ac:dyDescent="0.2">
      <c r="V449" s="18">
        <v>0.44700000000000001</v>
      </c>
      <c r="W449" s="20">
        <f t="shared" si="32"/>
        <v>0.16198668324576218</v>
      </c>
      <c r="X449" s="20">
        <f t="shared" si="33"/>
        <v>6.7028756980623064E-3</v>
      </c>
      <c r="Y449" s="20">
        <f t="shared" si="34"/>
        <v>-1.853043880078209E-2</v>
      </c>
    </row>
    <row r="450" spans="22:25" x14ac:dyDescent="0.2">
      <c r="V450" s="18">
        <v>0.44800000000000001</v>
      </c>
      <c r="W450" s="20">
        <f t="shared" si="32"/>
        <v>0.16199337677044523</v>
      </c>
      <c r="X450" s="20">
        <f t="shared" si="33"/>
        <v>6.6840879191379168E-3</v>
      </c>
      <c r="Y450" s="20">
        <f t="shared" si="34"/>
        <v>-1.904493146113917E-2</v>
      </c>
    </row>
    <row r="451" spans="22:25" x14ac:dyDescent="0.2">
      <c r="V451" s="18">
        <v>0.44900000000000001</v>
      </c>
      <c r="W451" s="20">
        <f t="shared" ref="W451:W514" si="35" xml:space="preserve"> -0.223567093536985*V451^6 + 0.944228289125022*V451^5 - 1.39425331473467*V451^4 + 0.919786041369661*V451^3 - 0.280641903613287*V451^2 + 0.0398143416441599*V451 + 0.158710616051081</f>
        <v>0.16200005125029232</v>
      </c>
      <c r="X451" s="20">
        <f t="shared" ref="X451:X514" si="36" xml:space="preserve"> 6*-0.223567093536985*V451^5 + 5*0.944228289125022*V451^4 - 4*1.39425331473467*V451^3 + 3*0.919786041369661*V451^2 - 2*0.280641903613287*V451^1 + 0.0398143416441599</f>
        <v>6.6647862171845609E-3</v>
      </c>
      <c r="Y451" s="20">
        <f t="shared" ref="Y451:Y514" si="37" xml:space="preserve"> 5*6*-0.223567093536985*V451^4 + 4*5*0.944228289125022*V451^3 - 3*4*1.39425331473467*V451^2 + 2*3*0.919786041369661*V451^1 - 2*0.280641903613287</f>
        <v>-1.9558277993219519E-2</v>
      </c>
    </row>
    <row r="452" spans="22:25" x14ac:dyDescent="0.2">
      <c r="V452" s="18">
        <v>0.45</v>
      </c>
      <c r="W452" s="20">
        <f t="shared" si="35"/>
        <v>0.16200670617196039</v>
      </c>
      <c r="X452" s="20">
        <f t="shared" si="36"/>
        <v>6.6449717589003657E-3</v>
      </c>
      <c r="Y452" s="20">
        <f t="shared" si="37"/>
        <v>-2.0070437283914444E-2</v>
      </c>
    </row>
    <row r="453" spans="22:25" x14ac:dyDescent="0.2">
      <c r="V453" s="18">
        <v>0.45100000000000001</v>
      </c>
      <c r="W453" s="20">
        <f t="shared" si="35"/>
        <v>0.16201334102329348</v>
      </c>
      <c r="X453" s="20">
        <f t="shared" si="36"/>
        <v>6.6246457520163574E-3</v>
      </c>
      <c r="Y453" s="20">
        <f t="shared" si="37"/>
        <v>-2.0581368381082488E-2</v>
      </c>
    </row>
    <row r="454" spans="22:25" x14ac:dyDescent="0.2">
      <c r="V454" s="18">
        <v>0.45200000000000001</v>
      </c>
      <c r="W454" s="20">
        <f t="shared" si="35"/>
        <v>0.16201995529336397</v>
      </c>
      <c r="X454" s="20">
        <f t="shared" si="36"/>
        <v>6.6038094451350351E-3</v>
      </c>
      <c r="Y454" s="20">
        <f t="shared" si="37"/>
        <v>-2.1091030493552765E-2</v>
      </c>
    </row>
    <row r="455" spans="22:25" x14ac:dyDescent="0.2">
      <c r="V455" s="18">
        <v>0.45300000000000001</v>
      </c>
      <c r="W455" s="20">
        <f t="shared" si="35"/>
        <v>0.16202654847251308</v>
      </c>
      <c r="X455" s="20">
        <f t="shared" si="36"/>
        <v>6.5824641275693888E-3</v>
      </c>
      <c r="Y455" s="20">
        <f t="shared" si="37"/>
        <v>-2.1599382991120297E-2</v>
      </c>
    </row>
    <row r="456" spans="22:25" x14ac:dyDescent="0.2">
      <c r="V456" s="18">
        <v>0.45400000000000001</v>
      </c>
      <c r="W456" s="20">
        <f t="shared" si="35"/>
        <v>0.1620331200523917</v>
      </c>
      <c r="X456" s="20">
        <f t="shared" si="36"/>
        <v>6.5606111291825267E-3</v>
      </c>
      <c r="Y456" s="20">
        <f t="shared" si="37"/>
        <v>-2.2106385404550233E-2</v>
      </c>
    </row>
    <row r="457" spans="22:25" x14ac:dyDescent="0.2">
      <c r="V457" s="18">
        <v>0.45500000000000002</v>
      </c>
      <c r="W457" s="20">
        <f t="shared" si="35"/>
        <v>0.1620396695260008</v>
      </c>
      <c r="X457" s="20">
        <f t="shared" si="36"/>
        <v>6.5382518202260834E-3</v>
      </c>
      <c r="Y457" s="20">
        <f t="shared" si="37"/>
        <v>-2.2611997425574515E-2</v>
      </c>
    </row>
    <row r="458" spans="22:25" x14ac:dyDescent="0.2">
      <c r="V458" s="18">
        <v>0.45600000000000002</v>
      </c>
      <c r="W458" s="20">
        <f t="shared" si="35"/>
        <v>0.16204619638773168</v>
      </c>
      <c r="X458" s="20">
        <f t="shared" si="36"/>
        <v>6.5153876111797918E-3</v>
      </c>
      <c r="Y458" s="20">
        <f t="shared" si="37"/>
        <v>-2.3116178906894103E-2</v>
      </c>
    </row>
    <row r="459" spans="22:25" x14ac:dyDescent="0.2">
      <c r="V459" s="18">
        <v>0.45700000000000002</v>
      </c>
      <c r="W459" s="20">
        <f t="shared" si="35"/>
        <v>0.1620527001334062</v>
      </c>
      <c r="X459" s="20">
        <f t="shared" si="36"/>
        <v>6.492019952589502E-3</v>
      </c>
      <c r="Y459" s="20">
        <f t="shared" si="37"/>
        <v>-2.3618889862179193E-2</v>
      </c>
    </row>
    <row r="460" spans="22:25" x14ac:dyDescent="0.2">
      <c r="V460" s="18">
        <v>0.45800000000000002</v>
      </c>
      <c r="W460" s="20">
        <f t="shared" si="35"/>
        <v>0.16205918026031674</v>
      </c>
      <c r="X460" s="20">
        <f t="shared" si="36"/>
        <v>6.4681503349076977E-3</v>
      </c>
      <c r="Y460" s="20">
        <f t="shared" si="37"/>
        <v>-2.4120090466066557E-2</v>
      </c>
    </row>
    <row r="461" spans="22:25" x14ac:dyDescent="0.2">
      <c r="V461" s="18">
        <v>0.45900000000000002</v>
      </c>
      <c r="W461" s="20">
        <f t="shared" si="35"/>
        <v>0.16206563626726594</v>
      </c>
      <c r="X461" s="20">
        <f t="shared" si="36"/>
        <v>6.4437802883311815E-3</v>
      </c>
      <c r="Y461" s="20">
        <f t="shared" si="37"/>
        <v>-2.4619741054162425E-2</v>
      </c>
    </row>
    <row r="462" spans="22:25" x14ac:dyDescent="0.2">
      <c r="V462" s="18">
        <v>0.46</v>
      </c>
      <c r="W462" s="20">
        <f t="shared" si="35"/>
        <v>0.16207206765460658</v>
      </c>
      <c r="X462" s="20">
        <f t="shared" si="36"/>
        <v>6.4189113826409808E-3</v>
      </c>
      <c r="Y462" s="20">
        <f t="shared" si="37"/>
        <v>-2.5117802123041155E-2</v>
      </c>
    </row>
    <row r="463" spans="22:25" x14ac:dyDescent="0.2">
      <c r="V463" s="18">
        <v>0.46100000000000002</v>
      </c>
      <c r="W463" s="20">
        <f t="shared" si="35"/>
        <v>0.16207847392428082</v>
      </c>
      <c r="X463" s="20">
        <f t="shared" si="36"/>
        <v>6.3935452270408102E-3</v>
      </c>
      <c r="Y463" s="20">
        <f t="shared" si="37"/>
        <v>-2.5614234330244567E-2</v>
      </c>
    </row>
    <row r="464" spans="22:25" x14ac:dyDescent="0.2">
      <c r="V464" s="18">
        <v>0.46200000000000002</v>
      </c>
      <c r="W464" s="20">
        <f t="shared" si="35"/>
        <v>0.16208485457985974</v>
      </c>
      <c r="X464" s="20">
        <f t="shared" si="36"/>
        <v>6.3676834699965892E-3</v>
      </c>
      <c r="Y464" s="20">
        <f t="shared" si="37"/>
        <v>-2.6108998494285274E-2</v>
      </c>
    </row>
    <row r="465" spans="22:25" x14ac:dyDescent="0.2">
      <c r="V465" s="18">
        <v>0.46300000000000002</v>
      </c>
      <c r="W465" s="20">
        <f t="shared" si="35"/>
        <v>0.16209120912658243</v>
      </c>
      <c r="X465" s="20">
        <f t="shared" si="36"/>
        <v>6.3413277990751263E-3</v>
      </c>
      <c r="Y465" s="20">
        <f t="shared" si="37"/>
        <v>-2.6602055594640461E-2</v>
      </c>
    </row>
    <row r="466" spans="22:25" x14ac:dyDescent="0.2">
      <c r="V466" s="18">
        <v>0.46400000000000002</v>
      </c>
      <c r="W466" s="20">
        <f t="shared" si="35"/>
        <v>0.16209753707139501</v>
      </c>
      <c r="X466" s="20">
        <f t="shared" si="36"/>
        <v>6.3144799407834698E-3</v>
      </c>
      <c r="Y466" s="20">
        <f t="shared" si="37"/>
        <v>-2.7093366771757665E-2</v>
      </c>
    </row>
    <row r="467" spans="22:25" x14ac:dyDescent="0.2">
      <c r="V467" s="18">
        <v>0.46500000000000002</v>
      </c>
      <c r="W467" s="20">
        <f t="shared" si="35"/>
        <v>0.16210383792298952</v>
      </c>
      <c r="X467" s="20">
        <f t="shared" si="36"/>
        <v>6.2871416604074262E-3</v>
      </c>
      <c r="Y467" s="20">
        <f t="shared" si="37"/>
        <v>-2.7582893327054769E-2</v>
      </c>
    </row>
    <row r="468" spans="22:25" x14ac:dyDescent="0.2">
      <c r="V468" s="18">
        <v>0.46600000000000003</v>
      </c>
      <c r="W468" s="20">
        <f t="shared" si="35"/>
        <v>0.16211011119184268</v>
      </c>
      <c r="X468" s="20">
        <f t="shared" si="36"/>
        <v>6.2593147618509107E-3</v>
      </c>
      <c r="Y468" s="20">
        <f t="shared" si="37"/>
        <v>-2.8070596722912899E-2</v>
      </c>
    </row>
    <row r="469" spans="22:25" x14ac:dyDescent="0.2">
      <c r="V469" s="18">
        <v>0.46700000000000003</v>
      </c>
      <c r="W469" s="20">
        <f t="shared" si="35"/>
        <v>0.16211635639025421</v>
      </c>
      <c r="X469" s="20">
        <f t="shared" si="36"/>
        <v>6.2310010874754088E-3</v>
      </c>
      <c r="Y469" s="20">
        <f t="shared" si="37"/>
        <v>-2.8556438582686638E-2</v>
      </c>
    </row>
    <row r="470" spans="22:25" x14ac:dyDescent="0.2">
      <c r="V470" s="18">
        <v>0.46800000000000003</v>
      </c>
      <c r="W470" s="20">
        <f t="shared" si="35"/>
        <v>0.16212257303238548</v>
      </c>
      <c r="X470" s="20">
        <f t="shared" si="36"/>
        <v>6.202202517937884E-3</v>
      </c>
      <c r="Y470" s="20">
        <f t="shared" si="37"/>
        <v>-2.9040380690695589E-2</v>
      </c>
    </row>
    <row r="471" spans="22:25" x14ac:dyDescent="0.2">
      <c r="V471" s="18">
        <v>0.46899999999999997</v>
      </c>
      <c r="W471" s="20">
        <f t="shared" si="35"/>
        <v>0.16212876063429754</v>
      </c>
      <c r="X471" s="20">
        <f t="shared" si="36"/>
        <v>6.1729209720311276E-3</v>
      </c>
      <c r="Y471" s="20">
        <f t="shared" si="37"/>
        <v>-2.9522384992228812E-2</v>
      </c>
    </row>
    <row r="472" spans="22:25" x14ac:dyDescent="0.2">
      <c r="V472" s="18">
        <v>0.47</v>
      </c>
      <c r="W472" s="20">
        <f t="shared" si="35"/>
        <v>0.16213491871398925</v>
      </c>
      <c r="X472" s="20">
        <f t="shared" si="36"/>
        <v>6.1431584065221104E-3</v>
      </c>
      <c r="Y472" s="20">
        <f t="shared" si="37"/>
        <v>-3.0002413593544386E-2</v>
      </c>
    </row>
    <row r="473" spans="22:25" x14ac:dyDescent="0.2">
      <c r="V473" s="18">
        <v>0.47099999999999997</v>
      </c>
      <c r="W473" s="20">
        <f t="shared" si="35"/>
        <v>0.16214104679143515</v>
      </c>
      <c r="X473" s="20">
        <f t="shared" si="36"/>
        <v>6.1129168159903338E-3</v>
      </c>
      <c r="Y473" s="20">
        <f t="shared" si="37"/>
        <v>-3.0480428761867628E-2</v>
      </c>
    </row>
    <row r="474" spans="22:25" x14ac:dyDescent="0.2">
      <c r="V474" s="18">
        <v>0.47199999999999998</v>
      </c>
      <c r="W474" s="20">
        <f t="shared" si="35"/>
        <v>0.16214714438862321</v>
      </c>
      <c r="X474" s="20">
        <f t="shared" si="36"/>
        <v>6.0821982326683469E-3</v>
      </c>
      <c r="Y474" s="20">
        <f t="shared" si="37"/>
        <v>-3.0956392925391985E-2</v>
      </c>
    </row>
    <row r="475" spans="22:25" x14ac:dyDescent="0.2">
      <c r="V475" s="18">
        <v>0.47299999999999998</v>
      </c>
      <c r="W475" s="20">
        <f t="shared" si="35"/>
        <v>0.16215321102959238</v>
      </c>
      <c r="X475" s="20">
        <f t="shared" si="36"/>
        <v>6.0510047262799307E-3</v>
      </c>
      <c r="Y475" s="20">
        <f t="shared" si="37"/>
        <v>-3.1430268673279471E-2</v>
      </c>
    </row>
    <row r="476" spans="22:25" x14ac:dyDescent="0.2">
      <c r="V476" s="18">
        <v>0.47399999999999998</v>
      </c>
      <c r="W476" s="20">
        <f t="shared" si="35"/>
        <v>0.16215924624047001</v>
      </c>
      <c r="X476" s="20">
        <f t="shared" si="36"/>
        <v>6.0193384038786726E-3</v>
      </c>
      <c r="Y476" s="20">
        <f t="shared" si="37"/>
        <v>-3.1902018755661121E-2</v>
      </c>
    </row>
    <row r="477" spans="22:25" x14ac:dyDescent="0.2">
      <c r="V477" s="18">
        <v>0.47499999999999998</v>
      </c>
      <c r="W477" s="20">
        <f t="shared" si="35"/>
        <v>0.16216524954950912</v>
      </c>
      <c r="X477" s="20">
        <f t="shared" si="36"/>
        <v>5.9872014096884266E-3</v>
      </c>
      <c r="Y477" s="20">
        <f t="shared" si="37"/>
        <v>-3.2371606083636539E-2</v>
      </c>
    </row>
    <row r="478" spans="22:25" x14ac:dyDescent="0.2">
      <c r="V478" s="18">
        <v>0.47599999999999998</v>
      </c>
      <c r="W478" s="20">
        <f t="shared" si="35"/>
        <v>0.16217122048712546</v>
      </c>
      <c r="X478" s="20">
        <f t="shared" si="36"/>
        <v>5.9545959249407213E-3</v>
      </c>
      <c r="Y478" s="20">
        <f t="shared" si="37"/>
        <v>-3.2838993729270793E-2</v>
      </c>
    </row>
    <row r="479" spans="22:25" x14ac:dyDescent="0.2">
      <c r="V479" s="18">
        <v>0.47699999999999998</v>
      </c>
      <c r="W479" s="20">
        <f t="shared" si="35"/>
        <v>0.16217715858593446</v>
      </c>
      <c r="X479" s="20">
        <f t="shared" si="36"/>
        <v>5.9215241677148325E-3</v>
      </c>
      <c r="Y479" s="20">
        <f t="shared" si="37"/>
        <v>-3.3304144925601964E-2</v>
      </c>
    </row>
    <row r="480" spans="22:25" x14ac:dyDescent="0.2">
      <c r="V480" s="18">
        <v>0.47799999999999998</v>
      </c>
      <c r="W480" s="20">
        <f t="shared" si="35"/>
        <v>0.16218306338078792</v>
      </c>
      <c r="X480" s="20">
        <f t="shared" si="36"/>
        <v>5.8879883927764678E-3</v>
      </c>
      <c r="Y480" s="20">
        <f t="shared" si="37"/>
        <v>-3.3767023066632262E-2</v>
      </c>
    </row>
    <row r="481" spans="22:25" x14ac:dyDescent="0.2">
      <c r="V481" s="18">
        <v>0.47899999999999998</v>
      </c>
      <c r="W481" s="20">
        <f t="shared" si="35"/>
        <v>0.1621889344088108</v>
      </c>
      <c r="X481" s="20">
        <f t="shared" si="36"/>
        <v>5.8539908914168395E-3</v>
      </c>
      <c r="Y481" s="20">
        <f t="shared" si="37"/>
        <v>-3.4227591707332916E-2</v>
      </c>
    </row>
    <row r="482" spans="22:25" x14ac:dyDescent="0.2">
      <c r="V482" s="18">
        <v>0.48</v>
      </c>
      <c r="W482" s="20">
        <f t="shared" si="35"/>
        <v>0.16219477120943743</v>
      </c>
      <c r="X482" s="20">
        <f t="shared" si="36"/>
        <v>5.8195339912916824E-3</v>
      </c>
      <c r="Y482" s="20">
        <f t="shared" si="37"/>
        <v>-3.4685814563645501E-2</v>
      </c>
    </row>
    <row r="483" spans="22:25" x14ac:dyDescent="0.2">
      <c r="V483" s="18">
        <v>0.48099999999999998</v>
      </c>
      <c r="W483" s="20">
        <f t="shared" si="35"/>
        <v>0.16220057332444801</v>
      </c>
      <c r="X483" s="20">
        <f t="shared" si="36"/>
        <v>5.784620056260327E-3</v>
      </c>
      <c r="Y483" s="20">
        <f t="shared" si="37"/>
        <v>-3.5141655512478831E-2</v>
      </c>
    </row>
    <row r="484" spans="22:25" x14ac:dyDescent="0.2">
      <c r="V484" s="18">
        <v>0.48199999999999998</v>
      </c>
      <c r="W484" s="20">
        <f t="shared" si="35"/>
        <v>0.16220634029800457</v>
      </c>
      <c r="X484" s="20">
        <f t="shared" si="36"/>
        <v>5.7492514862249391E-3</v>
      </c>
      <c r="Y484" s="20">
        <f t="shared" si="37"/>
        <v>-3.5595078591708962E-2</v>
      </c>
    </row>
    <row r="485" spans="22:25" x14ac:dyDescent="0.2">
      <c r="V485" s="18">
        <v>0.48299999999999998</v>
      </c>
      <c r="W485" s="20">
        <f t="shared" si="35"/>
        <v>0.162212071676687</v>
      </c>
      <c r="X485" s="20">
        <f t="shared" si="36"/>
        <v>5.7134307169689827E-3</v>
      </c>
      <c r="Y485" s="20">
        <f t="shared" si="37"/>
        <v>-3.604604800018274E-2</v>
      </c>
    </row>
    <row r="486" spans="22:25" x14ac:dyDescent="0.2">
      <c r="V486" s="18">
        <v>0.48399999999999999</v>
      </c>
      <c r="W486" s="20">
        <f t="shared" si="35"/>
        <v>0.16221776700952886</v>
      </c>
      <c r="X486" s="20">
        <f t="shared" si="36"/>
        <v>5.6771602199968477E-3</v>
      </c>
      <c r="Y486" s="20">
        <f t="shared" si="37"/>
        <v>-3.6494528097712475E-2</v>
      </c>
    </row>
    <row r="487" spans="22:25" x14ac:dyDescent="0.2">
      <c r="V487" s="18">
        <v>0.48499999999999999</v>
      </c>
      <c r="W487" s="20">
        <f t="shared" si="35"/>
        <v>0.16222342584805302</v>
      </c>
      <c r="X487" s="20">
        <f t="shared" si="36"/>
        <v>5.6404425023721463E-3</v>
      </c>
      <c r="Y487" s="20">
        <f t="shared" si="37"/>
        <v>-3.6940483405080382E-2</v>
      </c>
    </row>
    <row r="488" spans="22:25" x14ac:dyDescent="0.2">
      <c r="V488" s="18">
        <v>0.48599999999999999</v>
      </c>
      <c r="W488" s="20">
        <f t="shared" si="35"/>
        <v>0.16222904774630714</v>
      </c>
      <c r="X488" s="20">
        <f t="shared" si="36"/>
        <v>5.6032801065578411E-3</v>
      </c>
      <c r="Y488" s="20">
        <f t="shared" si="37"/>
        <v>-3.7383878604035914E-2</v>
      </c>
    </row>
    <row r="489" spans="22:25" x14ac:dyDescent="0.2">
      <c r="V489" s="18">
        <v>0.48699999999999999</v>
      </c>
      <c r="W489" s="20">
        <f t="shared" si="35"/>
        <v>0.16223463226089893</v>
      </c>
      <c r="X489" s="20">
        <f t="shared" si="36"/>
        <v>5.5656756102543184E-3</v>
      </c>
      <c r="Y489" s="20">
        <f t="shared" si="37"/>
        <v>-3.7824678537298428E-2</v>
      </c>
    </row>
    <row r="490" spans="22:25" x14ac:dyDescent="0.2">
      <c r="V490" s="18">
        <v>0.48799999999999999</v>
      </c>
      <c r="W490" s="20">
        <f t="shared" si="35"/>
        <v>0.16224017895103135</v>
      </c>
      <c r="X490" s="20">
        <f t="shared" si="36"/>
        <v>5.5276316262390171E-3</v>
      </c>
      <c r="Y490" s="20">
        <f t="shared" si="37"/>
        <v>-3.8262848208555855E-2</v>
      </c>
    </row>
    <row r="491" spans="22:25" x14ac:dyDescent="0.2">
      <c r="V491" s="18">
        <v>0.48899999999999999</v>
      </c>
      <c r="W491" s="20">
        <f t="shared" si="35"/>
        <v>0.1622456873785377</v>
      </c>
      <c r="X491" s="20">
        <f t="shared" si="36"/>
        <v>5.4891508022048355E-3</v>
      </c>
      <c r="Y491" s="20">
        <f t="shared" si="37"/>
        <v>-3.8698352782461143E-2</v>
      </c>
    </row>
    <row r="492" spans="22:25" x14ac:dyDescent="0.2">
      <c r="V492" s="18">
        <v>0.49</v>
      </c>
      <c r="W492" s="20">
        <f t="shared" si="35"/>
        <v>0.16225115710791621</v>
      </c>
      <c r="X492" s="20">
        <f t="shared" si="36"/>
        <v>5.450235820599815E-3</v>
      </c>
      <c r="Y492" s="20">
        <f t="shared" si="37"/>
        <v>-3.913115758463892E-2</v>
      </c>
    </row>
    <row r="493" spans="22:25" x14ac:dyDescent="0.2">
      <c r="V493" s="18">
        <v>0.49099999999999999</v>
      </c>
      <c r="W493" s="20">
        <f t="shared" si="35"/>
        <v>0.162256587706365</v>
      </c>
      <c r="X493" s="20">
        <f t="shared" si="36"/>
        <v>5.4108893984656584E-3</v>
      </c>
      <c r="Y493" s="20">
        <f t="shared" si="37"/>
        <v>-3.9561228101681056E-2</v>
      </c>
    </row>
    <row r="494" spans="22:25" x14ac:dyDescent="0.2">
      <c r="V494" s="18">
        <v>0.49199999999999999</v>
      </c>
      <c r="W494" s="20">
        <f t="shared" si="35"/>
        <v>0.1622619787438164</v>
      </c>
      <c r="X494" s="20">
        <f t="shared" si="36"/>
        <v>5.3711142872774689E-3</v>
      </c>
      <c r="Y494" s="20">
        <f t="shared" si="37"/>
        <v>-3.9988529981147103E-2</v>
      </c>
    </row>
    <row r="495" spans="22:25" x14ac:dyDescent="0.2">
      <c r="V495" s="18">
        <v>0.49299999999999999</v>
      </c>
      <c r="W495" s="20">
        <f t="shared" si="35"/>
        <v>0.1622673297929714</v>
      </c>
      <c r="X495" s="20">
        <f t="shared" si="36"/>
        <v>5.330913272781547E-3</v>
      </c>
      <c r="Y495" s="20">
        <f t="shared" si="37"/>
        <v>-4.0413029031566072E-2</v>
      </c>
    </row>
    <row r="496" spans="22:25" x14ac:dyDescent="0.2">
      <c r="V496" s="18">
        <v>0.49399999999999999</v>
      </c>
      <c r="W496" s="20">
        <f t="shared" si="35"/>
        <v>0.16227264042933376</v>
      </c>
      <c r="X496" s="20">
        <f t="shared" si="36"/>
        <v>5.2902891748360728E-3</v>
      </c>
      <c r="Y496" s="20">
        <f t="shared" si="37"/>
        <v>-4.0834691222433328E-2</v>
      </c>
    </row>
    <row r="497" spans="22:25" x14ac:dyDescent="0.2">
      <c r="V497" s="18">
        <v>0.495</v>
      </c>
      <c r="W497" s="20">
        <f t="shared" si="35"/>
        <v>0.16227791023124413</v>
      </c>
      <c r="X497" s="20">
        <f t="shared" si="36"/>
        <v>5.249244847248237E-3</v>
      </c>
      <c r="Y497" s="20">
        <f t="shared" si="37"/>
        <v>-4.1253482684215026E-2</v>
      </c>
    </row>
    <row r="498" spans="22:25" x14ac:dyDescent="0.2">
      <c r="V498" s="18">
        <v>0.496</v>
      </c>
      <c r="W498" s="20">
        <f t="shared" si="35"/>
        <v>0.16228313877991388</v>
      </c>
      <c r="X498" s="20">
        <f t="shared" si="36"/>
        <v>5.2077831776151454E-3</v>
      </c>
      <c r="Y498" s="20">
        <f t="shared" si="37"/>
        <v>-4.166936970834545E-2</v>
      </c>
    </row>
    <row r="499" spans="22:25" x14ac:dyDescent="0.2">
      <c r="V499" s="18">
        <v>0.497</v>
      </c>
      <c r="W499" s="20">
        <f t="shared" si="35"/>
        <v>0.16228832565945872</v>
      </c>
      <c r="X499" s="20">
        <f t="shared" si="36"/>
        <v>5.1659070871617266E-3</v>
      </c>
      <c r="Y499" s="20">
        <f t="shared" si="37"/>
        <v>-4.2082318747223457E-2</v>
      </c>
    </row>
    <row r="500" spans="22:25" x14ac:dyDescent="0.2">
      <c r="V500" s="18">
        <v>0.498</v>
      </c>
      <c r="W500" s="20">
        <f t="shared" si="35"/>
        <v>0.16229347045693246</v>
      </c>
      <c r="X500" s="20">
        <f t="shared" si="36"/>
        <v>5.1236195305798607E-3</v>
      </c>
      <c r="Y500" s="20">
        <f t="shared" si="37"/>
        <v>-4.2492296414220476E-2</v>
      </c>
    </row>
    <row r="501" spans="22:25" x14ac:dyDescent="0.2">
      <c r="V501" s="18">
        <v>0.499</v>
      </c>
      <c r="W501" s="20">
        <f t="shared" si="35"/>
        <v>0.16229857276236015</v>
      </c>
      <c r="X501" s="20">
        <f t="shared" si="36"/>
        <v>5.0809234958675634E-3</v>
      </c>
      <c r="Y501" s="20">
        <f t="shared" si="37"/>
        <v>-4.2899269483675173E-2</v>
      </c>
    </row>
    <row r="502" spans="22:25" x14ac:dyDescent="0.2">
      <c r="V502" s="18">
        <v>0.5</v>
      </c>
      <c r="W502" s="20">
        <f t="shared" si="35"/>
        <v>0.1623036321687715</v>
      </c>
      <c r="X502" s="20">
        <f t="shared" si="36"/>
        <v>5.0378220041683366E-3</v>
      </c>
      <c r="Y502" s="20">
        <f t="shared" si="37"/>
        <v>-4.3303204890892566E-2</v>
      </c>
    </row>
    <row r="503" spans="22:25" x14ac:dyDescent="0.2">
      <c r="V503" s="18">
        <v>0.501</v>
      </c>
      <c r="W503" s="20">
        <f t="shared" si="35"/>
        <v>0.16230864827223385</v>
      </c>
      <c r="X503" s="20">
        <f t="shared" si="36"/>
        <v>4.9943181096095204E-3</v>
      </c>
      <c r="Y503" s="20">
        <f t="shared" si="37"/>
        <v>-4.3704069732149353E-2</v>
      </c>
    </row>
    <row r="504" spans="22:25" x14ac:dyDescent="0.2">
      <c r="V504" s="18">
        <v>0.502</v>
      </c>
      <c r="W504" s="20">
        <f t="shared" si="35"/>
        <v>0.16231362067188504</v>
      </c>
      <c r="X504" s="20">
        <f t="shared" si="36"/>
        <v>4.9504148991420319E-3</v>
      </c>
      <c r="Y504" s="20">
        <f t="shared" si="37"/>
        <v>-4.4101831264687696E-2</v>
      </c>
    </row>
    <row r="505" spans="22:25" x14ac:dyDescent="0.2">
      <c r="V505" s="18">
        <v>0.503</v>
      </c>
      <c r="W505" s="20">
        <f t="shared" si="35"/>
        <v>0.16231854896996634</v>
      </c>
      <c r="X505" s="20">
        <f t="shared" si="36"/>
        <v>4.9061154923789388E-3</v>
      </c>
      <c r="Y505" s="20">
        <f t="shared" si="37"/>
        <v>-4.4496456906718773E-2</v>
      </c>
    </row>
    <row r="506" spans="22:25" x14ac:dyDescent="0.2">
      <c r="V506" s="18">
        <v>0.504</v>
      </c>
      <c r="W506" s="20">
        <f t="shared" si="35"/>
        <v>0.16232343277185471</v>
      </c>
      <c r="X506" s="20">
        <f t="shared" si="36"/>
        <v>4.8614230414342555E-3</v>
      </c>
      <c r="Y506" s="20">
        <f t="shared" si="37"/>
        <v>-4.4887914237423221E-2</v>
      </c>
    </row>
    <row r="507" spans="22:25" x14ac:dyDescent="0.2">
      <c r="V507" s="18">
        <v>0.505</v>
      </c>
      <c r="W507" s="20">
        <f t="shared" si="35"/>
        <v>0.16232827168609557</v>
      </c>
      <c r="X507" s="20">
        <f t="shared" si="36"/>
        <v>4.8163407307629594E-3</v>
      </c>
      <c r="Y507" s="20">
        <f t="shared" si="37"/>
        <v>-4.5276170996948473E-2</v>
      </c>
    </row>
    <row r="508" spans="22:25" x14ac:dyDescent="0.2">
      <c r="V508" s="18">
        <v>0.50600000000000001</v>
      </c>
      <c r="W508" s="20">
        <f t="shared" si="35"/>
        <v>0.16233306532443487</v>
      </c>
      <c r="X508" s="20">
        <f t="shared" si="36"/>
        <v>4.7708717769986766E-3</v>
      </c>
      <c r="Y508" s="20">
        <f t="shared" si="37"/>
        <v>-4.5661195086409645E-2</v>
      </c>
    </row>
    <row r="509" spans="22:25" x14ac:dyDescent="0.2">
      <c r="V509" s="18">
        <v>0.50700000000000001</v>
      </c>
      <c r="W509" s="20">
        <f t="shared" si="35"/>
        <v>0.1623378133018511</v>
      </c>
      <c r="X509" s="20">
        <f t="shared" si="36"/>
        <v>4.7250194287944761E-3</v>
      </c>
      <c r="Y509" s="20">
        <f t="shared" si="37"/>
        <v>-4.6042954567893979E-2</v>
      </c>
    </row>
    <row r="510" spans="22:25" x14ac:dyDescent="0.2">
      <c r="V510" s="18">
        <v>0.50800000000000001</v>
      </c>
      <c r="W510" s="20">
        <f t="shared" si="35"/>
        <v>0.16234251523658746</v>
      </c>
      <c r="X510" s="20">
        <f t="shared" si="36"/>
        <v>4.6787869666597773E-3</v>
      </c>
      <c r="Y510" s="20">
        <f t="shared" si="37"/>
        <v>-4.6421417664453291E-2</v>
      </c>
    </row>
    <row r="511" spans="22:25" x14ac:dyDescent="0.2">
      <c r="V511" s="18">
        <v>0.50900000000000001</v>
      </c>
      <c r="W511" s="20">
        <f t="shared" si="35"/>
        <v>0.16234717075018348</v>
      </c>
      <c r="X511" s="20">
        <f t="shared" si="36"/>
        <v>4.6321777028009783E-3</v>
      </c>
      <c r="Y511" s="20">
        <f t="shared" si="37"/>
        <v>-4.6796552760107968E-2</v>
      </c>
    </row>
    <row r="512" spans="22:25" x14ac:dyDescent="0.2">
      <c r="V512" s="18">
        <v>0.51</v>
      </c>
      <c r="W512" s="20">
        <f t="shared" si="35"/>
        <v>0.1623517794675067</v>
      </c>
      <c r="X512" s="20">
        <f t="shared" si="36"/>
        <v>4.5851949809600293E-3</v>
      </c>
      <c r="Y512" s="20">
        <f t="shared" si="37"/>
        <v>-4.7168328399848747E-2</v>
      </c>
    </row>
    <row r="513" spans="22:25" x14ac:dyDescent="0.2">
      <c r="V513" s="18">
        <v>0.51100000000000001</v>
      </c>
      <c r="W513" s="20">
        <f t="shared" si="35"/>
        <v>0.16235634101678409</v>
      </c>
      <c r="X513" s="20">
        <f t="shared" si="36"/>
        <v>4.5378421762530055E-3</v>
      </c>
      <c r="Y513" s="20">
        <f t="shared" si="37"/>
        <v>-4.7536713289632715E-2</v>
      </c>
    </row>
    <row r="514" spans="22:25" x14ac:dyDescent="0.2">
      <c r="V514" s="18">
        <v>0.51200000000000001</v>
      </c>
      <c r="W514" s="20">
        <f t="shared" si="35"/>
        <v>0.16236085502963338</v>
      </c>
      <c r="X514" s="20">
        <f t="shared" si="36"/>
        <v>4.490122695010014E-3</v>
      </c>
      <c r="Y514" s="20">
        <f t="shared" si="37"/>
        <v>-4.7901676296387308E-2</v>
      </c>
    </row>
    <row r="515" spans="22:25" x14ac:dyDescent="0.2">
      <c r="V515" s="18">
        <v>0.51300000000000001</v>
      </c>
      <c r="W515" s="20">
        <f t="shared" ref="W515:W578" si="38" xml:space="preserve"> -0.223567093536985*V515^6 + 0.944228289125022*V515^5 - 1.39425331473467*V515^4 + 0.919786041369661*V515^3 - 0.280641903613287*V515^2 + 0.0398143416441599*V515 + 0.158710616051081</f>
        <v>0.16236532114109409</v>
      </c>
      <c r="X515" s="20">
        <f t="shared" ref="X515:X578" si="39" xml:space="preserve"> 6*-0.223567093536985*V515^5 + 5*0.944228289125022*V515^4 - 4*1.39425331473467*V515^3 + 3*0.919786041369661*V515^2 - 2*0.280641903613287*V515^1 + 0.0398143416441599</f>
        <v>4.4420399746136555E-3</v>
      </c>
      <c r="Y515" s="20">
        <f t="shared" ref="Y515:Y578" si="40" xml:space="preserve"> 5*6*-0.223567093536985*V515^4 + 4*5*0.944228289125022*V515^3 - 3*4*1.39425331473467*V515^2 + 2*3*0.919786041369661*V515^1 - 2*0.280641903613287</f>
        <v>-4.8263186448005868E-2</v>
      </c>
    </row>
    <row r="516" spans="22:25" x14ac:dyDescent="0.2">
      <c r="V516" s="18">
        <v>0.51400000000000001</v>
      </c>
      <c r="W516" s="20">
        <f t="shared" si="38"/>
        <v>0.16236973898965862</v>
      </c>
      <c r="X516" s="20">
        <f t="shared" si="39"/>
        <v>4.3935974833379868E-3</v>
      </c>
      <c r="Y516" s="20">
        <f t="shared" si="40"/>
        <v>-4.8621212933352087E-2</v>
      </c>
    </row>
    <row r="517" spans="22:25" x14ac:dyDescent="0.2">
      <c r="V517" s="18">
        <v>0.51500000000000001</v>
      </c>
      <c r="W517" s="20">
        <f t="shared" si="38"/>
        <v>0.16237410821730314</v>
      </c>
      <c r="X517" s="20">
        <f t="shared" si="39"/>
        <v>4.344798720187594E-3</v>
      </c>
      <c r="Y517" s="20">
        <f t="shared" si="40"/>
        <v>-4.8975725102255563E-2</v>
      </c>
    </row>
    <row r="518" spans="22:25" x14ac:dyDescent="0.2">
      <c r="V518" s="18">
        <v>0.51600000000000001</v>
      </c>
      <c r="W518" s="20">
        <f t="shared" si="38"/>
        <v>0.16237842846951789</v>
      </c>
      <c r="X518" s="20">
        <f t="shared" si="39"/>
        <v>4.2956472147372762E-3</v>
      </c>
      <c r="Y518" s="20">
        <f t="shared" si="40"/>
        <v>-4.932669246551713E-2</v>
      </c>
    </row>
    <row r="519" spans="22:25" x14ac:dyDescent="0.2">
      <c r="V519" s="18">
        <v>0.51700000000000002</v>
      </c>
      <c r="W519" s="20">
        <f t="shared" si="38"/>
        <v>0.16238269939533814</v>
      </c>
      <c r="X519" s="20">
        <f t="shared" si="39"/>
        <v>4.2461465269696755E-3</v>
      </c>
      <c r="Y519" s="20">
        <f t="shared" si="40"/>
        <v>-4.9674084694904419E-2</v>
      </c>
    </row>
    <row r="520" spans="22:25" x14ac:dyDescent="0.2">
      <c r="V520" s="18">
        <v>0.51800000000000002</v>
      </c>
      <c r="W520" s="20">
        <f t="shared" si="38"/>
        <v>0.16238692064737414</v>
      </c>
      <c r="X520" s="20">
        <f t="shared" si="39"/>
        <v>4.1963002471161262E-3</v>
      </c>
      <c r="Y520" s="20">
        <f t="shared" si="40"/>
        <v>-5.0017871623153187E-2</v>
      </c>
    </row>
    <row r="521" spans="22:25" x14ac:dyDescent="0.2">
      <c r="V521" s="18">
        <v>0.51900000000000002</v>
      </c>
      <c r="W521" s="20">
        <f t="shared" si="38"/>
        <v>0.16239109188184148</v>
      </c>
      <c r="X521" s="20">
        <f t="shared" si="39"/>
        <v>4.1461119954943407E-3</v>
      </c>
      <c r="Y521" s="20">
        <f t="shared" si="40"/>
        <v>-5.0358023243967764E-2</v>
      </c>
    </row>
    <row r="522" spans="22:25" x14ac:dyDescent="0.2">
      <c r="V522" s="18">
        <v>0.52</v>
      </c>
      <c r="W522" s="20">
        <f t="shared" si="38"/>
        <v>0.16239521275859092</v>
      </c>
      <c r="X522" s="20">
        <f t="shared" si="39"/>
        <v>4.0955854223477042E-3</v>
      </c>
      <c r="Y522" s="20">
        <f t="shared" si="40"/>
        <v>-5.069450971202194E-2</v>
      </c>
    </row>
    <row r="523" spans="22:25" x14ac:dyDescent="0.2">
      <c r="V523" s="18">
        <v>0.52100000000000002</v>
      </c>
      <c r="W523" s="20">
        <f t="shared" si="38"/>
        <v>0.16239928294113862</v>
      </c>
      <c r="X523" s="20">
        <f t="shared" si="39"/>
        <v>4.0447242076844594E-3</v>
      </c>
      <c r="Y523" s="20">
        <f t="shared" si="40"/>
        <v>-5.1027301342954967E-2</v>
      </c>
    </row>
    <row r="524" spans="22:25" x14ac:dyDescent="0.2">
      <c r="V524" s="18">
        <v>0.52200000000000002</v>
      </c>
      <c r="W524" s="20">
        <f t="shared" si="38"/>
        <v>0.16240330209669537</v>
      </c>
      <c r="X524" s="20">
        <f t="shared" si="39"/>
        <v>3.9935320611169459E-3</v>
      </c>
      <c r="Y524" s="20">
        <f t="shared" si="40"/>
        <v>-5.1356368613375114E-2</v>
      </c>
    </row>
    <row r="525" spans="22:25" x14ac:dyDescent="0.2">
      <c r="V525" s="18">
        <v>0.52300000000000002</v>
      </c>
      <c r="W525" s="20">
        <f t="shared" si="38"/>
        <v>0.16240726989619628</v>
      </c>
      <c r="X525" s="20">
        <f t="shared" si="39"/>
        <v>3.9420127217003401E-3</v>
      </c>
      <c r="Y525" s="20">
        <f t="shared" si="40"/>
        <v>-5.168168216086455E-2</v>
      </c>
    </row>
    <row r="526" spans="22:25" x14ac:dyDescent="0.2">
      <c r="V526" s="18">
        <v>0.52400000000000002</v>
      </c>
      <c r="W526" s="20">
        <f t="shared" si="38"/>
        <v>0.16241118601433024</v>
      </c>
      <c r="X526" s="20">
        <f t="shared" si="39"/>
        <v>3.8901699577718954E-3</v>
      </c>
      <c r="Y526" s="20">
        <f t="shared" si="40"/>
        <v>-5.2003212783965136E-2</v>
      </c>
    </row>
    <row r="527" spans="22:25" x14ac:dyDescent="0.2">
      <c r="V527" s="18">
        <v>0.52500000000000002</v>
      </c>
      <c r="W527" s="20">
        <f t="shared" si="38"/>
        <v>0.16241505012956917</v>
      </c>
      <c r="X527" s="20">
        <f t="shared" si="39"/>
        <v>3.8380075667890715E-3</v>
      </c>
      <c r="Y527" s="20">
        <f t="shared" si="40"/>
        <v>-5.232093144219041E-2</v>
      </c>
    </row>
    <row r="528" spans="22:25" x14ac:dyDescent="0.2">
      <c r="V528" s="18">
        <v>0.52600000000000002</v>
      </c>
      <c r="W528" s="20">
        <f t="shared" si="38"/>
        <v>0.16241886192419663</v>
      </c>
      <c r="X528" s="20">
        <f t="shared" si="39"/>
        <v>3.7855293751708832E-3</v>
      </c>
      <c r="Y528" s="20">
        <f t="shared" si="40"/>
        <v>-5.2634809256026927E-2</v>
      </c>
    </row>
    <row r="529" spans="22:25" x14ac:dyDescent="0.2">
      <c r="V529" s="18">
        <v>0.52700000000000002</v>
      </c>
      <c r="W529" s="20">
        <f t="shared" si="38"/>
        <v>0.16242262108433736</v>
      </c>
      <c r="X529" s="20">
        <f t="shared" si="39"/>
        <v>3.7327392381331995E-3</v>
      </c>
      <c r="Y529" s="20">
        <f t="shared" si="40"/>
        <v>-5.2944817506922259E-2</v>
      </c>
    </row>
    <row r="530" spans="22:25" x14ac:dyDescent="0.2">
      <c r="V530" s="18">
        <v>0.52800000000000002</v>
      </c>
      <c r="W530" s="20">
        <f t="shared" si="38"/>
        <v>0.16242632729998541</v>
      </c>
      <c r="X530" s="20">
        <f t="shared" si="39"/>
        <v>3.6796410395322568E-3</v>
      </c>
      <c r="Y530" s="20">
        <f t="shared" si="40"/>
        <v>-5.325092763729744E-2</v>
      </c>
    </row>
    <row r="531" spans="22:25" x14ac:dyDescent="0.2">
      <c r="V531" s="18">
        <v>0.52900000000000003</v>
      </c>
      <c r="W531" s="20">
        <f t="shared" si="38"/>
        <v>0.16242998026503302</v>
      </c>
      <c r="X531" s="20">
        <f t="shared" si="39"/>
        <v>3.626238691699514E-3</v>
      </c>
      <c r="Y531" s="20">
        <f t="shared" si="40"/>
        <v>-5.3553111250537633E-2</v>
      </c>
    </row>
    <row r="532" spans="22:25" x14ac:dyDescent="0.2">
      <c r="V532" s="18">
        <v>0.53</v>
      </c>
      <c r="W532" s="20">
        <f t="shared" si="38"/>
        <v>0.16243357967729896</v>
      </c>
      <c r="X532" s="20">
        <f t="shared" si="39"/>
        <v>3.5725361352838339E-3</v>
      </c>
      <c r="Y532" s="20">
        <f t="shared" si="40"/>
        <v>-5.3851340111000567E-2</v>
      </c>
    </row>
    <row r="533" spans="22:25" x14ac:dyDescent="0.2">
      <c r="V533" s="18">
        <v>0.53100000000000003</v>
      </c>
      <c r="W533" s="20">
        <f t="shared" si="38"/>
        <v>0.16243712523855666</v>
      </c>
      <c r="X533" s="20">
        <f t="shared" si="39"/>
        <v>3.5185373390886135E-3</v>
      </c>
      <c r="Y533" s="20">
        <f t="shared" si="40"/>
        <v>-5.4145586144009883E-2</v>
      </c>
    </row>
    <row r="534" spans="22:25" x14ac:dyDescent="0.2">
      <c r="V534" s="18">
        <v>0.53200000000000003</v>
      </c>
      <c r="W534" s="20">
        <f t="shared" si="38"/>
        <v>0.1624406166545625</v>
      </c>
      <c r="X534" s="20">
        <f t="shared" si="39"/>
        <v>3.4642462999113569E-3</v>
      </c>
      <c r="Y534" s="20">
        <f t="shared" si="40"/>
        <v>-5.4435821435857346E-2</v>
      </c>
    </row>
    <row r="535" spans="22:25" x14ac:dyDescent="0.2">
      <c r="V535" s="18">
        <v>0.53300000000000003</v>
      </c>
      <c r="W535" s="20">
        <f t="shared" si="38"/>
        <v>0.16244405363508341</v>
      </c>
      <c r="X535" s="20">
        <f t="shared" si="39"/>
        <v>3.4096670423832479E-3</v>
      </c>
      <c r="Y535" s="20">
        <f t="shared" si="40"/>
        <v>-5.4722018233803738E-2</v>
      </c>
    </row>
    <row r="536" spans="22:25" x14ac:dyDescent="0.2">
      <c r="V536" s="18">
        <v>0.53400000000000003</v>
      </c>
      <c r="W536" s="20">
        <f t="shared" si="38"/>
        <v>0.16244743589392494</v>
      </c>
      <c r="X536" s="20">
        <f t="shared" si="39"/>
        <v>3.3548036188072797E-3</v>
      </c>
      <c r="Y536" s="20">
        <f t="shared" si="40"/>
        <v>-5.5004148946078413E-2</v>
      </c>
    </row>
    <row r="537" spans="22:25" x14ac:dyDescent="0.2">
      <c r="V537" s="18">
        <v>0.53500000000000003</v>
      </c>
      <c r="W537" s="20">
        <f t="shared" si="38"/>
        <v>0.16245076314895865</v>
      </c>
      <c r="X537" s="20">
        <f t="shared" si="39"/>
        <v>3.2996601089981606E-3</v>
      </c>
      <c r="Y537" s="20">
        <f t="shared" si="40"/>
        <v>-5.5282186141878853E-2</v>
      </c>
    </row>
    <row r="538" spans="22:25" x14ac:dyDescent="0.2">
      <c r="V538" s="18">
        <v>0.53600000000000003</v>
      </c>
      <c r="W538" s="20">
        <f t="shared" si="38"/>
        <v>0.16245403512214962</v>
      </c>
      <c r="X538" s="20">
        <f t="shared" si="39"/>
        <v>3.2442406201209986E-3</v>
      </c>
      <c r="Y538" s="20">
        <f t="shared" si="40"/>
        <v>-5.5556102551370667E-2</v>
      </c>
    </row>
    <row r="539" spans="22:25" x14ac:dyDescent="0.2">
      <c r="V539" s="18">
        <v>0.53700000000000003</v>
      </c>
      <c r="W539" s="20">
        <f t="shared" si="38"/>
        <v>0.16245725153958368</v>
      </c>
      <c r="X539" s="20">
        <f t="shared" si="39"/>
        <v>3.1885492865292089E-3</v>
      </c>
      <c r="Y539" s="20">
        <f t="shared" si="40"/>
        <v>-5.5825871065686705E-2</v>
      </c>
    </row>
    <row r="540" spans="22:25" x14ac:dyDescent="0.2">
      <c r="V540" s="18">
        <v>0.53800000000000003</v>
      </c>
      <c r="W540" s="20">
        <f t="shared" si="38"/>
        <v>0.16246041213149462</v>
      </c>
      <c r="X540" s="20">
        <f t="shared" si="39"/>
        <v>3.1325902696055855E-3</v>
      </c>
      <c r="Y540" s="20">
        <f t="shared" si="40"/>
        <v>-5.6091464736928831E-2</v>
      </c>
    </row>
    <row r="541" spans="22:25" x14ac:dyDescent="0.2">
      <c r="V541" s="18">
        <v>0.53900000000000003</v>
      </c>
      <c r="W541" s="20">
        <f t="shared" si="38"/>
        <v>0.16246351663229092</v>
      </c>
      <c r="X541" s="20">
        <f t="shared" si="39"/>
        <v>3.0763677576003748E-3</v>
      </c>
      <c r="Y541" s="20">
        <f t="shared" si="40"/>
        <v>-5.6352856778170146E-2</v>
      </c>
    </row>
    <row r="542" spans="22:25" x14ac:dyDescent="0.2">
      <c r="V542" s="18">
        <v>0.54</v>
      </c>
      <c r="W542" s="20">
        <f t="shared" si="38"/>
        <v>0.1624665647805828</v>
      </c>
      <c r="X542" s="20">
        <f t="shared" si="39"/>
        <v>3.0198859654697388E-3</v>
      </c>
      <c r="Y542" s="20">
        <f t="shared" si="40"/>
        <v>-5.661002056344655E-2</v>
      </c>
    </row>
    <row r="543" spans="22:25" x14ac:dyDescent="0.2">
      <c r="V543" s="18">
        <v>0.54100000000000004</v>
      </c>
      <c r="W543" s="20">
        <f t="shared" si="38"/>
        <v>0.1624695563192087</v>
      </c>
      <c r="X543" s="20">
        <f t="shared" si="39"/>
        <v>2.9631491347155495E-3</v>
      </c>
      <c r="Y543" s="20">
        <f t="shared" si="40"/>
        <v>-5.6862929627766956E-2</v>
      </c>
    </row>
    <row r="544" spans="22:25" x14ac:dyDescent="0.2">
      <c r="V544" s="18">
        <v>0.54200000000000004</v>
      </c>
      <c r="W544" s="20">
        <f t="shared" si="38"/>
        <v>0.1624724909952617</v>
      </c>
      <c r="X544" s="20">
        <f t="shared" si="39"/>
        <v>2.9061615332241844E-3</v>
      </c>
      <c r="Y544" s="20">
        <f t="shared" si="40"/>
        <v>-5.7111557667106627E-2</v>
      </c>
    </row>
    <row r="545" spans="22:25" x14ac:dyDescent="0.2">
      <c r="V545" s="18">
        <v>0.54300000000000004</v>
      </c>
      <c r="W545" s="20">
        <f t="shared" si="38"/>
        <v>0.16247536856011596</v>
      </c>
      <c r="X545" s="20">
        <f t="shared" si="39"/>
        <v>2.8489274551057667E-3</v>
      </c>
      <c r="Y545" s="20">
        <f t="shared" si="40"/>
        <v>-5.7355878538409399E-2</v>
      </c>
    </row>
    <row r="546" spans="22:25" x14ac:dyDescent="0.2">
      <c r="V546" s="18">
        <v>0.54400000000000004</v>
      </c>
      <c r="W546" s="20">
        <f t="shared" si="38"/>
        <v>0.1624781887694528</v>
      </c>
      <c r="X546" s="20">
        <f t="shared" si="39"/>
        <v>2.7914512205327383E-3</v>
      </c>
      <c r="Y546" s="20">
        <f t="shared" si="40"/>
        <v>-5.7595866259585904E-2</v>
      </c>
    </row>
    <row r="547" spans="22:25" x14ac:dyDescent="0.2">
      <c r="V547" s="18">
        <v>0.54500000000000004</v>
      </c>
      <c r="W547" s="20">
        <f t="shared" si="38"/>
        <v>0.16248095138328664</v>
      </c>
      <c r="X547" s="20">
        <f t="shared" si="39"/>
        <v>2.7337371755788778E-3</v>
      </c>
      <c r="Y547" s="20">
        <f t="shared" si="40"/>
        <v>-5.7831495009518008E-2</v>
      </c>
    </row>
    <row r="548" spans="22:25" x14ac:dyDescent="0.2">
      <c r="V548" s="18">
        <v>0.54600000000000004</v>
      </c>
      <c r="W548" s="20">
        <f t="shared" si="38"/>
        <v>0.16248365616599081</v>
      </c>
      <c r="X548" s="20">
        <f t="shared" si="39"/>
        <v>2.6757896920592064E-3</v>
      </c>
      <c r="Y548" s="20">
        <f t="shared" si="40"/>
        <v>-5.8062739128053042E-2</v>
      </c>
    </row>
    <row r="549" spans="22:25" x14ac:dyDescent="0.2">
      <c r="V549" s="18">
        <v>0.54700000000000004</v>
      </c>
      <c r="W549" s="20">
        <f t="shared" si="38"/>
        <v>0.1624863028863234</v>
      </c>
      <c r="X549" s="20">
        <f t="shared" si="39"/>
        <v>2.6176131673680617E-3</v>
      </c>
      <c r="Y549" s="20">
        <f t="shared" si="40"/>
        <v>-5.8289573116010018E-2</v>
      </c>
    </row>
    <row r="550" spans="22:25" x14ac:dyDescent="0.2">
      <c r="V550" s="18">
        <v>0.54800000000000004</v>
      </c>
      <c r="W550" s="20">
        <f t="shared" si="38"/>
        <v>0.16248889131745248</v>
      </c>
      <c r="X550" s="20">
        <f t="shared" si="39"/>
        <v>2.5592120243187258E-3</v>
      </c>
      <c r="Y550" s="20">
        <f t="shared" si="40"/>
        <v>-5.8511971635172078E-2</v>
      </c>
    </row>
    <row r="551" spans="22:25" x14ac:dyDescent="0.2">
      <c r="V551" s="18">
        <v>0.54900000000000004</v>
      </c>
      <c r="W551" s="20">
        <f t="shared" si="38"/>
        <v>0.16249142123698165</v>
      </c>
      <c r="X551" s="20">
        <f t="shared" si="39"/>
        <v>2.5005907109815553E-3</v>
      </c>
      <c r="Y551" s="20">
        <f t="shared" si="40"/>
        <v>-5.872990950829271E-2</v>
      </c>
    </row>
    <row r="552" spans="22:25" x14ac:dyDescent="0.2">
      <c r="V552" s="18">
        <v>0.55000000000000004</v>
      </c>
      <c r="W552" s="20">
        <f t="shared" si="38"/>
        <v>0.16249389242697515</v>
      </c>
      <c r="X552" s="20">
        <f t="shared" si="39"/>
        <v>2.4417537005244419E-3</v>
      </c>
      <c r="Y552" s="20">
        <f t="shared" si="40"/>
        <v>-5.8943361719095311E-2</v>
      </c>
    </row>
    <row r="553" spans="22:25" x14ac:dyDescent="0.2">
      <c r="V553" s="18">
        <v>0.55100000000000005</v>
      </c>
      <c r="W553" s="20">
        <f t="shared" si="38"/>
        <v>0.16249630467398277</v>
      </c>
      <c r="X553" s="20">
        <f t="shared" si="39"/>
        <v>2.3827054910509418E-3</v>
      </c>
      <c r="Y553" s="20">
        <f t="shared" si="40"/>
        <v>-5.9152303412270957E-2</v>
      </c>
    </row>
    <row r="554" spans="22:25" x14ac:dyDescent="0.2">
      <c r="V554" s="18">
        <v>0.55200000000000005</v>
      </c>
      <c r="W554" s="20">
        <f t="shared" si="38"/>
        <v>0.16249865776906491</v>
      </c>
      <c r="X554" s="20">
        <f t="shared" si="39"/>
        <v>2.3234506054391826E-3</v>
      </c>
      <c r="Y554" s="20">
        <f t="shared" si="40"/>
        <v>-5.9356709893475745E-2</v>
      </c>
    </row>
    <row r="555" spans="22:25" x14ac:dyDescent="0.2">
      <c r="V555" s="18">
        <v>0.55300000000000005</v>
      </c>
      <c r="W555" s="20">
        <f t="shared" si="38"/>
        <v>0.16250095150781715</v>
      </c>
      <c r="X555" s="20">
        <f t="shared" si="39"/>
        <v>2.2639935911809919E-3</v>
      </c>
      <c r="Y555" s="20">
        <f t="shared" si="40"/>
        <v>-5.9556556629337454E-2</v>
      </c>
    </row>
    <row r="556" spans="22:25" x14ac:dyDescent="0.2">
      <c r="V556" s="18">
        <v>0.55400000000000005</v>
      </c>
      <c r="W556" s="20">
        <f t="shared" si="38"/>
        <v>0.16250318569039474</v>
      </c>
      <c r="X556" s="20">
        <f t="shared" si="39"/>
        <v>2.204339020221581E-3</v>
      </c>
      <c r="Y556" s="20">
        <f t="shared" si="40"/>
        <v>-5.9751819247451099E-2</v>
      </c>
    </row>
    <row r="557" spans="22:25" x14ac:dyDescent="0.2">
      <c r="V557" s="18">
        <v>0.55500000000000005</v>
      </c>
      <c r="W557" s="20">
        <f t="shared" si="38"/>
        <v>0.16250536012153716</v>
      </c>
      <c r="X557" s="20">
        <f t="shared" si="39"/>
        <v>2.1444914887974523E-3</v>
      </c>
      <c r="Y557" s="20">
        <f t="shared" si="40"/>
        <v>-5.9942473536379381E-2</v>
      </c>
    </row>
    <row r="558" spans="22:25" x14ac:dyDescent="0.2">
      <c r="V558" s="18">
        <v>0.55600000000000005</v>
      </c>
      <c r="W558" s="20">
        <f t="shared" si="38"/>
        <v>0.16250747461059206</v>
      </c>
      <c r="X558" s="20">
        <f t="shared" si="39"/>
        <v>2.0844556172770271E-3</v>
      </c>
      <c r="Y558" s="20">
        <f t="shared" si="40"/>
        <v>-6.012849544565535E-2</v>
      </c>
    </row>
    <row r="559" spans="22:25" x14ac:dyDescent="0.2">
      <c r="V559" s="18">
        <v>0.55700000000000005</v>
      </c>
      <c r="W559" s="20">
        <f t="shared" si="38"/>
        <v>0.16250952897153956</v>
      </c>
      <c r="X559" s="20">
        <f t="shared" si="39"/>
        <v>2.0242360499977199E-3</v>
      </c>
      <c r="Y559" s="20">
        <f t="shared" si="40"/>
        <v>-6.0309861085778849E-2</v>
      </c>
    </row>
    <row r="560" spans="22:25" x14ac:dyDescent="0.2">
      <c r="V560" s="18">
        <v>0.55800000000000005</v>
      </c>
      <c r="W560" s="20">
        <f t="shared" si="38"/>
        <v>0.16251152302301591</v>
      </c>
      <c r="X560" s="20">
        <f t="shared" si="39"/>
        <v>1.9638374551066221E-3</v>
      </c>
      <c r="Y560" s="20">
        <f t="shared" si="40"/>
        <v>-6.0486546728218293E-2</v>
      </c>
    </row>
    <row r="561" spans="22:25" x14ac:dyDescent="0.2">
      <c r="V561" s="18">
        <v>0.55900000000000005</v>
      </c>
      <c r="W561" s="20">
        <f t="shared" si="38"/>
        <v>0.16251345658833757</v>
      </c>
      <c r="X561" s="20">
        <f t="shared" si="39"/>
        <v>1.9032645243981863E-3</v>
      </c>
      <c r="Y561" s="20">
        <f t="shared" si="40"/>
        <v>-6.065852880540934E-2</v>
      </c>
    </row>
    <row r="562" spans="22:25" x14ac:dyDescent="0.2">
      <c r="V562" s="18">
        <v>0.56000000000000005</v>
      </c>
      <c r="W562" s="20">
        <f t="shared" si="38"/>
        <v>0.16251532949552433</v>
      </c>
      <c r="X562" s="20">
        <f t="shared" si="39"/>
        <v>1.8425219731546885E-3</v>
      </c>
      <c r="Y562" s="20">
        <f t="shared" si="40"/>
        <v>-6.0825783910757103E-2</v>
      </c>
    </row>
    <row r="563" spans="22:25" x14ac:dyDescent="0.2">
      <c r="V563" s="18">
        <v>0.56100000000000005</v>
      </c>
      <c r="W563" s="20">
        <f t="shared" si="38"/>
        <v>0.16251714157732297</v>
      </c>
      <c r="X563" s="20">
        <f t="shared" si="39"/>
        <v>1.7816145399842456E-3</v>
      </c>
      <c r="Y563" s="20">
        <f t="shared" si="40"/>
        <v>-6.0988288798635715E-2</v>
      </c>
    </row>
    <row r="564" spans="22:25" x14ac:dyDescent="0.2">
      <c r="V564" s="18">
        <v>0.56200000000000006</v>
      </c>
      <c r="W564" s="20">
        <f t="shared" si="38"/>
        <v>0.1625188926712306</v>
      </c>
      <c r="X564" s="20">
        <f t="shared" si="39"/>
        <v>1.7205469866601666E-3</v>
      </c>
      <c r="Y564" s="20">
        <f t="shared" si="40"/>
        <v>-6.1146020384387434E-2</v>
      </c>
    </row>
    <row r="565" spans="22:25" x14ac:dyDescent="0.2">
      <c r="V565" s="18">
        <v>0.56299999999999994</v>
      </c>
      <c r="W565" s="20">
        <f t="shared" si="38"/>
        <v>0.1625205826195176</v>
      </c>
      <c r="X565" s="20">
        <f t="shared" si="39"/>
        <v>1.6593240979591375E-3</v>
      </c>
      <c r="Y565" s="20">
        <f t="shared" si="40"/>
        <v>-6.1298955744319095E-2</v>
      </c>
    </row>
    <row r="566" spans="22:25" x14ac:dyDescent="0.2">
      <c r="V566" s="18">
        <v>0.56399999999999995</v>
      </c>
      <c r="W566" s="20">
        <f t="shared" si="38"/>
        <v>0.16252221126925034</v>
      </c>
      <c r="X566" s="20">
        <f t="shared" si="39"/>
        <v>1.5979506815029035E-3</v>
      </c>
      <c r="Y566" s="20">
        <f t="shared" si="40"/>
        <v>-6.1447072115711876E-2</v>
      </c>
    </row>
    <row r="567" spans="22:25" x14ac:dyDescent="0.2">
      <c r="V567" s="18">
        <v>0.56499999999999995</v>
      </c>
      <c r="W567" s="20">
        <f t="shared" si="38"/>
        <v>0.16252377847231453</v>
      </c>
      <c r="X567" s="20">
        <f t="shared" si="39"/>
        <v>1.5364315675930676E-3</v>
      </c>
      <c r="Y567" s="20">
        <f t="shared" si="40"/>
        <v>-6.1590346896810644E-2</v>
      </c>
    </row>
    <row r="568" spans="22:25" x14ac:dyDescent="0.2">
      <c r="V568" s="18">
        <v>0.56599999999999995</v>
      </c>
      <c r="W568" s="20">
        <f t="shared" si="38"/>
        <v>0.16252528408543709</v>
      </c>
      <c r="X568" s="20">
        <f t="shared" si="39"/>
        <v>1.4747716090544385E-3</v>
      </c>
      <c r="Y568" s="20">
        <f t="shared" si="40"/>
        <v>-6.1728757646830612E-2</v>
      </c>
    </row>
    <row r="569" spans="22:25" x14ac:dyDescent="0.2">
      <c r="V569" s="18">
        <v>0.56699999999999995</v>
      </c>
      <c r="W569" s="20">
        <f t="shared" si="38"/>
        <v>0.16252672797020923</v>
      </c>
      <c r="X569" s="20">
        <f t="shared" si="39"/>
        <v>1.4129756810715502E-3</v>
      </c>
      <c r="Y569" s="20">
        <f t="shared" si="40"/>
        <v>-6.1862282085956455E-2</v>
      </c>
    </row>
    <row r="570" spans="22:25" x14ac:dyDescent="0.2">
      <c r="V570" s="18">
        <v>0.56799999999999995</v>
      </c>
      <c r="W570" s="20">
        <f t="shared" si="38"/>
        <v>0.16252810999310829</v>
      </c>
      <c r="X570" s="20">
        <f t="shared" si="39"/>
        <v>1.3510486810275682E-3</v>
      </c>
      <c r="Y570" s="20">
        <f t="shared" si="40"/>
        <v>-6.1990898095336977E-2</v>
      </c>
    </row>
    <row r="571" spans="22:25" x14ac:dyDescent="0.2">
      <c r="V571" s="18">
        <v>0.56899999999999995</v>
      </c>
      <c r="W571" s="20">
        <f t="shared" si="38"/>
        <v>0.16252943002552014</v>
      </c>
      <c r="X571" s="20">
        <f t="shared" si="39"/>
        <v>1.2889955283451951E-3</v>
      </c>
      <c r="Y571" s="20">
        <f t="shared" si="40"/>
        <v>-6.2114583717093552E-2</v>
      </c>
    </row>
    <row r="572" spans="22:25" x14ac:dyDescent="0.2">
      <c r="V572" s="18">
        <v>0.56999999999999995</v>
      </c>
      <c r="W572" s="20">
        <f t="shared" si="38"/>
        <v>0.16253068794376097</v>
      </c>
      <c r="X572" s="20">
        <f t="shared" si="39"/>
        <v>1.2268211643234675E-3</v>
      </c>
      <c r="Y572" s="20">
        <f t="shared" si="40"/>
        <v>-6.2233317154313461E-2</v>
      </c>
    </row>
    <row r="573" spans="22:25" x14ac:dyDescent="0.2">
      <c r="V573" s="18">
        <v>0.57099999999999995</v>
      </c>
      <c r="W573" s="20">
        <f t="shared" si="38"/>
        <v>0.16253188362909912</v>
      </c>
      <c r="X573" s="20">
        <f t="shared" si="39"/>
        <v>1.1645305519784391E-3</v>
      </c>
      <c r="Y573" s="20">
        <f t="shared" si="40"/>
        <v>-6.2347076771053E-2</v>
      </c>
    </row>
    <row r="574" spans="22:25" x14ac:dyDescent="0.2">
      <c r="V574" s="18">
        <v>0.57199999999999995</v>
      </c>
      <c r="W574" s="20">
        <f t="shared" si="38"/>
        <v>0.16253301696777681</v>
      </c>
      <c r="X574" s="20">
        <f t="shared" si="39"/>
        <v>1.1021286758815321E-3</v>
      </c>
      <c r="Y574" s="20">
        <f t="shared" si="40"/>
        <v>-6.2455841092337039E-2</v>
      </c>
    </row>
    <row r="575" spans="22:25" x14ac:dyDescent="0.2">
      <c r="V575" s="18">
        <v>0.57299999999999995</v>
      </c>
      <c r="W575" s="20">
        <f t="shared" si="38"/>
        <v>0.16253408785103138</v>
      </c>
      <c r="X575" s="20">
        <f t="shared" si="39"/>
        <v>1.0396205419987217E-3</v>
      </c>
      <c r="Y575" s="20">
        <f t="shared" si="40"/>
        <v>-6.2559588804159016E-2</v>
      </c>
    </row>
    <row r="576" spans="22:25" x14ac:dyDescent="0.2">
      <c r="V576" s="18">
        <v>0.57399999999999995</v>
      </c>
      <c r="W576" s="20">
        <f t="shared" si="38"/>
        <v>0.16253509617511702</v>
      </c>
      <c r="X576" s="20">
        <f t="shared" si="39"/>
        <v>9.7701117752905381E-4</v>
      </c>
      <c r="Y576" s="20">
        <f t="shared" si="40"/>
        <v>-6.2658298753480057E-2</v>
      </c>
    </row>
    <row r="577" spans="22:25" x14ac:dyDescent="0.2">
      <c r="V577" s="18">
        <v>0.57499999999999996</v>
      </c>
      <c r="W577" s="20">
        <f t="shared" si="38"/>
        <v>0.16253604184132545</v>
      </c>
      <c r="X577" s="20">
        <f t="shared" si="39"/>
        <v>9.1430563074510612E-4</v>
      </c>
      <c r="Y577" s="20">
        <f t="shared" si="40"/>
        <v>-6.2751949948229857E-2</v>
      </c>
    </row>
    <row r="578" spans="22:25" x14ac:dyDescent="0.2">
      <c r="V578" s="18">
        <v>0.57599999999999996</v>
      </c>
      <c r="W578" s="20">
        <f t="shared" si="38"/>
        <v>0.16253692475600723</v>
      </c>
      <c r="X578" s="20">
        <f t="shared" si="39"/>
        <v>8.5150897082989646E-4</v>
      </c>
      <c r="Y578" s="20">
        <f t="shared" si="40"/>
        <v>-6.2840521557306239E-2</v>
      </c>
    </row>
    <row r="579" spans="22:25" x14ac:dyDescent="0.2">
      <c r="V579" s="18">
        <v>0.57699999999999996</v>
      </c>
      <c r="W579" s="20">
        <f t="shared" ref="W579:W642" si="41" xml:space="preserve"> -0.223567093536985*V579^6 + 0.944228289125022*V579^5 - 1.39425331473467*V579^4 + 0.919786041369661*V579^3 - 0.280641903613287*V579^2 + 0.0398143416441599*V579 + 0.158710616051081</f>
        <v>0.16253774483059247</v>
      </c>
      <c r="X579" s="20">
        <f t="shared" ref="X579:X642" si="42" xml:space="preserve"> 6*-0.223567093536985*V579^5 + 5*0.944228289125022*V579^4 - 4*1.39425331473467*V579^3 + 3*0.919786041369661*V579^2 - 2*0.280641903613287*V579^1 + 0.0398143416441599</f>
        <v>7.8862628771767668E-4</v>
      </c>
      <c r="Y579" s="20">
        <f t="shared" ref="Y579:Y642" si="43" xml:space="preserve"> 5*6*-0.223567093536985*V579^4 + 4*5*0.944228289125022*V579^3 - 3*4*1.39425331473467*V579^2 + 2*3*0.919786041369661*V579^1 - 2*0.280641903613287</f>
        <v>-6.2923992910573823E-2</v>
      </c>
    </row>
    <row r="580" spans="22:25" x14ac:dyDescent="0.2">
      <c r="V580" s="18">
        <v>0.57799999999999996</v>
      </c>
      <c r="W580" s="20">
        <f t="shared" si="41"/>
        <v>0.16253850198161154</v>
      </c>
      <c r="X580" s="20">
        <f t="shared" si="42"/>
        <v>7.2566269193195115E-4</v>
      </c>
      <c r="Y580" s="20">
        <f t="shared" si="43"/>
        <v>-6.3002343498868463E-2</v>
      </c>
    </row>
    <row r="581" spans="22:25" x14ac:dyDescent="0.2">
      <c r="V581" s="18">
        <v>0.57899999999999996</v>
      </c>
      <c r="W581" s="20">
        <f t="shared" si="41"/>
        <v>0.16253919613071555</v>
      </c>
      <c r="X581" s="20">
        <f t="shared" si="42"/>
        <v>6.6262331442593775E-4</v>
      </c>
      <c r="Y581" s="20">
        <f t="shared" si="43"/>
        <v>-6.3075552973993254E-2</v>
      </c>
    </row>
    <row r="582" spans="22:25" x14ac:dyDescent="0.2">
      <c r="V582" s="18">
        <v>0.57999999999999996</v>
      </c>
      <c r="W582" s="20">
        <f t="shared" si="41"/>
        <v>0.16253982720469665</v>
      </c>
      <c r="X582" s="20">
        <f t="shared" si="42"/>
        <v>5.9951330641947603E-4</v>
      </c>
      <c r="Y582" s="20">
        <f t="shared" si="43"/>
        <v>-6.3143601148718531E-2</v>
      </c>
    </row>
    <row r="583" spans="22:25" x14ac:dyDescent="0.2">
      <c r="V583" s="18">
        <v>0.58099999999999996</v>
      </c>
      <c r="W583" s="20">
        <f t="shared" si="41"/>
        <v>0.16254039513550844</v>
      </c>
      <c r="X583" s="20">
        <f t="shared" si="42"/>
        <v>5.3633783923904416E-4</v>
      </c>
      <c r="Y583" s="20">
        <f t="shared" si="43"/>
        <v>-6.3206467996784532E-2</v>
      </c>
    </row>
    <row r="584" spans="22:25" x14ac:dyDescent="0.2">
      <c r="V584" s="18">
        <v>0.58199999999999996</v>
      </c>
      <c r="W584" s="20">
        <f t="shared" si="41"/>
        <v>0.16254089986028564</v>
      </c>
      <c r="X584" s="20">
        <f t="shared" si="42"/>
        <v>4.7310210415827531E-4</v>
      </c>
      <c r="Y584" s="20">
        <f t="shared" si="43"/>
        <v>-6.3264133652898735E-2</v>
      </c>
    </row>
    <row r="585" spans="22:25" x14ac:dyDescent="0.2">
      <c r="V585" s="18">
        <v>0.58299999999999996</v>
      </c>
      <c r="W585" s="20">
        <f t="shared" si="41"/>
        <v>0.16254134132136425</v>
      </c>
      <c r="X585" s="20">
        <f t="shared" si="42"/>
        <v>4.0981131223403328E-4</v>
      </c>
      <c r="Y585" s="20">
        <f t="shared" si="43"/>
        <v>-6.3316578412736302E-2</v>
      </c>
    </row>
    <row r="586" spans="22:25" x14ac:dyDescent="0.2">
      <c r="V586" s="18">
        <v>0.58399999999999996</v>
      </c>
      <c r="W586" s="20">
        <f t="shared" si="41"/>
        <v>0.16254171946630117</v>
      </c>
      <c r="X586" s="20">
        <f t="shared" si="42"/>
        <v>3.464706941477616E-4</v>
      </c>
      <c r="Y586" s="20">
        <f t="shared" si="43"/>
        <v>-6.3363782732942742E-2</v>
      </c>
    </row>
    <row r="587" spans="22:25" x14ac:dyDescent="0.2">
      <c r="V587" s="18">
        <v>0.58499999999999996</v>
      </c>
      <c r="W587" s="20">
        <f t="shared" si="41"/>
        <v>0.16254203424789365</v>
      </c>
      <c r="X587" s="20">
        <f t="shared" si="42"/>
        <v>2.8308550004383509E-4</v>
      </c>
      <c r="Y587" s="20">
        <f t="shared" si="43"/>
        <v>-6.3405727231129028E-2</v>
      </c>
    </row>
    <row r="588" spans="22:25" x14ac:dyDescent="0.2">
      <c r="V588" s="18">
        <v>0.58599999999999997</v>
      </c>
      <c r="W588" s="20">
        <f t="shared" si="41"/>
        <v>0.16254228562419881</v>
      </c>
      <c r="X588" s="20">
        <f t="shared" si="42"/>
        <v>2.1966099936857747E-4</v>
      </c>
      <c r="Y588" s="20">
        <f t="shared" si="43"/>
        <v>-6.3442392685879145E-2</v>
      </c>
    </row>
    <row r="589" spans="22:25" x14ac:dyDescent="0.2">
      <c r="V589" s="18">
        <v>0.58699999999999997</v>
      </c>
      <c r="W589" s="20">
        <f t="shared" si="41"/>
        <v>0.16254247355855289</v>
      </c>
      <c r="X589" s="20">
        <f t="shared" si="42"/>
        <v>1.562024807085019E-4</v>
      </c>
      <c r="Y589" s="20">
        <f t="shared" si="43"/>
        <v>-6.3473760036738547E-2</v>
      </c>
    </row>
    <row r="590" spans="22:25" x14ac:dyDescent="0.2">
      <c r="V590" s="18">
        <v>0.58799999999999997</v>
      </c>
      <c r="W590" s="20">
        <f t="shared" si="41"/>
        <v>0.16254259801958992</v>
      </c>
      <c r="X590" s="20">
        <f t="shared" si="42"/>
        <v>9.2715251631327045E-5</v>
      </c>
      <c r="Y590" s="20">
        <f t="shared" si="43"/>
        <v>-6.3499810384227917E-2</v>
      </c>
    </row>
    <row r="591" spans="22:25" x14ac:dyDescent="0.2">
      <c r="V591" s="18">
        <v>0.58899999999999997</v>
      </c>
      <c r="W591" s="20">
        <f t="shared" si="41"/>
        <v>0.16254265898126122</v>
      </c>
      <c r="X591" s="20">
        <f t="shared" si="42"/>
        <v>2.9204638522552229E-5</v>
      </c>
      <c r="Y591" s="20">
        <f t="shared" si="43"/>
        <v>-6.3520524989831628E-2</v>
      </c>
    </row>
    <row r="592" spans="22:25" x14ac:dyDescent="0.2">
      <c r="V592" s="18">
        <v>0.59</v>
      </c>
      <c r="W592" s="20">
        <f t="shared" si="41"/>
        <v>0.16254265642285376</v>
      </c>
      <c r="X592" s="20">
        <f t="shared" si="42"/>
        <v>-3.4324013573526491E-5</v>
      </c>
      <c r="Y592" s="20">
        <f t="shared" si="43"/>
        <v>-6.3535885276003956E-2</v>
      </c>
    </row>
    <row r="593" spans="22:25" x14ac:dyDescent="0.2">
      <c r="V593" s="18">
        <v>0.59099999999999997</v>
      </c>
      <c r="W593" s="20">
        <f t="shared" si="41"/>
        <v>0.16254259032900872</v>
      </c>
      <c r="X593" s="20">
        <f t="shared" si="42"/>
        <v>-9.7865341115631332E-5</v>
      </c>
      <c r="Y593" s="20">
        <f t="shared" si="43"/>
        <v>-6.3545872826168193E-2</v>
      </c>
    </row>
    <row r="594" spans="22:25" x14ac:dyDescent="0.2">
      <c r="V594" s="18">
        <v>0.59199999999999997</v>
      </c>
      <c r="W594" s="20">
        <f t="shared" si="41"/>
        <v>0.16254246068974015</v>
      </c>
      <c r="X594" s="20">
        <f t="shared" si="42"/>
        <v>-1.6141396222698473E-4</v>
      </c>
      <c r="Y594" s="20">
        <f t="shared" si="43"/>
        <v>-6.3550469384713093E-2</v>
      </c>
    </row>
    <row r="595" spans="22:25" x14ac:dyDescent="0.2">
      <c r="V595" s="18">
        <v>0.59299999999999997</v>
      </c>
      <c r="W595" s="20">
        <f t="shared" si="41"/>
        <v>0.16254226750045289</v>
      </c>
      <c r="X595" s="20">
        <f t="shared" si="42"/>
        <v>-2.2496447685451532E-4</v>
      </c>
      <c r="Y595" s="20">
        <f t="shared" si="43"/>
        <v>-6.3549656857000425E-2</v>
      </c>
    </row>
    <row r="596" spans="22:25" x14ac:dyDescent="0.2">
      <c r="V596" s="18">
        <v>0.59399999999999997</v>
      </c>
      <c r="W596" s="20">
        <f t="shared" si="41"/>
        <v>0.16254201076196106</v>
      </c>
      <c r="X596" s="20">
        <f t="shared" si="42"/>
        <v>-2.8851146693250479E-4</v>
      </c>
      <c r="Y596" s="20">
        <f t="shared" si="43"/>
        <v>-6.3543417309356531E-2</v>
      </c>
    </row>
    <row r="597" spans="22:25" x14ac:dyDescent="0.2">
      <c r="V597" s="18">
        <v>0.59499999999999997</v>
      </c>
      <c r="W597" s="20">
        <f t="shared" si="41"/>
        <v>0.16254169048050568</v>
      </c>
      <c r="X597" s="20">
        <f t="shared" si="42"/>
        <v>-3.520494965407947E-4</v>
      </c>
      <c r="Y597" s="20">
        <f t="shared" si="43"/>
        <v>-6.3531732969075438E-2</v>
      </c>
    </row>
    <row r="598" spans="22:25" x14ac:dyDescent="0.2">
      <c r="V598" s="18">
        <v>0.59599999999999997</v>
      </c>
      <c r="W598" s="20">
        <f t="shared" si="41"/>
        <v>0.16254130666777247</v>
      </c>
      <c r="X598" s="20">
        <f t="shared" si="42"/>
        <v>-4.1557311206732311E-4</v>
      </c>
      <c r="Y598" s="20">
        <f t="shared" si="43"/>
        <v>-6.3514586224423741E-2</v>
      </c>
    </row>
    <row r="599" spans="22:25" x14ac:dyDescent="0.2">
      <c r="V599" s="18">
        <v>0.59699999999999998</v>
      </c>
      <c r="W599" s="20">
        <f t="shared" si="41"/>
        <v>0.16254085934090975</v>
      </c>
      <c r="X599" s="20">
        <f t="shared" si="42"/>
        <v>-4.7907684236932896E-4</v>
      </c>
      <c r="Y599" s="20">
        <f t="shared" si="43"/>
        <v>-6.3491959624632166E-2</v>
      </c>
    </row>
    <row r="600" spans="22:25" x14ac:dyDescent="0.2">
      <c r="V600" s="18">
        <v>0.59799999999999998</v>
      </c>
      <c r="W600" s="20">
        <f t="shared" si="41"/>
        <v>0.16254034852254548</v>
      </c>
      <c r="X600" s="20">
        <f t="shared" si="42"/>
        <v>-5.4255519893311316E-4</v>
      </c>
      <c r="Y600" s="20">
        <f t="shared" si="43"/>
        <v>-6.3463835879902675E-2</v>
      </c>
    </row>
    <row r="601" spans="22:25" x14ac:dyDescent="0.2">
      <c r="V601" s="18">
        <v>0.59899999999999998</v>
      </c>
      <c r="W601" s="20">
        <f t="shared" si="41"/>
        <v>0.16253977424080482</v>
      </c>
      <c r="X601" s="20">
        <f t="shared" si="42"/>
        <v>-6.0600267603602015E-4</v>
      </c>
      <c r="Y601" s="20">
        <f t="shared" si="43"/>
        <v>-6.3430197861404025E-2</v>
      </c>
    </row>
    <row r="602" spans="22:25" x14ac:dyDescent="0.2">
      <c r="V602" s="18">
        <v>0.6</v>
      </c>
      <c r="W602" s="20">
        <f t="shared" si="41"/>
        <v>0.1625391365293273</v>
      </c>
      <c r="X602" s="20">
        <f t="shared" si="42"/>
        <v>-6.6941375090692062E-4</v>
      </c>
      <c r="Y602" s="20">
        <f t="shared" si="43"/>
        <v>-6.3391028601271326E-2</v>
      </c>
    </row>
    <row r="603" spans="22:25" x14ac:dyDescent="0.2">
      <c r="V603" s="18">
        <v>0.60099999999999998</v>
      </c>
      <c r="W603" s="20">
        <f t="shared" si="41"/>
        <v>0.16253843542728347</v>
      </c>
      <c r="X603" s="20">
        <f t="shared" si="42"/>
        <v>-7.3278288388747143E-4</v>
      </c>
      <c r="Y603" s="20">
        <f t="shared" si="43"/>
        <v>-6.3346311292613144E-2</v>
      </c>
    </row>
    <row r="604" spans="22:25" x14ac:dyDescent="0.2">
      <c r="V604" s="18">
        <v>0.60199999999999998</v>
      </c>
      <c r="W604" s="20">
        <f t="shared" si="41"/>
        <v>0.16253767097939209</v>
      </c>
      <c r="X604" s="20">
        <f t="shared" si="42"/>
        <v>-7.9610451859243175E-4</v>
      </c>
      <c r="Y604" s="20">
        <f t="shared" si="43"/>
        <v>-6.32960292895004E-2</v>
      </c>
    </row>
    <row r="605" spans="22:25" x14ac:dyDescent="0.2">
      <c r="V605" s="18">
        <v>0.60299999999999998</v>
      </c>
      <c r="W605" s="20">
        <f t="shared" si="41"/>
        <v>0.16253684323593651</v>
      </c>
      <c r="X605" s="20">
        <f t="shared" si="42"/>
        <v>-8.5937308207131163E-4</v>
      </c>
      <c r="Y605" s="20">
        <f t="shared" si="43"/>
        <v>-6.3240166106977913E-2</v>
      </c>
    </row>
    <row r="606" spans="22:25" x14ac:dyDescent="0.2">
      <c r="V606" s="18">
        <v>0.60399999999999998</v>
      </c>
      <c r="W606" s="20">
        <f t="shared" si="41"/>
        <v>0.16253595225278128</v>
      </c>
      <c r="X606" s="20">
        <f t="shared" si="42"/>
        <v>-9.2258298496979835E-4</v>
      </c>
      <c r="Y606" s="20">
        <f t="shared" si="43"/>
        <v>-6.3178705421053305E-2</v>
      </c>
    </row>
    <row r="607" spans="22:25" x14ac:dyDescent="0.2">
      <c r="V607" s="18">
        <v>0.60499999999999998</v>
      </c>
      <c r="W607" s="20">
        <f t="shared" si="41"/>
        <v>0.16253499809138847</v>
      </c>
      <c r="X607" s="20">
        <f t="shared" si="42"/>
        <v>-9.8572862168973957E-4</v>
      </c>
      <c r="Y607" s="20">
        <f t="shared" si="43"/>
        <v>-6.3111631068708096E-2</v>
      </c>
    </row>
    <row r="608" spans="22:25" x14ac:dyDescent="0.2">
      <c r="V608" s="18">
        <v>0.60599999999999998</v>
      </c>
      <c r="W608" s="20">
        <f t="shared" si="41"/>
        <v>0.16253398081883369</v>
      </c>
      <c r="X608" s="20">
        <f t="shared" si="42"/>
        <v>-1.0488043705493486E-3</v>
      </c>
      <c r="Y608" s="20">
        <f t="shared" si="43"/>
        <v>-6.3038927047890159E-2</v>
      </c>
    </row>
    <row r="609" spans="22:25" x14ac:dyDescent="0.2">
      <c r="V609" s="18">
        <v>0.60699999999999998</v>
      </c>
      <c r="W609" s="20">
        <f t="shared" si="41"/>
        <v>0.16253290050782235</v>
      </c>
      <c r="X609" s="20">
        <f t="shared" si="42"/>
        <v>-1.111804593947073E-3</v>
      </c>
      <c r="Y609" s="20">
        <f t="shared" si="43"/>
        <v>-6.2960577517510163E-2</v>
      </c>
    </row>
    <row r="610" spans="22:25" x14ac:dyDescent="0.2">
      <c r="V610" s="18">
        <v>0.60799999999999998</v>
      </c>
      <c r="W610" s="20">
        <f t="shared" si="41"/>
        <v>0.16253175723670524</v>
      </c>
      <c r="X610" s="20">
        <f t="shared" si="42"/>
        <v>-1.174723638519358E-3</v>
      </c>
      <c r="Y610" s="20">
        <f t="shared" si="43"/>
        <v>-6.2876566797456235E-2</v>
      </c>
    </row>
    <row r="611" spans="22:25" x14ac:dyDescent="0.2">
      <c r="V611" s="18">
        <v>0.60899999999999999</v>
      </c>
      <c r="W611" s="20">
        <f t="shared" si="41"/>
        <v>0.16253055108949438</v>
      </c>
      <c r="X611" s="20">
        <f t="shared" si="42"/>
        <v>-1.2375558353039037E-3</v>
      </c>
      <c r="Y611" s="20">
        <f t="shared" si="43"/>
        <v>-6.2786879368577964E-2</v>
      </c>
    </row>
    <row r="612" spans="22:25" x14ac:dyDescent="0.2">
      <c r="V612" s="18">
        <v>0.61</v>
      </c>
      <c r="W612" s="20">
        <f t="shared" si="41"/>
        <v>0.16252928215587853</v>
      </c>
      <c r="X612" s="20">
        <f t="shared" si="42"/>
        <v>-1.3002954998992608E-3</v>
      </c>
      <c r="Y612" s="20">
        <f t="shared" si="43"/>
        <v>-6.2691499872697065E-2</v>
      </c>
    </row>
    <row r="613" spans="22:25" x14ac:dyDescent="0.2">
      <c r="V613" s="18">
        <v>0.61099999999999999</v>
      </c>
      <c r="W613" s="20">
        <f t="shared" si="41"/>
        <v>0.16252795053123839</v>
      </c>
      <c r="X613" s="20">
        <f t="shared" si="42"/>
        <v>-1.3629369326263671E-3</v>
      </c>
      <c r="Y613" s="20">
        <f t="shared" si="43"/>
        <v>-6.2590413112602494E-2</v>
      </c>
    </row>
    <row r="614" spans="22:25" x14ac:dyDescent="0.2">
      <c r="V614" s="18">
        <v>0.61199999999999999</v>
      </c>
      <c r="W614" s="20">
        <f t="shared" si="41"/>
        <v>0.16252655631666202</v>
      </c>
      <c r="X614" s="20">
        <f t="shared" si="42"/>
        <v>-1.4254744186890864E-3</v>
      </c>
      <c r="Y614" s="20">
        <f t="shared" si="43"/>
        <v>-6.2483604052049113E-2</v>
      </c>
    </row>
    <row r="615" spans="22:25" x14ac:dyDescent="0.2">
      <c r="V615" s="18">
        <v>0.61299999999999999</v>
      </c>
      <c r="W615" s="20">
        <f t="shared" si="41"/>
        <v>0.16252509961895967</v>
      </c>
      <c r="X615" s="20">
        <f t="shared" si="42"/>
        <v>-1.4879022283365226E-3</v>
      </c>
      <c r="Y615" s="20">
        <f t="shared" si="43"/>
        <v>-6.2371057815764352E-2</v>
      </c>
    </row>
    <row r="616" spans="22:25" x14ac:dyDescent="0.2">
      <c r="V616" s="18">
        <v>0.61399999999999999</v>
      </c>
      <c r="W616" s="20">
        <f t="shared" si="41"/>
        <v>0.16252358055067884</v>
      </c>
      <c r="X616" s="20">
        <f t="shared" si="42"/>
        <v>-1.5502146170221151E-3</v>
      </c>
      <c r="Y616" s="20">
        <f t="shared" si="43"/>
        <v>-6.2252759689441106E-2</v>
      </c>
    </row>
    <row r="617" spans="22:25" x14ac:dyDescent="0.2">
      <c r="V617" s="18">
        <v>0.61499999999999999</v>
      </c>
      <c r="W617" s="20">
        <f t="shared" si="41"/>
        <v>0.16252199923011884</v>
      </c>
      <c r="X617" s="20">
        <f t="shared" si="42"/>
        <v>-1.6124058255659532E-3</v>
      </c>
      <c r="Y617" s="20">
        <f t="shared" si="43"/>
        <v>-6.2128695119741284E-2</v>
      </c>
    </row>
    <row r="618" spans="22:25" x14ac:dyDescent="0.2">
      <c r="V618" s="18">
        <v>0.61599999999999999</v>
      </c>
      <c r="W618" s="20">
        <f t="shared" si="41"/>
        <v>0.16252035578134544</v>
      </c>
      <c r="X618" s="20">
        <f t="shared" si="42"/>
        <v>-1.6744700803144261E-3</v>
      </c>
      <c r="Y618" s="20">
        <f t="shared" si="43"/>
        <v>-6.1998849714293591E-2</v>
      </c>
    </row>
    <row r="619" spans="22:25" x14ac:dyDescent="0.2">
      <c r="V619" s="18">
        <v>0.61699999999999999</v>
      </c>
      <c r="W619" s="20">
        <f t="shared" si="41"/>
        <v>0.16251865033420529</v>
      </c>
      <c r="X619" s="20">
        <f t="shared" si="42"/>
        <v>-1.7364015933038698E-3</v>
      </c>
      <c r="Y619" s="20">
        <f t="shared" si="43"/>
        <v>-6.1863209241697525E-2</v>
      </c>
    </row>
    <row r="620" spans="22:25" x14ac:dyDescent="0.2">
      <c r="V620" s="18">
        <v>0.61799999999999999</v>
      </c>
      <c r="W620" s="20">
        <f t="shared" si="41"/>
        <v>0.16251688302433998</v>
      </c>
      <c r="X620" s="20">
        <f t="shared" si="42"/>
        <v>-1.7981945624171644E-3</v>
      </c>
      <c r="Y620" s="20">
        <f t="shared" si="43"/>
        <v>-6.1721759631520712E-2</v>
      </c>
    </row>
    <row r="621" spans="22:25" x14ac:dyDescent="0.2">
      <c r="V621" s="18">
        <v>0.61899999999999999</v>
      </c>
      <c r="W621" s="20">
        <f t="shared" si="41"/>
        <v>0.16251505399320032</v>
      </c>
      <c r="X621" s="20">
        <f t="shared" si="42"/>
        <v>-1.8598431715492122E-3</v>
      </c>
      <c r="Y621" s="20">
        <f t="shared" si="43"/>
        <v>-6.1574486974298459E-2</v>
      </c>
    </row>
    <row r="622" spans="22:25" x14ac:dyDescent="0.2">
      <c r="V622" s="18">
        <v>0.62</v>
      </c>
      <c r="W622" s="20">
        <f t="shared" si="41"/>
        <v>0.16251316338806004</v>
      </c>
      <c r="X622" s="20">
        <f t="shared" si="42"/>
        <v>-1.9213415907651452E-3</v>
      </c>
      <c r="Y622" s="20">
        <f t="shared" si="43"/>
        <v>-6.1421377521531539E-2</v>
      </c>
    </row>
    <row r="623" spans="22:25" x14ac:dyDescent="0.2">
      <c r="V623" s="18">
        <v>0.621</v>
      </c>
      <c r="W623" s="20">
        <f t="shared" si="41"/>
        <v>0.16251121136202978</v>
      </c>
      <c r="X623" s="20">
        <f t="shared" si="42"/>
        <v>-1.9826839764626389E-3</v>
      </c>
      <c r="Y623" s="20">
        <f t="shared" si="43"/>
        <v>-6.1262417685694626E-2</v>
      </c>
    </row>
    <row r="624" spans="22:25" x14ac:dyDescent="0.2">
      <c r="V624" s="18">
        <v>0.622</v>
      </c>
      <c r="W624" s="20">
        <f t="shared" si="41"/>
        <v>0.16250919807407049</v>
      </c>
      <c r="X624" s="20">
        <f t="shared" si="42"/>
        <v>-2.0438644715317852E-3</v>
      </c>
      <c r="Y624" s="20">
        <f t="shared" si="43"/>
        <v>-6.1097594040226078E-2</v>
      </c>
    </row>
    <row r="625" spans="22:25" x14ac:dyDescent="0.2">
      <c r="V625" s="18">
        <v>0.623</v>
      </c>
      <c r="W625" s="20">
        <f t="shared" si="41"/>
        <v>0.16250712368900694</v>
      </c>
      <c r="X625" s="20">
        <f t="shared" si="42"/>
        <v>-2.1048772055162965E-3</v>
      </c>
      <c r="Y625" s="20">
        <f t="shared" si="43"/>
        <v>-6.0926893319534603E-2</v>
      </c>
    </row>
    <row r="626" spans="22:25" x14ac:dyDescent="0.2">
      <c r="V626" s="18">
        <v>0.624</v>
      </c>
      <c r="W626" s="20">
        <f t="shared" si="41"/>
        <v>0.16250498837754093</v>
      </c>
      <c r="X626" s="20">
        <f t="shared" si="42"/>
        <v>-2.1657162947755978E-3</v>
      </c>
      <c r="Y626" s="20">
        <f t="shared" si="43"/>
        <v>-6.0750302418996149E-2</v>
      </c>
    </row>
    <row r="627" spans="22:25" x14ac:dyDescent="0.2">
      <c r="V627" s="18">
        <v>0.625</v>
      </c>
      <c r="W627" s="20">
        <f t="shared" si="41"/>
        <v>0.16250279231626438</v>
      </c>
      <c r="X627" s="20">
        <f t="shared" si="42"/>
        <v>-2.2263758426446997E-3</v>
      </c>
      <c r="Y627" s="20">
        <f t="shared" si="43"/>
        <v>-6.0567808394957456E-2</v>
      </c>
    </row>
    <row r="628" spans="22:25" x14ac:dyDescent="0.2">
      <c r="V628" s="18">
        <v>0.626</v>
      </c>
      <c r="W628" s="20">
        <f t="shared" si="41"/>
        <v>0.16250053568767242</v>
      </c>
      <c r="X628" s="20">
        <f t="shared" si="42"/>
        <v>-2.2868499395949579E-3</v>
      </c>
      <c r="Y628" s="20">
        <f t="shared" si="43"/>
        <v>-6.0379398464731615E-2</v>
      </c>
    </row>
    <row r="629" spans="22:25" x14ac:dyDescent="0.2">
      <c r="V629" s="18">
        <v>0.627</v>
      </c>
      <c r="W629" s="20">
        <f t="shared" si="41"/>
        <v>0.16249821868017611</v>
      </c>
      <c r="X629" s="20">
        <f t="shared" si="42"/>
        <v>-2.3471326633965547E-3</v>
      </c>
      <c r="Y629" s="20">
        <f t="shared" si="43"/>
        <v>-6.0185060006597624E-2</v>
      </c>
    </row>
    <row r="630" spans="22:25" x14ac:dyDescent="0.2">
      <c r="V630" s="18">
        <v>0.628</v>
      </c>
      <c r="W630" s="20">
        <f t="shared" si="41"/>
        <v>0.16249584148811486</v>
      </c>
      <c r="X630" s="20">
        <f t="shared" si="42"/>
        <v>-2.4072180792767614E-3</v>
      </c>
      <c r="Y630" s="20">
        <f t="shared" si="43"/>
        <v>-5.9984780559807493E-2</v>
      </c>
    </row>
    <row r="631" spans="22:25" x14ac:dyDescent="0.2">
      <c r="V631" s="18">
        <v>0.629</v>
      </c>
      <c r="W631" s="20">
        <f t="shared" si="41"/>
        <v>0.16249340431176906</v>
      </c>
      <c r="X631" s="20">
        <f t="shared" si="42"/>
        <v>-2.467100240084695E-3</v>
      </c>
      <c r="Y631" s="20">
        <f t="shared" si="43"/>
        <v>-5.9778547824578698E-2</v>
      </c>
    </row>
    <row r="632" spans="22:25" x14ac:dyDescent="0.2">
      <c r="V632" s="18">
        <v>0.63</v>
      </c>
      <c r="W632" s="20">
        <f t="shared" si="41"/>
        <v>0.16249090735737265</v>
      </c>
      <c r="X632" s="20">
        <f t="shared" si="42"/>
        <v>-2.5267731864485263E-3</v>
      </c>
      <c r="Y632" s="20">
        <f t="shared" si="43"/>
        <v>-5.9566349662097284E-2</v>
      </c>
    </row>
    <row r="633" spans="22:25" x14ac:dyDescent="0.2">
      <c r="V633" s="18">
        <v>0.63100000000000001</v>
      </c>
      <c r="W633" s="20">
        <f t="shared" si="41"/>
        <v>0.16248835083712471</v>
      </c>
      <c r="X633" s="20">
        <f t="shared" si="42"/>
        <v>-2.5862309469386821E-3</v>
      </c>
      <c r="Y633" s="20">
        <f t="shared" si="43"/>
        <v>-5.9348174094519202E-2</v>
      </c>
    </row>
    <row r="634" spans="22:25" x14ac:dyDescent="0.2">
      <c r="V634" s="18">
        <v>0.63200000000000001</v>
      </c>
      <c r="W634" s="20">
        <f t="shared" si="41"/>
        <v>0.16248573496920177</v>
      </c>
      <c r="X634" s="20">
        <f t="shared" si="42"/>
        <v>-2.6454675382286061E-3</v>
      </c>
      <c r="Y634" s="20">
        <f t="shared" si="43"/>
        <v>-5.9124009304966307E-2</v>
      </c>
    </row>
    <row r="635" spans="22:25" x14ac:dyDescent="0.2">
      <c r="V635" s="18">
        <v>0.63300000000000001</v>
      </c>
      <c r="W635" s="20">
        <f t="shared" si="41"/>
        <v>0.16248305997776957</v>
      </c>
      <c r="X635" s="20">
        <f t="shared" si="42"/>
        <v>-2.7044769652545195E-3</v>
      </c>
      <c r="Y635" s="20">
        <f t="shared" si="43"/>
        <v>-5.8893843637532139E-2</v>
      </c>
    </row>
    <row r="636" spans="22:25" x14ac:dyDescent="0.2">
      <c r="V636" s="18">
        <v>0.63400000000000001</v>
      </c>
      <c r="W636" s="20">
        <f t="shared" si="41"/>
        <v>0.16248032609299468</v>
      </c>
      <c r="X636" s="20">
        <f t="shared" si="42"/>
        <v>-2.7632532213772917E-3</v>
      </c>
      <c r="Y636" s="20">
        <f t="shared" si="43"/>
        <v>-5.8657665597274367E-2</v>
      </c>
    </row>
    <row r="637" spans="22:25" x14ac:dyDescent="0.2">
      <c r="V637" s="18">
        <v>0.63500000000000001</v>
      </c>
      <c r="W637" s="20">
        <f t="shared" si="41"/>
        <v>0.16247753355105632</v>
      </c>
      <c r="X637" s="20">
        <f t="shared" si="42"/>
        <v>-2.8217902885447552E-3</v>
      </c>
      <c r="Y637" s="20">
        <f t="shared" si="43"/>
        <v>-5.841546385022145E-2</v>
      </c>
    </row>
    <row r="638" spans="22:25" x14ac:dyDescent="0.2">
      <c r="V638" s="18">
        <v>0.63600000000000001</v>
      </c>
      <c r="W638" s="20">
        <f t="shared" si="41"/>
        <v>0.16247468259415696</v>
      </c>
      <c r="X638" s="20">
        <f t="shared" si="42"/>
        <v>-2.8800821374495231E-3</v>
      </c>
      <c r="Y638" s="20">
        <f t="shared" si="43"/>
        <v>-5.8167227223369533E-2</v>
      </c>
    </row>
    <row r="639" spans="22:25" x14ac:dyDescent="0.2">
      <c r="V639" s="18">
        <v>0.63700000000000001</v>
      </c>
      <c r="W639" s="20">
        <f t="shared" si="41"/>
        <v>0.16247177347053421</v>
      </c>
      <c r="X639" s="20">
        <f t="shared" si="42"/>
        <v>-2.9381227276924701E-3</v>
      </c>
      <c r="Y639" s="20">
        <f t="shared" si="43"/>
        <v>-5.7912944704682001E-2</v>
      </c>
    </row>
    <row r="640" spans="22:25" x14ac:dyDescent="0.2">
      <c r="V640" s="18">
        <v>0.63800000000000001</v>
      </c>
      <c r="W640" s="20">
        <f t="shared" si="41"/>
        <v>0.1624688064344714</v>
      </c>
      <c r="X640" s="20">
        <f t="shared" si="42"/>
        <v>-2.9959060079427155E-3</v>
      </c>
      <c r="Y640" s="20">
        <f t="shared" si="43"/>
        <v>-5.7652605443096139E-2</v>
      </c>
    </row>
    <row r="641" spans="22:25" x14ac:dyDescent="0.2">
      <c r="V641" s="18">
        <v>0.63900000000000001</v>
      </c>
      <c r="W641" s="20">
        <f t="shared" si="41"/>
        <v>0.16246578174630882</v>
      </c>
      <c r="X641" s="20">
        <f t="shared" si="42"/>
        <v>-3.0534259160992713E-3</v>
      </c>
      <c r="Y641" s="20">
        <f t="shared" si="43"/>
        <v>-5.7386198748508921E-2</v>
      </c>
    </row>
    <row r="642" spans="22:25" x14ac:dyDescent="0.2">
      <c r="V642" s="18">
        <v>0.64</v>
      </c>
      <c r="W642" s="20">
        <f t="shared" si="41"/>
        <v>0.16246269967245408</v>
      </c>
      <c r="X642" s="20">
        <f t="shared" si="42"/>
        <v>-3.1106763794505818E-3</v>
      </c>
      <c r="Y642" s="20">
        <f t="shared" si="43"/>
        <v>-5.7113714091790335E-2</v>
      </c>
    </row>
    <row r="643" spans="22:25" x14ac:dyDescent="0.2">
      <c r="V643" s="18">
        <v>0.64100000000000001</v>
      </c>
      <c r="W643" s="20">
        <f t="shared" ref="W643:W706" si="44" xml:space="preserve"> -0.223567093536985*V643^6 + 0.944228289125022*V643^5 - 1.39425331473467*V643^4 + 0.919786041369661*V643^3 - 0.280641903613287*V643^2 + 0.0398143416441599*V643 + 0.158710616051081</f>
        <v>0.16245956048539248</v>
      </c>
      <c r="X643" s="20">
        <f t="shared" ref="X643:X706" si="45" xml:space="preserve"> 6*-0.223567093536985*V643^5 + 5*0.944228289125022*V643^4 - 4*1.39425331473467*V643^3 + 3*0.919786041369661*V643^2 - 2*0.280641903613287*V643^1 + 0.0398143416441599</f>
        <v>-3.1676513148373928E-3</v>
      </c>
      <c r="Y643" s="20">
        <f t="shared" ref="Y643:Y706" si="46" xml:space="preserve"> 5*6*-0.223567093536985*V643^4 + 4*5*0.944228289125022*V643^3 - 3*4*1.39425331473467*V643^2 + 2*3*0.919786041369661*V643^1 - 2*0.280641903613287</f>
        <v>-5.6835141104780273E-2</v>
      </c>
    </row>
    <row r="644" spans="22:25" x14ac:dyDescent="0.2">
      <c r="V644" s="18">
        <v>0.64200000000000002</v>
      </c>
      <c r="W644" s="20">
        <f t="shared" si="44"/>
        <v>0.16245636446369799</v>
      </c>
      <c r="X644" s="20">
        <f t="shared" si="45"/>
        <v>-3.224344628812402E-3</v>
      </c>
      <c r="Y644" s="20">
        <f t="shared" si="46"/>
        <v>-5.6550469580285423E-2</v>
      </c>
    </row>
    <row r="645" spans="22:25" x14ac:dyDescent="0.2">
      <c r="V645" s="18">
        <v>0.64300000000000002</v>
      </c>
      <c r="W645" s="20">
        <f t="shared" si="44"/>
        <v>0.16245311189204309</v>
      </c>
      <c r="X645" s="20">
        <f t="shared" si="45"/>
        <v>-3.2807502178017964E-3</v>
      </c>
      <c r="Y645" s="20">
        <f t="shared" si="46"/>
        <v>-5.6259689472076158E-2</v>
      </c>
    </row>
    <row r="646" spans="22:25" x14ac:dyDescent="0.2">
      <c r="V646" s="18">
        <v>0.64400000000000002</v>
      </c>
      <c r="W646" s="20">
        <f t="shared" si="44"/>
        <v>0.16244980306120854</v>
      </c>
      <c r="X646" s="20">
        <f t="shared" si="45"/>
        <v>-3.3368619682653464E-3</v>
      </c>
      <c r="Y646" s="20">
        <f t="shared" si="46"/>
        <v>-5.5962790894898085E-2</v>
      </c>
    </row>
    <row r="647" spans="22:25" x14ac:dyDescent="0.2">
      <c r="V647" s="18">
        <v>0.64500000000000002</v>
      </c>
      <c r="W647" s="20">
        <f t="shared" si="44"/>
        <v>0.16244643826809377</v>
      </c>
      <c r="X647" s="20">
        <f t="shared" si="45"/>
        <v>-3.3926737568587759E-3</v>
      </c>
      <c r="Y647" s="20">
        <f t="shared" si="46"/>
        <v>-5.5659764124462274E-2</v>
      </c>
    </row>
    <row r="648" spans="22:25" x14ac:dyDescent="0.2">
      <c r="V648" s="18">
        <v>0.64600000000000002</v>
      </c>
      <c r="W648" s="20">
        <f t="shared" si="44"/>
        <v>0.16244301781572631</v>
      </c>
      <c r="X648" s="20">
        <f t="shared" si="45"/>
        <v>-3.448179450593801E-3</v>
      </c>
      <c r="Y648" s="20">
        <f t="shared" si="46"/>
        <v>-5.5350599597447925E-2</v>
      </c>
    </row>
    <row r="649" spans="22:25" x14ac:dyDescent="0.2">
      <c r="V649" s="18">
        <v>0.64700000000000002</v>
      </c>
      <c r="W649" s="20">
        <f t="shared" si="44"/>
        <v>0.1624395420132716</v>
      </c>
      <c r="X649" s="20">
        <f t="shared" si="45"/>
        <v>-3.5033729069987793E-3</v>
      </c>
      <c r="Y649" s="20">
        <f t="shared" si="46"/>
        <v>-5.5035287911501918E-2</v>
      </c>
    </row>
    <row r="650" spans="22:25" x14ac:dyDescent="0.2">
      <c r="V650" s="18">
        <v>0.64800000000000002</v>
      </c>
      <c r="W650" s="20">
        <f t="shared" si="44"/>
        <v>0.16243601117604198</v>
      </c>
      <c r="X650" s="20">
        <f t="shared" si="45"/>
        <v>-3.5582479742813575E-3</v>
      </c>
      <c r="Y650" s="20">
        <f t="shared" si="46"/>
        <v>-5.4713819825241927E-2</v>
      </c>
    </row>
    <row r="651" spans="22:25" x14ac:dyDescent="0.2">
      <c r="V651" s="18">
        <v>0.64900000000000002</v>
      </c>
      <c r="W651" s="20">
        <f t="shared" si="44"/>
        <v>0.16243242562550625</v>
      </c>
      <c r="X651" s="20">
        <f t="shared" si="45"/>
        <v>-3.6127984914871222E-3</v>
      </c>
      <c r="Y651" s="20">
        <f t="shared" si="46"/>
        <v>-5.4386186258252867E-2</v>
      </c>
    </row>
    <row r="652" spans="22:25" x14ac:dyDescent="0.2">
      <c r="V652" s="18">
        <v>0.65</v>
      </c>
      <c r="W652" s="20">
        <f t="shared" si="44"/>
        <v>0.16242878568929886</v>
      </c>
      <c r="X652" s="20">
        <f t="shared" si="45"/>
        <v>-3.667018288662692E-3</v>
      </c>
      <c r="Y652" s="20">
        <f t="shared" si="46"/>
        <v>-5.4052378291082892E-2</v>
      </c>
    </row>
    <row r="653" spans="22:25" x14ac:dyDescent="0.2">
      <c r="V653" s="18">
        <v>0.65100000000000002</v>
      </c>
      <c r="W653" s="20">
        <f t="shared" si="44"/>
        <v>0.16242509170122843</v>
      </c>
      <c r="X653" s="20">
        <f t="shared" si="45"/>
        <v>-3.720901187014812E-3</v>
      </c>
      <c r="Y653" s="20">
        <f t="shared" si="46"/>
        <v>-5.3712387165256281E-2</v>
      </c>
    </row>
    <row r="654" spans="22:25" x14ac:dyDescent="0.2">
      <c r="V654" s="18">
        <v>0.65200000000000002</v>
      </c>
      <c r="W654" s="20">
        <f t="shared" si="44"/>
        <v>0.1624213440012868</v>
      </c>
      <c r="X654" s="20">
        <f t="shared" si="45"/>
        <v>-3.7744409990725578E-3</v>
      </c>
      <c r="Y654" s="20">
        <f t="shared" si="46"/>
        <v>-5.3366204283263219E-2</v>
      </c>
    </row>
    <row r="655" spans="22:25" x14ac:dyDescent="0.2">
      <c r="V655" s="18">
        <v>0.65300000000000002</v>
      </c>
      <c r="W655" s="20">
        <f t="shared" si="44"/>
        <v>0.16241754293565763</v>
      </c>
      <c r="X655" s="20">
        <f t="shared" si="45"/>
        <v>-3.8276315288485394E-3</v>
      </c>
      <c r="Y655" s="20">
        <f t="shared" si="46"/>
        <v>-5.3013821208558909E-2</v>
      </c>
    </row>
    <row r="656" spans="22:25" x14ac:dyDescent="0.2">
      <c r="V656" s="18">
        <v>0.65400000000000003</v>
      </c>
      <c r="W656" s="20">
        <f t="shared" si="44"/>
        <v>0.16241368885672458</v>
      </c>
      <c r="X656" s="20">
        <f t="shared" si="45"/>
        <v>-3.8804665719988293E-3</v>
      </c>
      <c r="Y656" s="20">
        <f t="shared" si="46"/>
        <v>-5.2655229665568459E-2</v>
      </c>
    </row>
    <row r="657" spans="22:25" x14ac:dyDescent="0.2">
      <c r="V657" s="18">
        <v>0.65500000000000003</v>
      </c>
      <c r="W657" s="20">
        <f t="shared" si="44"/>
        <v>0.16240978212307997</v>
      </c>
      <c r="X657" s="20">
        <f t="shared" si="45"/>
        <v>-3.9329399159837783E-3</v>
      </c>
      <c r="Y657" s="20">
        <f t="shared" si="46"/>
        <v>-5.2290421539690435E-2</v>
      </c>
    </row>
    <row r="658" spans="22:25" x14ac:dyDescent="0.2">
      <c r="V658" s="18">
        <v>0.65600000000000003</v>
      </c>
      <c r="W658" s="20">
        <f t="shared" si="44"/>
        <v>0.1624058230995325</v>
      </c>
      <c r="X658" s="20">
        <f t="shared" si="45"/>
        <v>-3.9850453402306626E-3</v>
      </c>
      <c r="Y658" s="20">
        <f t="shared" si="46"/>
        <v>-5.1919388877283534E-2</v>
      </c>
    </row>
    <row r="659" spans="22:25" x14ac:dyDescent="0.2">
      <c r="V659" s="18">
        <v>0.65700000000000003</v>
      </c>
      <c r="W659" s="20">
        <f t="shared" si="44"/>
        <v>0.16240181215711541</v>
      </c>
      <c r="X659" s="20">
        <f t="shared" si="45"/>
        <v>-4.0367766162930016E-3</v>
      </c>
      <c r="Y659" s="20">
        <f t="shared" si="46"/>
        <v>-5.1542123885679914E-2</v>
      </c>
    </row>
    <row r="660" spans="22:25" x14ac:dyDescent="0.2">
      <c r="V660" s="18">
        <v>0.65800000000000003</v>
      </c>
      <c r="W660" s="20">
        <f t="shared" si="44"/>
        <v>0.16239774967309456</v>
      </c>
      <c r="X660" s="20">
        <f t="shared" si="45"/>
        <v>-4.0881275080132048E-3</v>
      </c>
      <c r="Y660" s="20">
        <f t="shared" si="46"/>
        <v>-5.1158618933177191E-2</v>
      </c>
    </row>
    <row r="661" spans="22:25" x14ac:dyDescent="0.2">
      <c r="V661" s="18">
        <v>0.65900000000000003</v>
      </c>
      <c r="W661" s="20">
        <f t="shared" si="44"/>
        <v>0.16239363603097534</v>
      </c>
      <c r="X661" s="20">
        <f t="shared" si="45"/>
        <v>-4.1390917716807793E-3</v>
      </c>
      <c r="Y661" s="20">
        <f t="shared" si="46"/>
        <v>-5.0768866549044667E-2</v>
      </c>
    </row>
    <row r="662" spans="22:25" x14ac:dyDescent="0.2">
      <c r="V662" s="18">
        <v>0.66</v>
      </c>
      <c r="W662" s="20">
        <f t="shared" si="44"/>
        <v>0.16238947162051084</v>
      </c>
      <c r="X662" s="20">
        <f t="shared" si="45"/>
        <v>-4.1896631561956429E-3</v>
      </c>
      <c r="Y662" s="20">
        <f t="shared" si="46"/>
        <v>-5.0372859423516214E-2</v>
      </c>
    </row>
    <row r="663" spans="22:25" x14ac:dyDescent="0.2">
      <c r="V663" s="18">
        <v>0.66100000000000003</v>
      </c>
      <c r="W663" s="20">
        <f t="shared" si="44"/>
        <v>0.16238525683770869</v>
      </c>
      <c r="X663" s="20">
        <f t="shared" si="45"/>
        <v>-4.2398354032291072E-3</v>
      </c>
      <c r="Y663" s="20">
        <f t="shared" si="46"/>
        <v>-4.9970590407797388E-2</v>
      </c>
    </row>
    <row r="664" spans="22:25" x14ac:dyDescent="0.2">
      <c r="V664" s="18">
        <v>0.66200000000000003</v>
      </c>
      <c r="W664" s="20">
        <f t="shared" si="44"/>
        <v>0.16238099208483861</v>
      </c>
      <c r="X664" s="20">
        <f t="shared" si="45"/>
        <v>-4.2896022473836379E-3</v>
      </c>
      <c r="Y664" s="20">
        <f t="shared" si="46"/>
        <v>-4.9562052514059207E-2</v>
      </c>
    </row>
    <row r="665" spans="22:25" x14ac:dyDescent="0.2">
      <c r="V665" s="18">
        <v>0.66300000000000003</v>
      </c>
      <c r="W665" s="20">
        <f t="shared" si="44"/>
        <v>0.1623766777704389</v>
      </c>
      <c r="X665" s="20">
        <f t="shared" si="45"/>
        <v>-4.3389574163540043E-3</v>
      </c>
      <c r="Y665" s="20">
        <f t="shared" si="46"/>
        <v>-4.9147238915445257E-2</v>
      </c>
    </row>
    <row r="666" spans="22:25" x14ac:dyDescent="0.2">
      <c r="V666" s="18">
        <v>0.66400000000000003</v>
      </c>
      <c r="W666" s="20">
        <f t="shared" si="44"/>
        <v>0.16237231430932386</v>
      </c>
      <c r="X666" s="20">
        <f t="shared" si="45"/>
        <v>-4.387894631088983E-3</v>
      </c>
      <c r="Y666" s="20">
        <f t="shared" si="46"/>
        <v>-4.8726142946060147E-2</v>
      </c>
    </row>
    <row r="667" spans="22:25" x14ac:dyDescent="0.2">
      <c r="V667" s="18">
        <v>0.66500000000000004</v>
      </c>
      <c r="W667" s="20">
        <f t="shared" si="44"/>
        <v>0.16236790212258997</v>
      </c>
      <c r="X667" s="20">
        <f t="shared" si="45"/>
        <v>-4.4364076059522292E-3</v>
      </c>
      <c r="Y667" s="20">
        <f t="shared" si="46"/>
        <v>-4.8298758100984607E-2</v>
      </c>
    </row>
    <row r="668" spans="22:25" x14ac:dyDescent="0.2">
      <c r="V668" s="18">
        <v>0.66600000000000004</v>
      </c>
      <c r="W668" s="20">
        <f t="shared" si="44"/>
        <v>0.16236344163762259</v>
      </c>
      <c r="X668" s="20">
        <f t="shared" si="45"/>
        <v>-4.4844900488829262E-3</v>
      </c>
      <c r="Y668" s="20">
        <f t="shared" si="46"/>
        <v>-4.7865078036261277E-2</v>
      </c>
    </row>
    <row r="669" spans="22:25" x14ac:dyDescent="0.2">
      <c r="V669" s="18">
        <v>0.66700000000000004</v>
      </c>
      <c r="W669" s="20">
        <f t="shared" si="44"/>
        <v>0.16235893328810216</v>
      </c>
      <c r="X669" s="20">
        <f t="shared" si="45"/>
        <v>-4.5321356615555461E-3</v>
      </c>
      <c r="Y669" s="20">
        <f t="shared" si="46"/>
        <v>-4.7425096568905367E-2</v>
      </c>
    </row>
    <row r="670" spans="22:25" x14ac:dyDescent="0.2">
      <c r="V670" s="18">
        <v>0.66800000000000004</v>
      </c>
      <c r="W670" s="20">
        <f t="shared" si="44"/>
        <v>0.16235437751401091</v>
      </c>
      <c r="X670" s="20">
        <f t="shared" si="45"/>
        <v>-4.5793381395438301E-3</v>
      </c>
      <c r="Y670" s="20">
        <f t="shared" si="46"/>
        <v>-4.6978807676901102E-2</v>
      </c>
    </row>
    <row r="671" spans="22:25" x14ac:dyDescent="0.2">
      <c r="V671" s="18">
        <v>0.66900000000000004</v>
      </c>
      <c r="W671" s="20">
        <f t="shared" si="44"/>
        <v>0.16234977476163806</v>
      </c>
      <c r="X671" s="20">
        <f t="shared" si="45"/>
        <v>-4.6260911724789952E-3</v>
      </c>
      <c r="Y671" s="20">
        <f t="shared" si="46"/>
        <v>-4.6526205499194617E-2</v>
      </c>
    </row>
    <row r="672" spans="22:25" x14ac:dyDescent="0.2">
      <c r="V672" s="18">
        <v>0.67</v>
      </c>
      <c r="W672" s="20">
        <f t="shared" si="44"/>
        <v>0.16234512548358629</v>
      </c>
      <c r="X672" s="20">
        <f t="shared" si="45"/>
        <v>-4.6723884442116045E-3</v>
      </c>
      <c r="Y672" s="20">
        <f t="shared" si="46"/>
        <v>-4.606728433570817E-2</v>
      </c>
    </row>
    <row r="673" spans="22:25" x14ac:dyDescent="0.2">
      <c r="V673" s="18">
        <v>0.67100000000000004</v>
      </c>
      <c r="W673" s="20">
        <f t="shared" si="44"/>
        <v>0.1623404301387773</v>
      </c>
      <c r="X673" s="20">
        <f t="shared" si="45"/>
        <v>-4.7182236329737712E-3</v>
      </c>
      <c r="Y673" s="20">
        <f t="shared" si="46"/>
        <v>-4.5602038647328591E-2</v>
      </c>
    </row>
    <row r="674" spans="22:25" x14ac:dyDescent="0.2">
      <c r="V674" s="18">
        <v>0.67200000000000004</v>
      </c>
      <c r="W674" s="20">
        <f t="shared" si="44"/>
        <v>0.16233568919245711</v>
      </c>
      <c r="X674" s="20">
        <f t="shared" si="45"/>
        <v>-4.7635904115370872E-3</v>
      </c>
      <c r="Y674" s="20">
        <f t="shared" si="46"/>
        <v>-4.5130463055908177E-2</v>
      </c>
    </row>
    <row r="675" spans="22:25" x14ac:dyDescent="0.2">
      <c r="V675" s="18">
        <v>0.67300000000000004</v>
      </c>
      <c r="W675" s="20">
        <f t="shared" si="44"/>
        <v>0.16233090311620174</v>
      </c>
      <c r="X675" s="20">
        <f t="shared" si="45"/>
        <v>-4.8084824473768814E-3</v>
      </c>
      <c r="Y675" s="20">
        <f t="shared" si="46"/>
        <v>-4.4652552344274454E-2</v>
      </c>
    </row>
    <row r="676" spans="22:25" x14ac:dyDescent="0.2">
      <c r="V676" s="18">
        <v>0.67400000000000004</v>
      </c>
      <c r="W676" s="20">
        <f t="shared" si="44"/>
        <v>0.16232607238792232</v>
      </c>
      <c r="X676" s="20">
        <f t="shared" si="45"/>
        <v>-4.852893402831425E-3</v>
      </c>
      <c r="Y676" s="20">
        <f t="shared" si="46"/>
        <v>-4.4168301456217751E-2</v>
      </c>
    </row>
    <row r="677" spans="22:25" x14ac:dyDescent="0.2">
      <c r="V677" s="18">
        <v>0.67500000000000004</v>
      </c>
      <c r="W677" s="20">
        <f t="shared" si="44"/>
        <v>0.16232119749187032</v>
      </c>
      <c r="X677" s="20">
        <f t="shared" si="45"/>
        <v>-4.8968169352635801E-3</v>
      </c>
      <c r="Y677" s="20">
        <f t="shared" si="46"/>
        <v>-4.3677705496496522E-2</v>
      </c>
    </row>
    <row r="678" spans="22:25" x14ac:dyDescent="0.2">
      <c r="V678" s="18">
        <v>0.67600000000000005</v>
      </c>
      <c r="W678" s="20">
        <f t="shared" si="44"/>
        <v>0.16231627891864198</v>
      </c>
      <c r="X678" s="20">
        <f t="shared" si="45"/>
        <v>-4.9402466972208944E-3</v>
      </c>
      <c r="Y678" s="20">
        <f t="shared" si="46"/>
        <v>-4.3180759730843565E-2</v>
      </c>
    </row>
    <row r="679" spans="22:25" x14ac:dyDescent="0.2">
      <c r="V679" s="18">
        <v>0.67700000000000005</v>
      </c>
      <c r="W679" s="20">
        <f t="shared" si="44"/>
        <v>0.16231131716518343</v>
      </c>
      <c r="X679" s="20">
        <f t="shared" si="45"/>
        <v>-4.983176336597249E-3</v>
      </c>
      <c r="Y679" s="20">
        <f t="shared" si="46"/>
        <v>-4.2677459585951816E-2</v>
      </c>
    </row>
    <row r="680" spans="22:25" x14ac:dyDescent="0.2">
      <c r="V680" s="18">
        <v>0.67800000000000005</v>
      </c>
      <c r="W680" s="20">
        <f t="shared" si="44"/>
        <v>0.16230631273479515</v>
      </c>
      <c r="X680" s="20">
        <f t="shared" si="45"/>
        <v>-5.0255994967939518E-3</v>
      </c>
      <c r="Y680" s="20">
        <f t="shared" si="46"/>
        <v>-4.2167800649488552E-2</v>
      </c>
    </row>
    <row r="681" spans="22:25" x14ac:dyDescent="0.2">
      <c r="V681" s="18">
        <v>0.67900000000000005</v>
      </c>
      <c r="W681" s="20">
        <f t="shared" si="44"/>
        <v>0.16230126613713641</v>
      </c>
      <c r="X681" s="20">
        <f t="shared" si="45"/>
        <v>-5.0675098168798324E-3</v>
      </c>
      <c r="Y681" s="20">
        <f t="shared" si="46"/>
        <v>-4.1651778670087403E-2</v>
      </c>
    </row>
    <row r="682" spans="22:25" x14ac:dyDescent="0.2">
      <c r="V682" s="18">
        <v>0.68</v>
      </c>
      <c r="W682" s="20">
        <f t="shared" si="44"/>
        <v>0.16229617788822975</v>
      </c>
      <c r="X682" s="20">
        <f t="shared" si="45"/>
        <v>-5.108900931754444E-3</v>
      </c>
      <c r="Y682" s="20">
        <f t="shared" si="46"/>
        <v>-4.1129389557350127E-2</v>
      </c>
    </row>
    <row r="683" spans="22:25" x14ac:dyDescent="0.2">
      <c r="V683" s="18">
        <v>0.68100000000000005</v>
      </c>
      <c r="W683" s="20">
        <f t="shared" si="44"/>
        <v>0.16229104851046428</v>
      </c>
      <c r="X683" s="20">
        <f t="shared" si="45"/>
        <v>-5.1497664723054379E-3</v>
      </c>
      <c r="Y683" s="20">
        <f t="shared" si="46"/>
        <v>-4.0600629381845721E-2</v>
      </c>
    </row>
    <row r="684" spans="22:25" x14ac:dyDescent="0.2">
      <c r="V684" s="18">
        <v>0.68200000000000005</v>
      </c>
      <c r="W684" s="20">
        <f t="shared" si="44"/>
        <v>0.16228587853260085</v>
      </c>
      <c r="X684" s="20">
        <f t="shared" si="45"/>
        <v>-5.190100065572488E-3</v>
      </c>
      <c r="Y684" s="20">
        <f t="shared" si="46"/>
        <v>-4.0065494375113087E-2</v>
      </c>
    </row>
    <row r="685" spans="22:25" x14ac:dyDescent="0.2">
      <c r="V685" s="18">
        <v>0.68300000000000005</v>
      </c>
      <c r="W685" s="20">
        <f t="shared" si="44"/>
        <v>0.16228066848977443</v>
      </c>
      <c r="X685" s="20">
        <f t="shared" si="45"/>
        <v>-5.2298953349076069E-3</v>
      </c>
      <c r="Y685" s="20">
        <f t="shared" si="46"/>
        <v>-3.9523980929659253E-2</v>
      </c>
    </row>
    <row r="686" spans="22:25" x14ac:dyDescent="0.2">
      <c r="V686" s="18">
        <v>0.68400000000000005</v>
      </c>
      <c r="W686" s="20">
        <f t="shared" si="44"/>
        <v>0.16227541892349898</v>
      </c>
      <c r="X686" s="20">
        <f t="shared" si="45"/>
        <v>-5.26914590013524E-3</v>
      </c>
      <c r="Y686" s="20">
        <f t="shared" si="46"/>
        <v>-3.8976085598960264E-2</v>
      </c>
    </row>
    <row r="687" spans="22:25" x14ac:dyDescent="0.2">
      <c r="V687" s="18">
        <v>0.68500000000000005</v>
      </c>
      <c r="W687" s="20">
        <f t="shared" si="44"/>
        <v>0.16227013038167007</v>
      </c>
      <c r="X687" s="20">
        <f t="shared" si="45"/>
        <v>-5.3078453777139142E-3</v>
      </c>
      <c r="Y687" s="20">
        <f t="shared" si="46"/>
        <v>-3.8421805097457629E-2</v>
      </c>
    </row>
    <row r="688" spans="22:25" x14ac:dyDescent="0.2">
      <c r="V688" s="18">
        <v>0.68600000000000005</v>
      </c>
      <c r="W688" s="20">
        <f t="shared" si="44"/>
        <v>0.16226480341856828</v>
      </c>
      <c r="X688" s="20">
        <f t="shared" si="45"/>
        <v>-5.3459873808962208E-3</v>
      </c>
      <c r="Y688" s="20">
        <f t="shared" si="46"/>
        <v>-3.7861136300564535E-2</v>
      </c>
    </row>
    <row r="689" spans="22:25" x14ac:dyDescent="0.2">
      <c r="V689" s="18">
        <v>0.68700000000000006</v>
      </c>
      <c r="W689" s="20">
        <f t="shared" si="44"/>
        <v>0.16225943859486291</v>
      </c>
      <c r="X689" s="20">
        <f t="shared" si="45"/>
        <v>-5.3835655198931284E-3</v>
      </c>
      <c r="Y689" s="20">
        <f t="shared" si="46"/>
        <v>-3.7294076244659635E-2</v>
      </c>
    </row>
    <row r="690" spans="22:25" x14ac:dyDescent="0.2">
      <c r="V690" s="18">
        <v>0.68799999999999994</v>
      </c>
      <c r="W690" s="20">
        <f t="shared" si="44"/>
        <v>0.16225403647761413</v>
      </c>
      <c r="X690" s="20">
        <f t="shared" si="45"/>
        <v>-5.4205734020299143E-3</v>
      </c>
      <c r="Y690" s="20">
        <f t="shared" si="46"/>
        <v>-3.6720622127092373E-2</v>
      </c>
    </row>
    <row r="691" spans="22:25" x14ac:dyDescent="0.2">
      <c r="V691" s="18">
        <v>0.68899999999999995</v>
      </c>
      <c r="W691" s="20">
        <f t="shared" si="44"/>
        <v>0.16224859764027627</v>
      </c>
      <c r="X691" s="20">
        <f t="shared" si="45"/>
        <v>-5.4570046319112539E-3</v>
      </c>
      <c r="Y691" s="20">
        <f t="shared" si="46"/>
        <v>-3.6140771306179431E-2</v>
      </c>
    </row>
    <row r="692" spans="22:25" x14ac:dyDescent="0.2">
      <c r="V692" s="18">
        <v>0.69</v>
      </c>
      <c r="W692" s="20">
        <f t="shared" si="44"/>
        <v>0.16224312266270038</v>
      </c>
      <c r="X692" s="20">
        <f t="shared" si="45"/>
        <v>-5.4928528115792061E-3</v>
      </c>
      <c r="Y692" s="20">
        <f t="shared" si="46"/>
        <v>-3.5554521301203845E-2</v>
      </c>
    </row>
    <row r="693" spans="22:25" x14ac:dyDescent="0.2">
      <c r="V693" s="18">
        <v>0.69099999999999995</v>
      </c>
      <c r="W693" s="20">
        <f t="shared" si="44"/>
        <v>0.16223761213113663</v>
      </c>
      <c r="X693" s="20">
        <f t="shared" si="45"/>
        <v>-5.5281115406770817E-3</v>
      </c>
      <c r="Y693" s="20">
        <f t="shared" si="46"/>
        <v>-3.4961869792422995E-2</v>
      </c>
    </row>
    <row r="694" spans="22:25" x14ac:dyDescent="0.2">
      <c r="V694" s="18">
        <v>0.69199999999999995</v>
      </c>
      <c r="W694" s="20">
        <f t="shared" si="44"/>
        <v>0.16223206663823672</v>
      </c>
      <c r="X694" s="20">
        <f t="shared" si="45"/>
        <v>-5.5627744166079282E-3</v>
      </c>
      <c r="Y694" s="20">
        <f t="shared" si="46"/>
        <v>-3.4362814621052618E-2</v>
      </c>
    </row>
    <row r="695" spans="22:25" x14ac:dyDescent="0.2">
      <c r="V695" s="18">
        <v>0.69299999999999995</v>
      </c>
      <c r="W695" s="20">
        <f t="shared" si="44"/>
        <v>0.16222648678305598</v>
      </c>
      <c r="X695" s="20">
        <f t="shared" si="45"/>
        <v>-5.5968350346972881E-3</v>
      </c>
      <c r="Y695" s="20">
        <f t="shared" si="46"/>
        <v>-3.3757353789287237E-2</v>
      </c>
    </row>
    <row r="696" spans="22:25" x14ac:dyDescent="0.2">
      <c r="V696" s="18">
        <v>0.69399999999999995</v>
      </c>
      <c r="W696" s="20">
        <f t="shared" si="44"/>
        <v>0.16222087317105544</v>
      </c>
      <c r="X696" s="20">
        <f t="shared" si="45"/>
        <v>-5.6302869883522941E-3</v>
      </c>
      <c r="Y696" s="20">
        <f t="shared" si="46"/>
        <v>-3.3145485460282398E-2</v>
      </c>
    </row>
    <row r="697" spans="22:25" x14ac:dyDescent="0.2">
      <c r="V697" s="18">
        <v>0.69499999999999995</v>
      </c>
      <c r="W697" s="20">
        <f t="shared" si="44"/>
        <v>0.16221522641410352</v>
      </c>
      <c r="X697" s="20">
        <f t="shared" si="45"/>
        <v>-5.6631238692248717E-3</v>
      </c>
      <c r="Y697" s="20">
        <f t="shared" si="46"/>
        <v>-3.2527207958164439E-2</v>
      </c>
    </row>
    <row r="698" spans="22:25" x14ac:dyDescent="0.2">
      <c r="V698" s="18">
        <v>0.69599999999999995</v>
      </c>
      <c r="W698" s="20">
        <f t="shared" si="44"/>
        <v>0.16220954713047786</v>
      </c>
      <c r="X698" s="20">
        <f t="shared" si="45"/>
        <v>-5.6953392673709455E-3</v>
      </c>
      <c r="Y698" s="20">
        <f t="shared" si="46"/>
        <v>-3.1902519768034043E-2</v>
      </c>
    </row>
    <row r="699" spans="22:25" x14ac:dyDescent="0.2">
      <c r="V699" s="18">
        <v>0.69699999999999995</v>
      </c>
      <c r="W699" s="20">
        <f t="shared" si="44"/>
        <v>0.16220383594486681</v>
      </c>
      <c r="X699" s="20">
        <f t="shared" si="45"/>
        <v>-5.7269267714119762E-3</v>
      </c>
      <c r="Y699" s="20">
        <f t="shared" si="46"/>
        <v>-3.1271419535943146E-2</v>
      </c>
    </row>
    <row r="700" spans="22:25" x14ac:dyDescent="0.2">
      <c r="V700" s="18">
        <v>0.69799999999999995</v>
      </c>
      <c r="W700" s="20">
        <f t="shared" si="44"/>
        <v>0.16219809348837069</v>
      </c>
      <c r="X700" s="20">
        <f t="shared" si="45"/>
        <v>-5.757879968696332E-3</v>
      </c>
      <c r="Y700" s="20">
        <f t="shared" si="46"/>
        <v>-3.0633906068933126E-2</v>
      </c>
    </row>
    <row r="701" spans="22:25" x14ac:dyDescent="0.2">
      <c r="V701" s="18">
        <v>0.69899999999999995</v>
      </c>
      <c r="W701" s="20">
        <f t="shared" si="44"/>
        <v>0.1621923203985029</v>
      </c>
      <c r="X701" s="20">
        <f t="shared" si="45"/>
        <v>-5.7881924454586606E-3</v>
      </c>
      <c r="Y701" s="20">
        <f t="shared" si="46"/>
        <v>-2.9989978334999279E-2</v>
      </c>
    </row>
    <row r="702" spans="22:25" x14ac:dyDescent="0.2">
      <c r="V702" s="18">
        <v>0.7</v>
      </c>
      <c r="W702" s="20">
        <f t="shared" si="44"/>
        <v>0.16218651731919148</v>
      </c>
      <c r="X702" s="20">
        <f t="shared" si="45"/>
        <v>-5.8178577869849799E-3</v>
      </c>
      <c r="Y702" s="20">
        <f t="shared" si="46"/>
        <v>-2.9339635463110358E-2</v>
      </c>
    </row>
    <row r="703" spans="22:25" x14ac:dyDescent="0.2">
      <c r="V703" s="18">
        <v>0.70099999999999996</v>
      </c>
      <c r="W703" s="20">
        <f t="shared" si="44"/>
        <v>0.16218068490077917</v>
      </c>
      <c r="X703" s="20">
        <f t="shared" si="45"/>
        <v>-5.8468695777677757E-3</v>
      </c>
      <c r="Y703" s="20">
        <f t="shared" si="46"/>
        <v>-2.868287674320058E-2</v>
      </c>
    </row>
    <row r="704" spans="22:25" x14ac:dyDescent="0.2">
      <c r="V704" s="18">
        <v>0.70199999999999996</v>
      </c>
      <c r="W704" s="20">
        <f t="shared" si="44"/>
        <v>0.16217482380002482</v>
      </c>
      <c r="X704" s="20">
        <f t="shared" si="45"/>
        <v>-5.875221401670315E-3</v>
      </c>
      <c r="Y704" s="20">
        <f t="shared" si="46"/>
        <v>-2.8019701626179394E-2</v>
      </c>
    </row>
    <row r="705" spans="22:25" x14ac:dyDescent="0.2">
      <c r="V705" s="18">
        <v>0.70299999999999996</v>
      </c>
      <c r="W705" s="20">
        <f t="shared" si="44"/>
        <v>0.16216893468010363</v>
      </c>
      <c r="X705" s="20">
        <f t="shared" si="45"/>
        <v>-5.9029068420895156E-3</v>
      </c>
      <c r="Y705" s="20">
        <f t="shared" si="46"/>
        <v>-2.7350109723913718E-2</v>
      </c>
    </row>
    <row r="706" spans="22:25" x14ac:dyDescent="0.2">
      <c r="V706" s="18">
        <v>0.70399999999999996</v>
      </c>
      <c r="W706" s="20">
        <f t="shared" si="44"/>
        <v>0.16216301821060747</v>
      </c>
      <c r="X706" s="20">
        <f t="shared" si="45"/>
        <v>-5.9299194821124876E-3</v>
      </c>
      <c r="Y706" s="20">
        <f t="shared" si="46"/>
        <v>-2.6674100809250145E-2</v>
      </c>
    </row>
    <row r="707" spans="22:25" x14ac:dyDescent="0.2">
      <c r="V707" s="18">
        <v>0.70499999999999996</v>
      </c>
      <c r="W707" s="20">
        <f t="shared" ref="W707:W770" si="47" xml:space="preserve"> -0.223567093536985*V707^6 + 0.944228289125022*V707^5 - 1.39425331473467*V707^4 + 0.919786041369661*V707^3 - 0.280641903613287*V707^2 + 0.0398143416441599*V707 + 0.158710616051081</f>
        <v>0.1621570750675452</v>
      </c>
      <c r="X707" s="20">
        <f t="shared" ref="X707:X770" si="48" xml:space="preserve"> 6*-0.223567093536985*V707^5 + 5*0.944228289125022*V707^4 - 4*1.39425331473467*V707^3 + 3*0.919786041369661*V707^2 - 2*0.280641903613287*V707^1 + 0.0398143416441599</f>
        <v>-5.9562529046800691E-3</v>
      </c>
      <c r="Y707" s="20">
        <f t="shared" ref="Y707:Y770" si="49" xml:space="preserve"> 5*6*-0.223567093536985*V707^4 + 4*5*0.944228289125022*V707^3 - 3*4*1.39425331473467*V707^2 + 2*3*0.919786041369661*V707^1 - 2*0.280641903613287</f>
        <v>-2.5991674815997179E-2</v>
      </c>
    </row>
    <row r="708" spans="22:25" x14ac:dyDescent="0.2">
      <c r="V708" s="18">
        <v>0.70599999999999996</v>
      </c>
      <c r="W708" s="20">
        <f t="shared" si="47"/>
        <v>0.16215110593334298</v>
      </c>
      <c r="X708" s="20">
        <f t="shared" si="48"/>
        <v>-5.9819006927480309E-3</v>
      </c>
      <c r="Y708" s="20">
        <f t="shared" si="49"/>
        <v>-2.5302831838927897E-2</v>
      </c>
    </row>
    <row r="709" spans="22:25" x14ac:dyDescent="0.2">
      <c r="V709" s="18">
        <v>0.70699999999999996</v>
      </c>
      <c r="W709" s="20">
        <f t="shared" si="47"/>
        <v>0.16214511149684355</v>
      </c>
      <c r="X709" s="20">
        <f t="shared" si="48"/>
        <v>-6.0068564294468926E-3</v>
      </c>
      <c r="Y709" s="20">
        <f t="shared" si="49"/>
        <v>-2.4607572133794164E-2</v>
      </c>
    </row>
    <row r="710" spans="22:25" x14ac:dyDescent="0.2">
      <c r="V710" s="18">
        <v>0.70799999999999996</v>
      </c>
      <c r="W710" s="20">
        <f t="shared" si="47"/>
        <v>0.16213909245330674</v>
      </c>
      <c r="X710" s="20">
        <f t="shared" si="48"/>
        <v>-6.0311136982437383E-3</v>
      </c>
      <c r="Y710" s="20">
        <f t="shared" si="49"/>
        <v>-2.3905896117307091E-2</v>
      </c>
    </row>
    <row r="711" spans="22:25" x14ac:dyDescent="0.2">
      <c r="V711" s="18">
        <v>0.70899999999999996</v>
      </c>
      <c r="W711" s="20">
        <f t="shared" si="47"/>
        <v>0.16213304950440835</v>
      </c>
      <c r="X711" s="20">
        <f t="shared" si="48"/>
        <v>-6.0546660831016438E-3</v>
      </c>
      <c r="Y711" s="20">
        <f t="shared" si="49"/>
        <v>-2.3197804367151242E-2</v>
      </c>
    </row>
    <row r="712" spans="22:25" x14ac:dyDescent="0.2">
      <c r="V712" s="18">
        <v>0.71</v>
      </c>
      <c r="W712" s="20">
        <f t="shared" si="47"/>
        <v>0.16212698335824025</v>
      </c>
      <c r="X712" s="20">
        <f t="shared" si="48"/>
        <v>-6.0775071686443236E-3</v>
      </c>
      <c r="Y712" s="20">
        <f t="shared" si="49"/>
        <v>-2.2483297621977538E-2</v>
      </c>
    </row>
    <row r="713" spans="22:25" x14ac:dyDescent="0.2">
      <c r="V713" s="18">
        <v>0.71099999999999997</v>
      </c>
      <c r="W713" s="20">
        <f t="shared" si="47"/>
        <v>0.16212089472930902</v>
      </c>
      <c r="X713" s="20">
        <f t="shared" si="48"/>
        <v>-6.0996305403117831E-3</v>
      </c>
      <c r="Y713" s="20">
        <f t="shared" si="49"/>
        <v>-2.1762376781403248E-2</v>
      </c>
    </row>
    <row r="714" spans="22:25" x14ac:dyDescent="0.2">
      <c r="V714" s="18">
        <v>0.71199999999999997</v>
      </c>
      <c r="W714" s="20">
        <f t="shared" si="47"/>
        <v>0.16211478433853543</v>
      </c>
      <c r="X714" s="20">
        <f t="shared" si="48"/>
        <v>-6.1210297845271863E-3</v>
      </c>
      <c r="Y714" s="20">
        <f t="shared" si="49"/>
        <v>-2.1035042906018209E-2</v>
      </c>
    </row>
    <row r="715" spans="22:25" x14ac:dyDescent="0.2">
      <c r="V715" s="18">
        <v>0.71299999999999997</v>
      </c>
      <c r="W715" s="20">
        <f t="shared" si="47"/>
        <v>0.16210865291325335</v>
      </c>
      <c r="X715" s="20">
        <f t="shared" si="48"/>
        <v>-6.1416984888516199E-3</v>
      </c>
      <c r="Y715" s="20">
        <f t="shared" si="49"/>
        <v>-2.0301297217376835E-2</v>
      </c>
    </row>
    <row r="716" spans="22:25" x14ac:dyDescent="0.2">
      <c r="V716" s="18">
        <v>0.71399999999999997</v>
      </c>
      <c r="W716" s="20">
        <f t="shared" si="47"/>
        <v>0.16210250118720815</v>
      </c>
      <c r="X716" s="20">
        <f t="shared" si="48"/>
        <v>-6.161630242149628E-3</v>
      </c>
      <c r="Y716" s="20">
        <f t="shared" si="49"/>
        <v>-1.9561141098004331E-2</v>
      </c>
    </row>
    <row r="717" spans="22:25" x14ac:dyDescent="0.2">
      <c r="V717" s="18">
        <v>0.71499999999999997</v>
      </c>
      <c r="W717" s="20">
        <f t="shared" si="47"/>
        <v>0.16209632990055592</v>
      </c>
      <c r="X717" s="20">
        <f t="shared" si="48"/>
        <v>-6.1808186347499725E-3</v>
      </c>
      <c r="Y717" s="20">
        <f t="shared" si="49"/>
        <v>-1.8814576091394919E-2</v>
      </c>
    </row>
    <row r="718" spans="22:25" x14ac:dyDescent="0.2">
      <c r="V718" s="18">
        <v>0.71599999999999997</v>
      </c>
      <c r="W718" s="20">
        <f t="shared" si="47"/>
        <v>0.16209013979986156</v>
      </c>
      <c r="X718" s="20">
        <f t="shared" si="48"/>
        <v>-6.1992572586032288E-3</v>
      </c>
      <c r="Y718" s="20">
        <f t="shared" si="49"/>
        <v>-1.8061603902007395E-2</v>
      </c>
    </row>
    <row r="719" spans="22:25" x14ac:dyDescent="0.2">
      <c r="V719" s="18">
        <v>0.71699999999999997</v>
      </c>
      <c r="W719" s="20">
        <f t="shared" si="47"/>
        <v>0.16208393163809715</v>
      </c>
      <c r="X719" s="20">
        <f t="shared" si="48"/>
        <v>-6.216939707446266E-3</v>
      </c>
      <c r="Y719" s="20">
        <f t="shared" si="49"/>
        <v>-1.7302226395270459E-2</v>
      </c>
    </row>
    <row r="720" spans="22:25" x14ac:dyDescent="0.2">
      <c r="V720" s="18">
        <v>0.71799999999999997</v>
      </c>
      <c r="W720" s="20">
        <f t="shared" si="47"/>
        <v>0.16207770617463979</v>
      </c>
      <c r="X720" s="20">
        <f t="shared" si="48"/>
        <v>-6.2338595769612301E-3</v>
      </c>
      <c r="Y720" s="20">
        <f t="shared" si="49"/>
        <v>-1.6536445597585381E-2</v>
      </c>
    </row>
    <row r="721" spans="22:25" x14ac:dyDescent="0.2">
      <c r="V721" s="18">
        <v>0.71899999999999997</v>
      </c>
      <c r="W721" s="20">
        <f t="shared" si="47"/>
        <v>0.1620714641752703</v>
      </c>
      <c r="X721" s="20">
        <f t="shared" si="48"/>
        <v>-6.2500104649386365E-3</v>
      </c>
      <c r="Y721" s="20">
        <f t="shared" si="49"/>
        <v>-1.5764263696312675E-2</v>
      </c>
    </row>
    <row r="722" spans="22:25" x14ac:dyDescent="0.2">
      <c r="V722" s="18">
        <v>0.72</v>
      </c>
      <c r="W722" s="20">
        <f t="shared" si="47"/>
        <v>0.16206520641217051</v>
      </c>
      <c r="X722" s="20">
        <f t="shared" si="48"/>
        <v>-6.2653859714339108E-3</v>
      </c>
      <c r="Y722" s="20">
        <f t="shared" si="49"/>
        <v>-1.4985683039788977E-2</v>
      </c>
    </row>
    <row r="723" spans="22:25" x14ac:dyDescent="0.2">
      <c r="V723" s="18">
        <v>0.72099999999999997</v>
      </c>
      <c r="W723" s="20">
        <f t="shared" si="47"/>
        <v>0.16205893366392049</v>
      </c>
      <c r="X723" s="20">
        <f t="shared" si="48"/>
        <v>-6.2799796989342557E-3</v>
      </c>
      <c r="Y723" s="20">
        <f t="shared" si="49"/>
        <v>-1.4200706137317276E-2</v>
      </c>
    </row>
    <row r="724" spans="22:25" x14ac:dyDescent="0.2">
      <c r="V724" s="18">
        <v>0.72199999999999998</v>
      </c>
      <c r="W724" s="20">
        <f t="shared" si="47"/>
        <v>0.16205264671549729</v>
      </c>
      <c r="X724" s="20">
        <f t="shared" si="48"/>
        <v>-6.2937852525154145E-3</v>
      </c>
      <c r="Y724" s="20">
        <f t="shared" si="49"/>
        <v>-1.3409335659167798E-2</v>
      </c>
    </row>
    <row r="725" spans="22:25" x14ac:dyDescent="0.2">
      <c r="V725" s="18">
        <v>0.72299999999999998</v>
      </c>
      <c r="W725" s="20">
        <f t="shared" si="47"/>
        <v>0.16204634635827092</v>
      </c>
      <c r="X725" s="20">
        <f t="shared" si="48"/>
        <v>-6.3067962400027641E-3</v>
      </c>
      <c r="Y725" s="20">
        <f t="shared" si="49"/>
        <v>-1.2611574436579787E-2</v>
      </c>
    </row>
    <row r="726" spans="22:25" x14ac:dyDescent="0.2">
      <c r="V726" s="18">
        <v>0.72399999999999998</v>
      </c>
      <c r="W726" s="20">
        <f t="shared" si="47"/>
        <v>0.16204003339000242</v>
      </c>
      <c r="X726" s="20">
        <f t="shared" si="48"/>
        <v>-6.3190062721356285E-3</v>
      </c>
      <c r="Y726" s="20">
        <f t="shared" si="49"/>
        <v>-1.1807425461759724E-2</v>
      </c>
    </row>
    <row r="727" spans="22:25" x14ac:dyDescent="0.2">
      <c r="V727" s="18">
        <v>0.72499999999999998</v>
      </c>
      <c r="W727" s="20">
        <f t="shared" si="47"/>
        <v>0.16203370861484051</v>
      </c>
      <c r="X727" s="20">
        <f t="shared" si="48"/>
        <v>-6.3304089627246526E-3</v>
      </c>
      <c r="Y727" s="20">
        <f t="shared" si="49"/>
        <v>-1.0996891887885774E-2</v>
      </c>
    </row>
    <row r="728" spans="22:25" x14ac:dyDescent="0.2">
      <c r="V728" s="18">
        <v>0.72599999999999998</v>
      </c>
      <c r="W728" s="20">
        <f t="shared" si="47"/>
        <v>0.16202737284331845</v>
      </c>
      <c r="X728" s="20">
        <f t="shared" si="48"/>
        <v>-6.3409979288147275E-3</v>
      </c>
      <c r="Y728" s="20">
        <f t="shared" si="49"/>
        <v>-1.0179977029100229E-2</v>
      </c>
    </row>
    <row r="729" spans="22:25" x14ac:dyDescent="0.2">
      <c r="V729" s="18">
        <v>0.72699999999999998</v>
      </c>
      <c r="W729" s="20">
        <f t="shared" si="47"/>
        <v>0.16202102689235093</v>
      </c>
      <c r="X729" s="20">
        <f t="shared" si="48"/>
        <v>-6.3507667908448626E-3</v>
      </c>
      <c r="Y729" s="20">
        <f t="shared" si="49"/>
        <v>-9.3566843605135119E-3</v>
      </c>
    </row>
    <row r="730" spans="22:25" x14ac:dyDescent="0.2">
      <c r="V730" s="18">
        <v>0.72799999999999998</v>
      </c>
      <c r="W730" s="20">
        <f t="shared" si="47"/>
        <v>0.16201467158523017</v>
      </c>
      <c r="X730" s="20">
        <f t="shared" si="48"/>
        <v>-6.3597091728092789E-3</v>
      </c>
      <c r="Y730" s="20">
        <f t="shared" si="49"/>
        <v>-8.527017518209945E-3</v>
      </c>
    </row>
    <row r="731" spans="22:25" x14ac:dyDescent="0.2">
      <c r="V731" s="18">
        <v>0.72899999999999998</v>
      </c>
      <c r="W731" s="20">
        <f t="shared" si="47"/>
        <v>0.16200830775162278</v>
      </c>
      <c r="X731" s="20">
        <f t="shared" si="48"/>
        <v>-6.36781870242039E-3</v>
      </c>
      <c r="Y731" s="20">
        <f t="shared" si="49"/>
        <v>-7.6909802992339849E-3</v>
      </c>
    </row>
    <row r="732" spans="22:25" x14ac:dyDescent="0.2">
      <c r="V732" s="18">
        <v>0.73</v>
      </c>
      <c r="W732" s="20">
        <f t="shared" si="47"/>
        <v>0.1620019362275657</v>
      </c>
      <c r="X732" s="20">
        <f t="shared" si="48"/>
        <v>-6.3750890112665645E-3</v>
      </c>
      <c r="Y732" s="20">
        <f t="shared" si="49"/>
        <v>-6.8485766616053212E-3</v>
      </c>
    </row>
    <row r="733" spans="22:25" x14ac:dyDescent="0.2">
      <c r="V733" s="18">
        <v>0.73099999999999998</v>
      </c>
      <c r="W733" s="20">
        <f t="shared" si="47"/>
        <v>0.16199555785546205</v>
      </c>
      <c r="X733" s="20">
        <f t="shared" si="48"/>
        <v>-6.381513734975329E-3</v>
      </c>
      <c r="Y733" s="20">
        <f t="shared" si="49"/>
        <v>-5.9998107243099952E-3</v>
      </c>
    </row>
    <row r="734" spans="22:25" x14ac:dyDescent="0.2">
      <c r="V734" s="18">
        <v>0.73199999999999998</v>
      </c>
      <c r="W734" s="20">
        <f t="shared" si="47"/>
        <v>0.16198917348407746</v>
      </c>
      <c r="X734" s="20">
        <f t="shared" si="48"/>
        <v>-6.3870865133729068E-3</v>
      </c>
      <c r="Y734" s="20">
        <f t="shared" si="49"/>
        <v>-5.1446867673048402E-3</v>
      </c>
    </row>
    <row r="735" spans="22:25" x14ac:dyDescent="0.2">
      <c r="V735" s="18">
        <v>0.73299999999999998</v>
      </c>
      <c r="W735" s="20">
        <f t="shared" si="47"/>
        <v>0.16198278396853566</v>
      </c>
      <c r="X735" s="20">
        <f t="shared" si="48"/>
        <v>-6.3918009906483095E-3</v>
      </c>
      <c r="Y735" s="20">
        <f t="shared" si="49"/>
        <v>-4.283209231503271E-3</v>
      </c>
    </row>
    <row r="736" spans="22:25" x14ac:dyDescent="0.2">
      <c r="V736" s="18">
        <v>0.73399999999999999</v>
      </c>
      <c r="W736" s="20">
        <f t="shared" si="47"/>
        <v>0.16197639017031379</v>
      </c>
      <c r="X736" s="20">
        <f t="shared" si="48"/>
        <v>-6.395650815509156E-3</v>
      </c>
      <c r="Y736" s="20">
        <f t="shared" si="49"/>
        <v>-3.4153827188045938E-3</v>
      </c>
    </row>
    <row r="737" spans="22:25" x14ac:dyDescent="0.2">
      <c r="V737" s="18">
        <v>0.73499999999999999</v>
      </c>
      <c r="W737" s="20">
        <f t="shared" si="47"/>
        <v>0.1619699929572378</v>
      </c>
      <c r="X737" s="20">
        <f t="shared" si="48"/>
        <v>-6.3986296413461527E-3</v>
      </c>
      <c r="Y737" s="20">
        <f t="shared" si="49"/>
        <v>-2.5412119920620313E-3</v>
      </c>
    </row>
    <row r="738" spans="22:25" x14ac:dyDescent="0.2">
      <c r="V738" s="18">
        <v>0.73599999999999999</v>
      </c>
      <c r="W738" s="20">
        <f t="shared" si="47"/>
        <v>0.16196359320347806</v>
      </c>
      <c r="X738" s="20">
        <f t="shared" si="48"/>
        <v>-6.4007311263945196E-3</v>
      </c>
      <c r="Y738" s="20">
        <f t="shared" si="49"/>
        <v>-1.6607019751058161E-3</v>
      </c>
    </row>
    <row r="739" spans="22:25" x14ac:dyDescent="0.2">
      <c r="V739" s="18">
        <v>0.73699999999999999</v>
      </c>
      <c r="W739" s="20">
        <f t="shared" si="47"/>
        <v>0.16195719178954418</v>
      </c>
      <c r="X739" s="20">
        <f t="shared" si="48"/>
        <v>-6.4019489338926414E-3</v>
      </c>
      <c r="Y739" s="20">
        <f t="shared" si="49"/>
        <v>-7.7385775272897916E-4</v>
      </c>
    </row>
    <row r="740" spans="22:25" x14ac:dyDescent="0.2">
      <c r="V740" s="21">
        <v>0.73799999999999999</v>
      </c>
      <c r="W740" s="22">
        <f t="shared" si="47"/>
        <v>0.16195078960228004</v>
      </c>
      <c r="X740" s="22">
        <f t="shared" si="48"/>
        <v>-6.4022767322448257E-3</v>
      </c>
      <c r="Y740" s="22">
        <f t="shared" si="49"/>
        <v>1.1931542930465611E-4</v>
      </c>
    </row>
    <row r="741" spans="22:25" x14ac:dyDescent="0.2">
      <c r="V741" s="18">
        <v>0.73899999999999999</v>
      </c>
      <c r="W741" s="20">
        <f t="shared" si="47"/>
        <v>0.16194438753485824</v>
      </c>
      <c r="X741" s="20">
        <f t="shared" si="48"/>
        <v>-6.4017081951810648E-3</v>
      </c>
      <c r="Y741" s="20">
        <f t="shared" si="49"/>
        <v>1.0188121642622505E-3</v>
      </c>
    </row>
    <row r="742" spans="22:25" x14ac:dyDescent="0.2">
      <c r="V742" s="18">
        <v>0.74</v>
      </c>
      <c r="W742" s="20">
        <f t="shared" si="47"/>
        <v>0.16193798648677518</v>
      </c>
      <c r="X742" s="20">
        <f t="shared" si="48"/>
        <v>-6.4002370019193497E-3</v>
      </c>
      <c r="Y742" s="20">
        <f t="shared" si="49"/>
        <v>1.9246268844428371E-3</v>
      </c>
    </row>
    <row r="743" spans="22:25" x14ac:dyDescent="0.2">
      <c r="V743" s="18">
        <v>0.74099999999999999</v>
      </c>
      <c r="W743" s="20">
        <f t="shared" si="47"/>
        <v>0.16193158736384491</v>
      </c>
      <c r="X743" s="20">
        <f t="shared" si="48"/>
        <v>-6.3978568373252095E-3</v>
      </c>
      <c r="Y743" s="20">
        <f t="shared" si="49"/>
        <v>2.8367538611782095E-3</v>
      </c>
    </row>
    <row r="744" spans="22:25" x14ac:dyDescent="0.2">
      <c r="V744" s="18">
        <v>0.74199999999999999</v>
      </c>
      <c r="W744" s="20">
        <f t="shared" si="47"/>
        <v>0.16192519107819414</v>
      </c>
      <c r="X744" s="20">
        <f t="shared" si="48"/>
        <v>-6.3945613920735819E-3</v>
      </c>
      <c r="Y744" s="20">
        <f t="shared" si="49"/>
        <v>3.7551872048329216E-3</v>
      </c>
    </row>
    <row r="745" spans="22:25" x14ac:dyDescent="0.2">
      <c r="V745" s="18">
        <v>0.74299999999999999</v>
      </c>
      <c r="W745" s="20">
        <f t="shared" si="47"/>
        <v>0.1619187985482555</v>
      </c>
      <c r="X745" s="20">
        <f t="shared" si="48"/>
        <v>-6.3903443628086296E-3</v>
      </c>
      <c r="Y745" s="20">
        <f t="shared" si="49"/>
        <v>4.6799208647989587E-3</v>
      </c>
    </row>
    <row r="746" spans="22:25" x14ac:dyDescent="0.2">
      <c r="V746" s="18">
        <v>0.74399999999999999</v>
      </c>
      <c r="W746" s="20">
        <f t="shared" si="47"/>
        <v>0.1619124106987623</v>
      </c>
      <c r="X746" s="20">
        <f t="shared" si="48"/>
        <v>-6.3851994523066655E-3</v>
      </c>
      <c r="Y746" s="20">
        <f t="shared" si="49"/>
        <v>5.6109486295046196E-3</v>
      </c>
    </row>
    <row r="747" spans="22:25" x14ac:dyDescent="0.2">
      <c r="V747" s="18">
        <v>0.745</v>
      </c>
      <c r="W747" s="20">
        <f t="shared" si="47"/>
        <v>0.16190602846074162</v>
      </c>
      <c r="X747" s="20">
        <f t="shared" si="48"/>
        <v>-6.3791203696369134E-3</v>
      </c>
      <c r="Y747" s="20">
        <f t="shared" si="49"/>
        <v>6.5482641264091868E-3</v>
      </c>
    </row>
    <row r="748" spans="22:25" x14ac:dyDescent="0.2">
      <c r="V748" s="18">
        <v>0.746</v>
      </c>
      <c r="W748" s="20">
        <f t="shared" si="47"/>
        <v>0.16189965277150858</v>
      </c>
      <c r="X748" s="20">
        <f t="shared" si="48"/>
        <v>-6.3721008303194923E-3</v>
      </c>
      <c r="Y748" s="20">
        <f t="shared" si="49"/>
        <v>7.4918608220002625E-3</v>
      </c>
    </row>
    <row r="749" spans="22:25" x14ac:dyDescent="0.2">
      <c r="V749" s="18">
        <v>0.747</v>
      </c>
      <c r="W749" s="20">
        <f t="shared" si="47"/>
        <v>0.16189328457465926</v>
      </c>
      <c r="X749" s="20">
        <f t="shared" si="48"/>
        <v>-6.3641345564892857E-3</v>
      </c>
      <c r="Y749" s="20">
        <f t="shared" si="49"/>
        <v>8.4417320218026504E-3</v>
      </c>
    </row>
    <row r="750" spans="22:25" x14ac:dyDescent="0.2">
      <c r="V750" s="18">
        <v>0.748</v>
      </c>
      <c r="W750" s="20">
        <f t="shared" si="47"/>
        <v>0.16188692482006437</v>
      </c>
      <c r="X750" s="20">
        <f t="shared" si="48"/>
        <v>-6.3552152770579226E-3</v>
      </c>
      <c r="Y750" s="20">
        <f t="shared" si="49"/>
        <v>9.397870870366809E-3</v>
      </c>
    </row>
    <row r="751" spans="22:25" x14ac:dyDescent="0.2">
      <c r="V751" s="18">
        <v>0.749</v>
      </c>
      <c r="W751" s="20">
        <f t="shared" si="47"/>
        <v>0.16188057446386192</v>
      </c>
      <c r="X751" s="20">
        <f t="shared" si="48"/>
        <v>-6.3453367278700976E-3</v>
      </c>
      <c r="Y751" s="20">
        <f t="shared" si="49"/>
        <v>1.0360270351276846E-2</v>
      </c>
    </row>
    <row r="752" spans="22:25" x14ac:dyDescent="0.2">
      <c r="V752" s="18">
        <v>0.75</v>
      </c>
      <c r="W752" s="20">
        <f t="shared" si="47"/>
        <v>0.16187423446845089</v>
      </c>
      <c r="X752" s="20">
        <f t="shared" si="48"/>
        <v>-6.3344926518684383E-3</v>
      </c>
      <c r="Y752" s="20">
        <f t="shared" si="49"/>
        <v>1.1328923287150516E-2</v>
      </c>
    </row>
    <row r="753" spans="22:25" x14ac:dyDescent="0.2">
      <c r="V753" s="18">
        <v>0.751</v>
      </c>
      <c r="W753" s="20">
        <f t="shared" si="47"/>
        <v>0.16186790580248375</v>
      </c>
      <c r="X753" s="20">
        <f t="shared" si="48"/>
        <v>-6.3226767992544883E-3</v>
      </c>
      <c r="Y753" s="20">
        <f t="shared" si="49"/>
        <v>1.2303822339637449E-2</v>
      </c>
    </row>
    <row r="754" spans="22:25" x14ac:dyDescent="0.2">
      <c r="V754" s="18">
        <v>0.752</v>
      </c>
      <c r="W754" s="20">
        <f t="shared" si="47"/>
        <v>0.16186158944085882</v>
      </c>
      <c r="X754" s="20">
        <f t="shared" si="48"/>
        <v>-6.3098829276485233E-3</v>
      </c>
      <c r="Y754" s="20">
        <f t="shared" si="49"/>
        <v>1.3284960009417368E-2</v>
      </c>
    </row>
    <row r="755" spans="22:25" x14ac:dyDescent="0.2">
      <c r="V755" s="18">
        <v>0.753</v>
      </c>
      <c r="W755" s="20">
        <f t="shared" si="47"/>
        <v>0.16185528636471314</v>
      </c>
      <c r="X755" s="20">
        <f t="shared" si="48"/>
        <v>-6.2961048022487018E-3</v>
      </c>
      <c r="Y755" s="20">
        <f t="shared" si="49"/>
        <v>1.4272328636200982E-2</v>
      </c>
    </row>
    <row r="756" spans="22:25" x14ac:dyDescent="0.2">
      <c r="V756" s="18">
        <v>0.754</v>
      </c>
      <c r="W756" s="20">
        <f t="shared" si="47"/>
        <v>0.16184899756141469</v>
      </c>
      <c r="X756" s="20">
        <f t="shared" si="48"/>
        <v>-6.2813361959951561E-3</v>
      </c>
      <c r="Y756" s="20">
        <f t="shared" si="49"/>
        <v>1.5265920398733535E-2</v>
      </c>
    </row>
    <row r="757" spans="22:25" x14ac:dyDescent="0.2">
      <c r="V757" s="18">
        <v>0.755</v>
      </c>
      <c r="W757" s="20">
        <f t="shared" si="47"/>
        <v>0.16184272402455457</v>
      </c>
      <c r="X757" s="20">
        <f t="shared" si="48"/>
        <v>-6.2655708897310855E-3</v>
      </c>
      <c r="Y757" s="20">
        <f t="shared" si="49"/>
        <v>1.6265727314784151E-2</v>
      </c>
    </row>
    <row r="758" spans="22:25" x14ac:dyDescent="0.2">
      <c r="V758" s="18">
        <v>0.75600000000000001</v>
      </c>
      <c r="W758" s="20">
        <f t="shared" si="47"/>
        <v>0.16183646675393901</v>
      </c>
      <c r="X758" s="20">
        <f t="shared" si="48"/>
        <v>-6.2488026723606302E-3</v>
      </c>
      <c r="Y758" s="20">
        <f t="shared" si="49"/>
        <v>1.7271741241168925E-2</v>
      </c>
    </row>
    <row r="759" spans="22:25" x14ac:dyDescent="0.2">
      <c r="V759" s="18">
        <v>0.75700000000000001</v>
      </c>
      <c r="W759" s="20">
        <f t="shared" si="47"/>
        <v>0.16183022675558129</v>
      </c>
      <c r="X759" s="20">
        <f t="shared" si="48"/>
        <v>-6.2310253410121849E-3</v>
      </c>
      <c r="Y759" s="20">
        <f t="shared" si="49"/>
        <v>1.8283953873721615E-2</v>
      </c>
    </row>
    <row r="760" spans="22:25" x14ac:dyDescent="0.2">
      <c r="V760" s="18">
        <v>0.75800000000000001</v>
      </c>
      <c r="W760" s="20">
        <f t="shared" si="47"/>
        <v>0.16182400504169328</v>
      </c>
      <c r="X760" s="20">
        <f t="shared" si="48"/>
        <v>-6.2122327011978271E-3</v>
      </c>
      <c r="Y760" s="20">
        <f t="shared" si="49"/>
        <v>1.9302356747308735E-2</v>
      </c>
    </row>
    <row r="761" spans="22:25" x14ac:dyDescent="0.2">
      <c r="V761" s="18">
        <v>0.75900000000000001</v>
      </c>
      <c r="W761" s="20">
        <f t="shared" si="47"/>
        <v>0.16181780263067713</v>
      </c>
      <c r="X761" s="20">
        <f t="shared" si="48"/>
        <v>-6.1924185669772966E-3</v>
      </c>
      <c r="Y761" s="20">
        <f t="shared" si="49"/>
        <v>2.0326941235838447E-2</v>
      </c>
    </row>
    <row r="762" spans="22:25" x14ac:dyDescent="0.2">
      <c r="V762" s="18">
        <v>0.76</v>
      </c>
      <c r="W762" s="20">
        <f t="shared" si="47"/>
        <v>0.16181162054711667</v>
      </c>
      <c r="X762" s="20">
        <f t="shared" si="48"/>
        <v>-6.1715767611152036E-3</v>
      </c>
      <c r="Y762" s="20">
        <f t="shared" si="49"/>
        <v>2.1357698552241011E-2</v>
      </c>
    </row>
    <row r="763" spans="22:25" x14ac:dyDescent="0.2">
      <c r="V763" s="18">
        <v>0.76100000000000001</v>
      </c>
      <c r="W763" s="20">
        <f t="shared" si="47"/>
        <v>0.16180545982176825</v>
      </c>
      <c r="X763" s="20">
        <f t="shared" si="48"/>
        <v>-6.1497011152441758E-3</v>
      </c>
      <c r="Y763" s="20">
        <f t="shared" si="49"/>
        <v>2.239461974848389E-2</v>
      </c>
    </row>
    <row r="764" spans="22:25" x14ac:dyDescent="0.2">
      <c r="V764" s="18">
        <v>0.76200000000000001</v>
      </c>
      <c r="W764" s="20">
        <f t="shared" si="47"/>
        <v>0.16179932149155268</v>
      </c>
      <c r="X764" s="20">
        <f t="shared" si="48"/>
        <v>-6.1267854700262289E-3</v>
      </c>
      <c r="Y764" s="20">
        <f t="shared" si="49"/>
        <v>2.3437695715561091E-2</v>
      </c>
    </row>
    <row r="765" spans="22:25" x14ac:dyDescent="0.2">
      <c r="V765" s="18">
        <v>0.76300000000000001</v>
      </c>
      <c r="W765" s="20">
        <f t="shared" si="47"/>
        <v>0.16179320659954488</v>
      </c>
      <c r="X765" s="20">
        <f t="shared" si="48"/>
        <v>-6.1028236753108631E-3</v>
      </c>
      <c r="Y765" s="20">
        <f t="shared" si="49"/>
        <v>2.4486917183502044E-2</v>
      </c>
    </row>
    <row r="766" spans="22:25" x14ac:dyDescent="0.2">
      <c r="V766" s="18">
        <v>0.76400000000000001</v>
      </c>
      <c r="W766" s="20">
        <f t="shared" si="47"/>
        <v>0.16178711619496558</v>
      </c>
      <c r="X766" s="20">
        <f t="shared" si="48"/>
        <v>-6.0778095903008186E-3</v>
      </c>
      <c r="Y766" s="20">
        <f t="shared" si="49"/>
        <v>2.5542274721368052E-2</v>
      </c>
    </row>
    <row r="767" spans="22:25" x14ac:dyDescent="0.2">
      <c r="V767" s="18">
        <v>0.76500000000000001</v>
      </c>
      <c r="W767" s="20">
        <f t="shared" si="47"/>
        <v>0.16178105133317161</v>
      </c>
      <c r="X767" s="20">
        <f t="shared" si="48"/>
        <v>-6.0517370837072856E-3</v>
      </c>
      <c r="Y767" s="20">
        <f t="shared" si="49"/>
        <v>2.660375873725318E-2</v>
      </c>
    </row>
    <row r="768" spans="22:25" x14ac:dyDescent="0.2">
      <c r="V768" s="18">
        <v>0.76600000000000001</v>
      </c>
      <c r="W768" s="20">
        <f t="shared" si="47"/>
        <v>0.16177501307564598</v>
      </c>
      <c r="X768" s="20">
        <f t="shared" si="48"/>
        <v>-6.024600033915882E-3</v>
      </c>
      <c r="Y768" s="20">
        <f t="shared" si="49"/>
        <v>2.7671359478276258E-2</v>
      </c>
    </row>
    <row r="769" spans="22:25" x14ac:dyDescent="0.2">
      <c r="V769" s="18">
        <v>0.76700000000000002</v>
      </c>
      <c r="W769" s="20">
        <f t="shared" si="47"/>
        <v>0.16176900248998874</v>
      </c>
      <c r="X769" s="20">
        <f t="shared" si="48"/>
        <v>-5.9963923291447493E-3</v>
      </c>
      <c r="Y769" s="20">
        <f t="shared" si="49"/>
        <v>2.8745067030595095E-2</v>
      </c>
    </row>
    <row r="770" spans="22:25" x14ac:dyDescent="0.2">
      <c r="V770" s="18">
        <v>0.76800000000000002</v>
      </c>
      <c r="W770" s="20">
        <f t="shared" si="47"/>
        <v>0.16176302064990677</v>
      </c>
      <c r="X770" s="20">
        <f t="shared" si="48"/>
        <v>-5.9671078676072006E-3</v>
      </c>
      <c r="Y770" s="20">
        <f t="shared" si="49"/>
        <v>2.9824871319399371E-2</v>
      </c>
    </row>
    <row r="771" spans="22:25" x14ac:dyDescent="0.2">
      <c r="V771" s="18">
        <v>0.76900000000000002</v>
      </c>
      <c r="W771" s="20">
        <f t="shared" ref="W771:W834" si="50" xml:space="preserve"> -0.223567093536985*V771^6 + 0.944228289125022*V771^5 - 1.39425331473467*V771^4 + 0.919786041369661*V771^3 - 0.280641903613287*V771^2 + 0.0398143416441599*V771 + 0.158710616051081</f>
        <v>0.16175706863520317</v>
      </c>
      <c r="X771" s="20">
        <f t="shared" ref="X771:X834" si="51" xml:space="preserve"> 6*-0.223567093536985*V771^5 + 5*0.944228289125022*V771^4 - 4*1.39425331473467*V771^3 + 3*0.919786041369661*V771^2 - 2*0.280641903613287*V771^1 + 0.0398143416441599</f>
        <v>-5.9367405576709262E-3</v>
      </c>
      <c r="Y771" s="20">
        <f t="shared" ref="Y771:Y834" si="52" xml:space="preserve"> 5*6*-0.223567093536985*V771^4 + 4*5*0.944228289125022*V771^3 - 3*4*1.39425331473467*V771^2 + 2*3*0.919786041369661*V771^1 - 2*0.280641903613287</f>
        <v>3.0910762108904422E-2</v>
      </c>
    </row>
    <row r="772" spans="22:25" x14ac:dyDescent="0.2">
      <c r="V772" s="18">
        <v>0.77</v>
      </c>
      <c r="W772" s="20">
        <f t="shared" si="50"/>
        <v>0.16175114753176811</v>
      </c>
      <c r="X772" s="20">
        <f t="shared" si="51"/>
        <v>-5.9052843180200307E-3</v>
      </c>
      <c r="Y772" s="20">
        <f t="shared" si="52"/>
        <v>3.2002729002362784E-2</v>
      </c>
    </row>
    <row r="773" spans="22:25" x14ac:dyDescent="0.2">
      <c r="V773" s="18">
        <v>0.77100000000000002</v>
      </c>
      <c r="W773" s="20">
        <f t="shared" si="50"/>
        <v>0.16174525843156751</v>
      </c>
      <c r="X773" s="20">
        <f t="shared" si="51"/>
        <v>-5.872733077815738E-3</v>
      </c>
      <c r="Y773" s="20">
        <f t="shared" si="52"/>
        <v>3.3100761442053539E-2</v>
      </c>
    </row>
    <row r="774" spans="22:25" x14ac:dyDescent="0.2">
      <c r="V774" s="18">
        <v>0.77200000000000002</v>
      </c>
      <c r="W774" s="20">
        <f t="shared" si="50"/>
        <v>0.16173940243263285</v>
      </c>
      <c r="X774" s="20">
        <f t="shared" si="51"/>
        <v>-5.8390807768582617E-3</v>
      </c>
      <c r="Y774" s="20">
        <f t="shared" si="52"/>
        <v>3.4204848709292968E-2</v>
      </c>
    </row>
    <row r="775" spans="22:25" x14ac:dyDescent="0.2">
      <c r="V775" s="18">
        <v>0.77300000000000002</v>
      </c>
      <c r="W775" s="20">
        <f t="shared" si="50"/>
        <v>0.16173358063905061</v>
      </c>
      <c r="X775" s="20">
        <f t="shared" si="51"/>
        <v>-5.8043213657461221E-3</v>
      </c>
      <c r="Y775" s="20">
        <f t="shared" si="52"/>
        <v>3.5314979924430112E-2</v>
      </c>
    </row>
    <row r="776" spans="22:25" x14ac:dyDescent="0.2">
      <c r="V776" s="18">
        <v>0.77400000000000002</v>
      </c>
      <c r="W776" s="20">
        <f t="shared" si="50"/>
        <v>0.16172779416095098</v>
      </c>
      <c r="X776" s="20">
        <f t="shared" si="51"/>
        <v>-5.7684488060382386E-3</v>
      </c>
      <c r="Y776" s="20">
        <f t="shared" si="52"/>
        <v>3.6431144046835229E-2</v>
      </c>
    </row>
    <row r="777" spans="22:25" x14ac:dyDescent="0.2">
      <c r="V777" s="18">
        <v>0.77500000000000002</v>
      </c>
      <c r="W777" s="20">
        <f t="shared" si="50"/>
        <v>0.16172204411449723</v>
      </c>
      <c r="X777" s="20">
        <f t="shared" si="51"/>
        <v>-5.7314570704150233E-3</v>
      </c>
      <c r="Y777" s="20">
        <f t="shared" si="52"/>
        <v>3.7553329874920216E-2</v>
      </c>
    </row>
    <row r="778" spans="22:25" x14ac:dyDescent="0.2">
      <c r="V778" s="18">
        <v>0.77600000000000002</v>
      </c>
      <c r="W778" s="20">
        <f t="shared" si="50"/>
        <v>0.16171633162187424</v>
      </c>
      <c r="X778" s="20">
        <f t="shared" si="51"/>
        <v>-5.6933401428391414E-3</v>
      </c>
      <c r="Y778" s="20">
        <f t="shared" si="52"/>
        <v>3.8681526046128845E-2</v>
      </c>
    </row>
    <row r="779" spans="22:25" x14ac:dyDescent="0.2">
      <c r="V779" s="18">
        <v>0.77700000000000002</v>
      </c>
      <c r="W779" s="20">
        <f t="shared" si="50"/>
        <v>0.16171065781127722</v>
      </c>
      <c r="X779" s="20">
        <f t="shared" si="51"/>
        <v>-5.6540920187146057E-3</v>
      </c>
      <c r="Y779" s="20">
        <f t="shared" si="52"/>
        <v>3.9815721036927876E-2</v>
      </c>
    </row>
    <row r="780" spans="22:25" x14ac:dyDescent="0.2">
      <c r="V780" s="18">
        <v>0.77800000000000002</v>
      </c>
      <c r="W780" s="20">
        <f t="shared" si="50"/>
        <v>0.16170502381690005</v>
      </c>
      <c r="X780" s="20">
        <f t="shared" si="51"/>
        <v>-5.613706705051312E-3</v>
      </c>
      <c r="Y780" s="20">
        <f t="shared" si="52"/>
        <v>4.0955903162825713E-2</v>
      </c>
    </row>
    <row r="781" spans="22:25" x14ac:dyDescent="0.2">
      <c r="V781" s="18">
        <v>0.77900000000000003</v>
      </c>
      <c r="W781" s="20">
        <f t="shared" si="50"/>
        <v>0.16169943077892418</v>
      </c>
      <c r="X781" s="20">
        <f t="shared" si="51"/>
        <v>-5.5721782206239676E-3</v>
      </c>
      <c r="Y781" s="20">
        <f t="shared" si="52"/>
        <v>4.2102060578355527E-2</v>
      </c>
    </row>
    <row r="782" spans="22:25" x14ac:dyDescent="0.2">
      <c r="V782" s="18">
        <v>0.78</v>
      </c>
      <c r="W782" s="20">
        <f t="shared" si="50"/>
        <v>0.16169387984350575</v>
      </c>
      <c r="X782" s="20">
        <f t="shared" si="51"/>
        <v>-5.5295005961319074E-3</v>
      </c>
      <c r="Y782" s="20">
        <f t="shared" si="52"/>
        <v>4.3254181277087689E-2</v>
      </c>
    </row>
    <row r="783" spans="22:25" x14ac:dyDescent="0.2">
      <c r="V783" s="18">
        <v>0.78100000000000003</v>
      </c>
      <c r="W783" s="20">
        <f t="shared" si="50"/>
        <v>0.16168837216276455</v>
      </c>
      <c r="X783" s="20">
        <f t="shared" si="51"/>
        <v>-5.4856678743627416E-3</v>
      </c>
      <c r="Y783" s="20">
        <f t="shared" si="52"/>
        <v>4.4412253091617337E-2</v>
      </c>
    </row>
    <row r="784" spans="22:25" x14ac:dyDescent="0.2">
      <c r="V784" s="18">
        <v>0.78200000000000003</v>
      </c>
      <c r="W784" s="20">
        <f t="shared" si="50"/>
        <v>0.16168290889477119</v>
      </c>
      <c r="X784" s="20">
        <f t="shared" si="51"/>
        <v>-5.4406741103516718E-3</v>
      </c>
      <c r="Y784" s="20">
        <f t="shared" si="52"/>
        <v>4.5576263693579477E-2</v>
      </c>
    </row>
    <row r="785" spans="22:25" x14ac:dyDescent="0.2">
      <c r="V785" s="18">
        <v>0.78300000000000003</v>
      </c>
      <c r="W785" s="20">
        <f t="shared" si="50"/>
        <v>0.16167749120353561</v>
      </c>
      <c r="X785" s="20">
        <f t="shared" si="51"/>
        <v>-5.3945133715413637E-3</v>
      </c>
      <c r="Y785" s="20">
        <f t="shared" si="52"/>
        <v>4.674620059363388E-2</v>
      </c>
    </row>
    <row r="786" spans="22:25" x14ac:dyDescent="0.2">
      <c r="V786" s="18">
        <v>0.78400000000000003</v>
      </c>
      <c r="W786" s="20">
        <f t="shared" si="50"/>
        <v>0.16167212025899327</v>
      </c>
      <c r="X786" s="20">
        <f t="shared" si="51"/>
        <v>-5.3471797379459271E-3</v>
      </c>
      <c r="Y786" s="20">
        <f t="shared" si="52"/>
        <v>4.7922051141473965E-2</v>
      </c>
    </row>
    <row r="787" spans="22:25" x14ac:dyDescent="0.2">
      <c r="V787" s="18">
        <v>0.78500000000000003</v>
      </c>
      <c r="W787" s="20">
        <f t="shared" si="50"/>
        <v>0.16166679723699376</v>
      </c>
      <c r="X787" s="20">
        <f t="shared" si="51"/>
        <v>-5.2986673023112316E-3</v>
      </c>
      <c r="Y787" s="20">
        <f t="shared" si="52"/>
        <v>4.9103802525829465E-2</v>
      </c>
    </row>
    <row r="788" spans="22:25" x14ac:dyDescent="0.2">
      <c r="V788" s="18">
        <v>0.78600000000000003</v>
      </c>
      <c r="W788" s="20">
        <f t="shared" si="50"/>
        <v>0.16166152331928754</v>
      </c>
      <c r="X788" s="20">
        <f t="shared" si="51"/>
        <v>-5.2489701702715594E-3</v>
      </c>
      <c r="Y788" s="20">
        <f t="shared" si="52"/>
        <v>5.0291441774454881E-2</v>
      </c>
    </row>
    <row r="789" spans="22:25" x14ac:dyDescent="0.2">
      <c r="V789" s="18">
        <v>0.78700000000000003</v>
      </c>
      <c r="W789" s="20">
        <f t="shared" si="50"/>
        <v>0.16165629969351264</v>
      </c>
      <c r="X789" s="20">
        <f t="shared" si="51"/>
        <v>-5.1980824605165829E-3</v>
      </c>
      <c r="Y789" s="20">
        <f t="shared" si="52"/>
        <v>5.1484955754136585E-2</v>
      </c>
    </row>
    <row r="790" spans="22:25" x14ac:dyDescent="0.2">
      <c r="V790" s="18">
        <v>0.78800000000000003</v>
      </c>
      <c r="W790" s="20">
        <f t="shared" si="50"/>
        <v>0.16165112755318184</v>
      </c>
      <c r="X790" s="20">
        <f t="shared" si="51"/>
        <v>-5.1459983049494049E-3</v>
      </c>
      <c r="Y790" s="20">
        <f t="shared" si="52"/>
        <v>5.2684331170705256E-2</v>
      </c>
    </row>
    <row r="791" spans="22:25" x14ac:dyDescent="0.2">
      <c r="V791" s="18">
        <v>0.78900000000000003</v>
      </c>
      <c r="W791" s="20">
        <f t="shared" si="50"/>
        <v>0.16164600809766974</v>
      </c>
      <c r="X791" s="20">
        <f t="shared" si="51"/>
        <v>-5.0927118488457088E-3</v>
      </c>
      <c r="Y791" s="20">
        <f t="shared" si="52"/>
        <v>5.3889554569002129E-2</v>
      </c>
    </row>
    <row r="792" spans="22:25" x14ac:dyDescent="0.2">
      <c r="V792" s="18">
        <v>0.79</v>
      </c>
      <c r="W792" s="20">
        <f t="shared" si="50"/>
        <v>0.16164094253219824</v>
      </c>
      <c r="X792" s="20">
        <f t="shared" si="51"/>
        <v>-5.0382172510205145E-3</v>
      </c>
      <c r="Y792" s="20">
        <f t="shared" si="52"/>
        <v>5.5100612332919852E-2</v>
      </c>
    </row>
    <row r="793" spans="22:25" x14ac:dyDescent="0.2">
      <c r="V793" s="18">
        <v>0.79100000000000004</v>
      </c>
      <c r="W793" s="20">
        <f t="shared" si="50"/>
        <v>0.16163593206782426</v>
      </c>
      <c r="X793" s="20">
        <f t="shared" si="51"/>
        <v>-4.9825086839823882E-3</v>
      </c>
      <c r="Y793" s="20">
        <f t="shared" si="52"/>
        <v>5.6317490685370508E-2</v>
      </c>
    </row>
    <row r="794" spans="22:25" x14ac:dyDescent="0.2">
      <c r="V794" s="18">
        <v>0.79200000000000004</v>
      </c>
      <c r="W794" s="20">
        <f t="shared" si="50"/>
        <v>0.16163097792142475</v>
      </c>
      <c r="X794" s="20">
        <f t="shared" si="51"/>
        <v>-4.9255803340981993E-3</v>
      </c>
      <c r="Y794" s="20">
        <f t="shared" si="52"/>
        <v>5.7540175688304274E-2</v>
      </c>
    </row>
    <row r="795" spans="22:25" x14ac:dyDescent="0.2">
      <c r="V795" s="18">
        <v>0.79300000000000004</v>
      </c>
      <c r="W795" s="20">
        <f t="shared" si="50"/>
        <v>0.16162608131568362</v>
      </c>
      <c r="X795" s="20">
        <f t="shared" si="51"/>
        <v>-4.8674264017533261E-3</v>
      </c>
      <c r="Y795" s="20">
        <f t="shared" si="52"/>
        <v>5.8768653242696089E-2</v>
      </c>
    </row>
    <row r="796" spans="22:25" x14ac:dyDescent="0.2">
      <c r="V796" s="18">
        <v>0.79400000000000004</v>
      </c>
      <c r="W796" s="20">
        <f t="shared" si="50"/>
        <v>0.16162124347907733</v>
      </c>
      <c r="X796" s="20">
        <f t="shared" si="51"/>
        <v>-4.8080411015133037E-3</v>
      </c>
      <c r="Y796" s="20">
        <f t="shared" si="52"/>
        <v>6.0002909088561651E-2</v>
      </c>
    </row>
    <row r="797" spans="22:25" x14ac:dyDescent="0.2">
      <c r="V797" s="18">
        <v>0.79500000000000004</v>
      </c>
      <c r="W797" s="20">
        <f t="shared" si="50"/>
        <v>0.16161646564586052</v>
      </c>
      <c r="X797" s="20">
        <f t="shared" si="51"/>
        <v>-4.7474186622846956E-3</v>
      </c>
      <c r="Y797" s="20">
        <f t="shared" si="52"/>
        <v>6.1242928804943197E-2</v>
      </c>
    </row>
    <row r="798" spans="22:25" x14ac:dyDescent="0.2">
      <c r="V798" s="18">
        <v>0.79600000000000004</v>
      </c>
      <c r="W798" s="20">
        <f t="shared" si="50"/>
        <v>0.16161174905605158</v>
      </c>
      <c r="X798" s="20">
        <f t="shared" si="51"/>
        <v>-4.6855533274729674E-3</v>
      </c>
      <c r="Y798" s="20">
        <f t="shared" si="52"/>
        <v>6.2488697809913951E-2</v>
      </c>
    </row>
    <row r="799" spans="22:25" x14ac:dyDescent="0.2">
      <c r="V799" s="18">
        <v>0.79700000000000004</v>
      </c>
      <c r="W799" s="20">
        <f t="shared" si="50"/>
        <v>0.16160709495541825</v>
      </c>
      <c r="X799" s="20">
        <f t="shared" si="51"/>
        <v>-4.6224393551480766E-3</v>
      </c>
      <c r="Y799" s="20">
        <f t="shared" si="52"/>
        <v>6.3740201360579007E-2</v>
      </c>
    </row>
    <row r="800" spans="22:25" x14ac:dyDescent="0.2">
      <c r="V800" s="18">
        <v>0.79800000000000004</v>
      </c>
      <c r="W800" s="20">
        <f t="shared" si="50"/>
        <v>0.16160250459546288</v>
      </c>
      <c r="X800" s="20">
        <f t="shared" si="51"/>
        <v>-4.5580710182022907E-3</v>
      </c>
      <c r="Y800" s="20">
        <f t="shared" si="52"/>
        <v>6.4997424553076222E-2</v>
      </c>
    </row>
    <row r="801" spans="22:25" x14ac:dyDescent="0.2">
      <c r="V801" s="18">
        <v>0.79900000000000004</v>
      </c>
      <c r="W801" s="20">
        <f t="shared" si="50"/>
        <v>0.16159797923340755</v>
      </c>
      <c r="X801" s="20">
        <f t="shared" si="51"/>
        <v>-4.492442604513612E-3</v>
      </c>
      <c r="Y801" s="20">
        <f t="shared" si="52"/>
        <v>6.6260352322577987E-2</v>
      </c>
    </row>
    <row r="802" spans="22:25" x14ac:dyDescent="0.2">
      <c r="V802" s="18">
        <v>0.8</v>
      </c>
      <c r="W802" s="20">
        <f t="shared" si="50"/>
        <v>0.16159352013217854</v>
      </c>
      <c r="X802" s="20">
        <f t="shared" si="51"/>
        <v>-4.4255484171048728E-3</v>
      </c>
      <c r="Y802" s="20">
        <f t="shared" si="52"/>
        <v>6.7528969443285014E-2</v>
      </c>
    </row>
    <row r="803" spans="22:25" x14ac:dyDescent="0.2">
      <c r="V803" s="18">
        <v>0.80100000000000005</v>
      </c>
      <c r="W803" s="20">
        <f t="shared" si="50"/>
        <v>0.1615891285603919</v>
      </c>
      <c r="X803" s="20">
        <f t="shared" si="51"/>
        <v>-4.3573827743038293E-3</v>
      </c>
      <c r="Y803" s="20">
        <f t="shared" si="52"/>
        <v>6.8803260528429888E-2</v>
      </c>
    </row>
    <row r="804" spans="22:25" x14ac:dyDescent="0.2">
      <c r="V804" s="18">
        <v>0.80200000000000005</v>
      </c>
      <c r="W804" s="20">
        <f t="shared" si="50"/>
        <v>0.16158480579233739</v>
      </c>
      <c r="X804" s="20">
        <f t="shared" si="51"/>
        <v>-4.2879400099073636E-3</v>
      </c>
      <c r="Y804" s="20">
        <f t="shared" si="52"/>
        <v>7.0083210030277066E-2</v>
      </c>
    </row>
    <row r="805" spans="22:25" x14ac:dyDescent="0.2">
      <c r="V805" s="18">
        <v>0.80300000000000005</v>
      </c>
      <c r="W805" s="20">
        <f t="shared" si="50"/>
        <v>0.16158055310796299</v>
      </c>
      <c r="X805" s="20">
        <f t="shared" si="51"/>
        <v>-4.2172144733389136E-3</v>
      </c>
      <c r="Y805" s="20">
        <f t="shared" si="52"/>
        <v>7.1368802240121987E-2</v>
      </c>
    </row>
    <row r="806" spans="22:25" x14ac:dyDescent="0.2">
      <c r="V806" s="18">
        <v>0.80400000000000005</v>
      </c>
      <c r="W806" s="20">
        <f t="shared" si="50"/>
        <v>0.16157637179285989</v>
      </c>
      <c r="X806" s="20">
        <f t="shared" si="51"/>
        <v>-4.1452005298122305E-3</v>
      </c>
      <c r="Y806" s="20">
        <f t="shared" si="52"/>
        <v>7.2660021288291077E-2</v>
      </c>
    </row>
    <row r="807" spans="22:25" x14ac:dyDescent="0.2">
      <c r="V807" s="18">
        <v>0.80500000000000005</v>
      </c>
      <c r="W807" s="20">
        <f t="shared" si="50"/>
        <v>0.16157226313824555</v>
      </c>
      <c r="X807" s="20">
        <f t="shared" si="51"/>
        <v>-4.0718925604919173E-3</v>
      </c>
      <c r="Y807" s="20">
        <f t="shared" si="52"/>
        <v>7.3956851144150626E-2</v>
      </c>
    </row>
    <row r="808" spans="22:25" x14ac:dyDescent="0.2">
      <c r="V808" s="18">
        <v>0.80600000000000005</v>
      </c>
      <c r="W808" s="20">
        <f t="shared" si="50"/>
        <v>0.16156822844094867</v>
      </c>
      <c r="X808" s="20">
        <f t="shared" si="51"/>
        <v>-3.997284962650581E-3</v>
      </c>
      <c r="Y808" s="20">
        <f t="shared" si="52"/>
        <v>7.5259275616085475E-2</v>
      </c>
    </row>
    <row r="809" spans="22:25" x14ac:dyDescent="0.2">
      <c r="V809" s="18">
        <v>0.80700000000000005</v>
      </c>
      <c r="W809" s="20">
        <f t="shared" si="50"/>
        <v>0.16156426900339216</v>
      </c>
      <c r="X809" s="20">
        <f t="shared" si="51"/>
        <v>-3.9213721498364204E-3</v>
      </c>
      <c r="Y809" s="20">
        <f t="shared" si="52"/>
        <v>7.6567278351521217E-2</v>
      </c>
    </row>
    <row r="810" spans="22:25" x14ac:dyDescent="0.2">
      <c r="V810" s="18">
        <v>0.80800000000000005</v>
      </c>
      <c r="W810" s="20">
        <f t="shared" si="50"/>
        <v>0.16156038613357732</v>
      </c>
      <c r="X810" s="20">
        <f t="shared" si="51"/>
        <v>-3.8441485520286575E-3</v>
      </c>
      <c r="Y810" s="20">
        <f t="shared" si="52"/>
        <v>7.7880842836911768E-2</v>
      </c>
    </row>
    <row r="811" spans="22:25" x14ac:dyDescent="0.2">
      <c r="V811" s="18">
        <v>0.80900000000000005</v>
      </c>
      <c r="W811" s="20">
        <f t="shared" si="50"/>
        <v>0.16155658114506771</v>
      </c>
      <c r="X811" s="20">
        <f t="shared" si="51"/>
        <v>-3.7656086158024057E-3</v>
      </c>
      <c r="Y811" s="20">
        <f t="shared" si="52"/>
        <v>7.9199952397747353E-2</v>
      </c>
    </row>
    <row r="812" spans="22:25" x14ac:dyDescent="0.2">
      <c r="V812" s="18">
        <v>0.81</v>
      </c>
      <c r="W812" s="20">
        <f t="shared" si="50"/>
        <v>0.16155285535697103</v>
      </c>
      <c r="X812" s="20">
        <f t="shared" si="51"/>
        <v>-3.6857468044849892E-3</v>
      </c>
      <c r="Y812" s="20">
        <f t="shared" si="52"/>
        <v>8.0524590198540302E-2</v>
      </c>
    </row>
    <row r="813" spans="22:25" x14ac:dyDescent="0.2">
      <c r="V813" s="18">
        <v>0.81100000000000005</v>
      </c>
      <c r="W813" s="20">
        <f t="shared" si="50"/>
        <v>0.16154921009392392</v>
      </c>
      <c r="X813" s="20">
        <f t="shared" si="51"/>
        <v>-3.6045575983223652E-3</v>
      </c>
      <c r="Y813" s="20">
        <f t="shared" si="52"/>
        <v>8.1854739242847252E-2</v>
      </c>
    </row>
    <row r="814" spans="22:25" x14ac:dyDescent="0.2">
      <c r="V814" s="18">
        <v>0.81200000000000006</v>
      </c>
      <c r="W814" s="20">
        <f t="shared" si="50"/>
        <v>0.1615456466860738</v>
      </c>
      <c r="X814" s="20">
        <f t="shared" si="51"/>
        <v>-3.5220354946354435E-3</v>
      </c>
      <c r="Y814" s="20">
        <f t="shared" si="52"/>
        <v>8.31903823732425E-2</v>
      </c>
    </row>
    <row r="815" spans="22:25" x14ac:dyDescent="0.2">
      <c r="V815" s="18">
        <v>0.81299999999999994</v>
      </c>
      <c r="W815" s="20">
        <f t="shared" si="50"/>
        <v>0.16154216646906239</v>
      </c>
      <c r="X815" s="20">
        <f t="shared" si="51"/>
        <v>-3.4381750079846771E-3</v>
      </c>
      <c r="Y815" s="20">
        <f t="shared" si="52"/>
        <v>8.4531502271342873E-2</v>
      </c>
    </row>
    <row r="816" spans="22:25" x14ac:dyDescent="0.2">
      <c r="V816" s="18">
        <v>0.81399999999999995</v>
      </c>
      <c r="W816" s="20">
        <f t="shared" si="50"/>
        <v>0.16153877078400825</v>
      </c>
      <c r="X816" s="20">
        <f t="shared" si="51"/>
        <v>-3.3529706703279358E-3</v>
      </c>
      <c r="Y816" s="20">
        <f t="shared" si="52"/>
        <v>8.587808145779352E-2</v>
      </c>
    </row>
    <row r="817" spans="22:25" x14ac:dyDescent="0.2">
      <c r="V817" s="18">
        <v>0.81499999999999995</v>
      </c>
      <c r="W817" s="20">
        <f t="shared" si="50"/>
        <v>0.16153546097748919</v>
      </c>
      <c r="X817" s="20">
        <f t="shared" si="51"/>
        <v>-3.2664170311845972E-3</v>
      </c>
      <c r="Y817" s="20">
        <f t="shared" si="52"/>
        <v>8.7230102292272349E-2</v>
      </c>
    </row>
    <row r="818" spans="22:25" x14ac:dyDescent="0.2">
      <c r="V818" s="18">
        <v>0.81599999999999995</v>
      </c>
      <c r="W818" s="20">
        <f t="shared" si="50"/>
        <v>0.16153223840152425</v>
      </c>
      <c r="X818" s="20">
        <f t="shared" si="51"/>
        <v>-3.1785086577929764E-3</v>
      </c>
      <c r="Y818" s="20">
        <f t="shared" si="52"/>
        <v>8.8587546973485587E-2</v>
      </c>
    </row>
    <row r="819" spans="22:25" x14ac:dyDescent="0.2">
      <c r="V819" s="18">
        <v>0.81699999999999995</v>
      </c>
      <c r="W819" s="20">
        <f t="shared" si="50"/>
        <v>0.16152910441355681</v>
      </c>
      <c r="X819" s="20">
        <f t="shared" si="51"/>
        <v>-3.0892401352744722E-3</v>
      </c>
      <c r="Y819" s="20">
        <f t="shared" si="52"/>
        <v>8.9950397539173998E-2</v>
      </c>
    </row>
    <row r="820" spans="22:25" x14ac:dyDescent="0.2">
      <c r="V820" s="18">
        <v>0.81799999999999995</v>
      </c>
      <c r="W820" s="20">
        <f t="shared" si="50"/>
        <v>0.16152606037643588</v>
      </c>
      <c r="X820" s="20">
        <f t="shared" si="51"/>
        <v>-2.9986060667923295E-3</v>
      </c>
      <c r="Y820" s="20">
        <f t="shared" si="52"/>
        <v>9.131863586611022E-2</v>
      </c>
    </row>
    <row r="821" spans="22:25" x14ac:dyDescent="0.2">
      <c r="V821" s="18">
        <v>0.81899999999999995</v>
      </c>
      <c r="W821" s="20">
        <f t="shared" si="50"/>
        <v>0.16152310765839825</v>
      </c>
      <c r="X821" s="20">
        <f t="shared" si="51"/>
        <v>-2.9066010737145084E-3</v>
      </c>
      <c r="Y821" s="20">
        <f t="shared" si="52"/>
        <v>9.2692243670093433E-2</v>
      </c>
    </row>
    <row r="822" spans="22:25" x14ac:dyDescent="0.2">
      <c r="V822" s="18">
        <v>0.82</v>
      </c>
      <c r="W822" s="20">
        <f t="shared" si="50"/>
        <v>0.16152024763305031</v>
      </c>
      <c r="X822" s="20">
        <f t="shared" si="51"/>
        <v>-2.8132197957728908E-3</v>
      </c>
      <c r="Y822" s="20">
        <f t="shared" si="52"/>
        <v>9.4071202505967122E-2</v>
      </c>
    </row>
    <row r="823" spans="22:25" x14ac:dyDescent="0.2">
      <c r="V823" s="18">
        <v>0.82099999999999995</v>
      </c>
      <c r="W823" s="20">
        <f t="shared" si="50"/>
        <v>0.16151748167934921</v>
      </c>
      <c r="X823" s="20">
        <f t="shared" si="51"/>
        <v>-2.7184568912261495E-3</v>
      </c>
      <c r="Y823" s="20">
        <f t="shared" si="52"/>
        <v>9.545549376759066E-2</v>
      </c>
    </row>
    <row r="824" spans="22:25" x14ac:dyDescent="0.2">
      <c r="V824" s="18">
        <v>0.82199999999999995</v>
      </c>
      <c r="W824" s="20">
        <f t="shared" si="50"/>
        <v>0.16151481118158462</v>
      </c>
      <c r="X824" s="20">
        <f t="shared" si="51"/>
        <v>-2.6223070370165122E-3</v>
      </c>
      <c r="Y824" s="20">
        <f t="shared" si="52"/>
        <v>9.6845098687862397E-2</v>
      </c>
    </row>
    <row r="825" spans="22:25" x14ac:dyDescent="0.2">
      <c r="V825" s="18">
        <v>0.82299999999999995</v>
      </c>
      <c r="W825" s="20">
        <f t="shared" si="50"/>
        <v>0.16151223752935986</v>
      </c>
      <c r="X825" s="20">
        <f t="shared" si="51"/>
        <v>-2.5247649289377935E-3</v>
      </c>
      <c r="Y825" s="20">
        <f t="shared" si="52"/>
        <v>9.8239998338717882E-2</v>
      </c>
    </row>
    <row r="826" spans="22:25" x14ac:dyDescent="0.2">
      <c r="V826" s="18">
        <v>0.82399999999999995</v>
      </c>
      <c r="W826" s="20">
        <f t="shared" si="50"/>
        <v>0.16150976211757326</v>
      </c>
      <c r="X826" s="20">
        <f t="shared" si="51"/>
        <v>-2.4258252817898826E-3</v>
      </c>
      <c r="Y826" s="20">
        <f t="shared" si="52"/>
        <v>9.9640173631115658E-2</v>
      </c>
    </row>
    <row r="827" spans="22:25" x14ac:dyDescent="0.2">
      <c r="V827" s="18">
        <v>0.82499999999999996</v>
      </c>
      <c r="W827" s="20">
        <f t="shared" si="50"/>
        <v>0.1615073863463983</v>
      </c>
      <c r="X827" s="20">
        <f t="shared" si="51"/>
        <v>-2.3254828295432781E-3</v>
      </c>
      <c r="Y827" s="20">
        <f t="shared" si="52"/>
        <v>0.10104560531505324</v>
      </c>
    </row>
    <row r="828" spans="22:25" x14ac:dyDescent="0.2">
      <c r="V828" s="18">
        <v>0.82599999999999996</v>
      </c>
      <c r="W828" s="20">
        <f t="shared" si="50"/>
        <v>0.16150511162126499</v>
      </c>
      <c r="X828" s="20">
        <f t="shared" si="51"/>
        <v>-2.2237323254981831E-3</v>
      </c>
      <c r="Y828" s="20">
        <f t="shared" si="52"/>
        <v>0.10245627397954937</v>
      </c>
    </row>
    <row r="829" spans="22:25" x14ac:dyDescent="0.2">
      <c r="V829" s="18">
        <v>0.82699999999999996</v>
      </c>
      <c r="W829" s="20">
        <f t="shared" si="50"/>
        <v>0.16150293935284055</v>
      </c>
      <c r="X829" s="20">
        <f t="shared" si="51"/>
        <v>-2.1205685424468199E-3</v>
      </c>
      <c r="Y829" s="20">
        <f t="shared" si="52"/>
        <v>0.10387216005266442</v>
      </c>
    </row>
    <row r="830" spans="22:25" x14ac:dyDescent="0.2">
      <c r="V830" s="18">
        <v>0.82799999999999996</v>
      </c>
      <c r="W830" s="20">
        <f t="shared" si="50"/>
        <v>0.16150087095700916</v>
      </c>
      <c r="X830" s="20">
        <f t="shared" si="51"/>
        <v>-2.0159862728325248E-3</v>
      </c>
      <c r="Y830" s="20">
        <f t="shared" si="52"/>
        <v>0.10529324380148619</v>
      </c>
    </row>
    <row r="831" spans="22:25" x14ac:dyDescent="0.2">
      <c r="V831" s="18">
        <v>0.82899999999999996</v>
      </c>
      <c r="W831" s="20">
        <f t="shared" si="50"/>
        <v>0.16149890785485321</v>
      </c>
      <c r="X831" s="20">
        <f t="shared" si="51"/>
        <v>-1.9099803289140613E-3</v>
      </c>
      <c r="Y831" s="20">
        <f t="shared" si="52"/>
        <v>0.10671950533213703</v>
      </c>
    </row>
    <row r="832" spans="22:25" x14ac:dyDescent="0.2">
      <c r="V832" s="18">
        <v>0.83</v>
      </c>
      <c r="W832" s="20">
        <f t="shared" si="50"/>
        <v>0.16149705147263221</v>
      </c>
      <c r="X832" s="20">
        <f t="shared" si="51"/>
        <v>-1.8025455429238266E-3</v>
      </c>
      <c r="Y832" s="20">
        <f t="shared" si="52"/>
        <v>0.10815092458976672</v>
      </c>
    </row>
    <row r="833" spans="22:25" x14ac:dyDescent="0.2">
      <c r="V833" s="18">
        <v>0.83099999999999996</v>
      </c>
      <c r="W833" s="20">
        <f t="shared" si="50"/>
        <v>0.16149530324176412</v>
      </c>
      <c r="X833" s="20">
        <f t="shared" si="51"/>
        <v>-1.6936767672290562E-3</v>
      </c>
      <c r="Y833" s="20">
        <f t="shared" si="52"/>
        <v>0.10958748135856133</v>
      </c>
    </row>
    <row r="834" spans="22:25" x14ac:dyDescent="0.2">
      <c r="V834" s="18">
        <v>0.83199999999999996</v>
      </c>
      <c r="W834" s="20">
        <f t="shared" si="50"/>
        <v>0.16149366459880379</v>
      </c>
      <c r="X834" s="20">
        <f t="shared" si="51"/>
        <v>-1.5833688744936389E-3</v>
      </c>
      <c r="Y834" s="20">
        <f t="shared" si="52"/>
        <v>0.11102915526173707</v>
      </c>
    </row>
    <row r="835" spans="22:25" x14ac:dyDescent="0.2">
      <c r="V835" s="18">
        <v>0.83299999999999996</v>
      </c>
      <c r="W835" s="20">
        <f t="shared" ref="W835:W898" si="53" xml:space="preserve"> -0.223567093536985*V835^6 + 0.944228289125022*V835^5 - 1.39425331473467*V835^4 + 0.919786041369661*V835^3 - 0.280641903613287*V835^2 + 0.0398143416441599*V835 + 0.158710616051081</f>
        <v>0.1614921369854232</v>
      </c>
      <c r="X835" s="20">
        <f t="shared" ref="X835:X898" si="54" xml:space="preserve"> 6*-0.223567093536985*V835^5 + 5*0.944228289125022*V835^4 - 4*1.39425331473467*V835^3 + 3*0.919786041369661*V835^2 - 2*0.280641903613287*V835^1 + 0.0398143416441599</f>
        <v>-1.4716167578379333E-3</v>
      </c>
      <c r="Y835" s="20">
        <f t="shared" ref="Y835:Y898" si="55" xml:space="preserve"> 5*6*-0.223567093536985*V835^4 + 4*5*0.944228289125022*V835^3 - 3*4*1.39425331473467*V835^2 + 2*3*0.919786041369661*V835^1 - 2*0.280641903613287</f>
        <v>0.11247592576153398</v>
      </c>
    </row>
    <row r="836" spans="22:25" x14ac:dyDescent="0.2">
      <c r="V836" s="18">
        <v>0.83399999999999996</v>
      </c>
      <c r="W836" s="20">
        <f t="shared" si="53"/>
        <v>0.16149072184839164</v>
      </c>
      <c r="X836" s="20">
        <f t="shared" si="54"/>
        <v>-1.3584153310028588E-3</v>
      </c>
      <c r="Y836" s="20">
        <f t="shared" si="55"/>
        <v>0.1139277721592391</v>
      </c>
    </row>
    <row r="837" spans="22:25" x14ac:dyDescent="0.2">
      <c r="V837" s="18">
        <v>0.83499999999999996</v>
      </c>
      <c r="W837" s="20">
        <f t="shared" si="53"/>
        <v>0.1614894206395534</v>
      </c>
      <c r="X837" s="20">
        <f t="shared" si="54"/>
        <v>-1.2437595285056599E-3</v>
      </c>
      <c r="Y837" s="20">
        <f t="shared" si="55"/>
        <v>0.11538467359516069</v>
      </c>
    </row>
    <row r="838" spans="22:25" x14ac:dyDescent="0.2">
      <c r="V838" s="18">
        <v>0.83599999999999997</v>
      </c>
      <c r="W838" s="20">
        <f t="shared" si="53"/>
        <v>0.16148823481580821</v>
      </c>
      <c r="X838" s="20">
        <f t="shared" si="54"/>
        <v>-1.1276443058046634E-3</v>
      </c>
      <c r="Y838" s="20">
        <f t="shared" si="55"/>
        <v>0.11684660904863886</v>
      </c>
    </row>
    <row r="839" spans="22:25" x14ac:dyDescent="0.2">
      <c r="V839" s="18">
        <v>0.83699999999999997</v>
      </c>
      <c r="W839" s="20">
        <f t="shared" si="53"/>
        <v>0.1614871658390899</v>
      </c>
      <c r="X839" s="20">
        <f t="shared" si="54"/>
        <v>-1.0100646394610377E-3</v>
      </c>
      <c r="Y839" s="20">
        <f t="shared" si="55"/>
        <v>0.11831355733804738</v>
      </c>
    </row>
    <row r="840" spans="22:25" x14ac:dyDescent="0.2">
      <c r="V840" s="18">
        <v>0.83799999999999997</v>
      </c>
      <c r="W840" s="20">
        <f t="shared" si="53"/>
        <v>0.16148621517634487</v>
      </c>
      <c r="X840" s="20">
        <f t="shared" si="54"/>
        <v>-8.9101552729600048E-4</v>
      </c>
      <c r="Y840" s="20">
        <f t="shared" si="55"/>
        <v>0.11978549712079278</v>
      </c>
    </row>
    <row r="841" spans="22:25" x14ac:dyDescent="0.2">
      <c r="V841" s="18">
        <v>0.83899999999999997</v>
      </c>
      <c r="W841" s="20">
        <f t="shared" si="53"/>
        <v>0.16148538429951112</v>
      </c>
      <c r="X841" s="20">
        <f t="shared" si="54"/>
        <v>-7.7049198855457662E-4</v>
      </c>
      <c r="Y841" s="20">
        <f t="shared" si="55"/>
        <v>0.12126240689331702</v>
      </c>
    </row>
    <row r="842" spans="22:25" x14ac:dyDescent="0.2">
      <c r="V842" s="18">
        <v>0.84</v>
      </c>
      <c r="W842" s="20">
        <f t="shared" si="53"/>
        <v>0.1614846746854966</v>
      </c>
      <c r="X842" s="20">
        <f t="shared" si="54"/>
        <v>-6.4848906406613643E-4</v>
      </c>
      <c r="Y842" s="20">
        <f t="shared" si="55"/>
        <v>0.12274426499108326</v>
      </c>
    </row>
    <row r="843" spans="22:25" x14ac:dyDescent="0.2">
      <c r="V843" s="18">
        <v>0.84099999999999997</v>
      </c>
      <c r="W843" s="20">
        <f t="shared" si="53"/>
        <v>0.16148408781615767</v>
      </c>
      <c r="X843" s="20">
        <f t="shared" si="54"/>
        <v>-5.2500181640399018E-4</v>
      </c>
      <c r="Y843" s="20">
        <f t="shared" si="55"/>
        <v>0.1242310495885901</v>
      </c>
    </row>
    <row r="844" spans="22:25" x14ac:dyDescent="0.2">
      <c r="V844" s="18">
        <v>0.84199999999999997</v>
      </c>
      <c r="W844" s="20">
        <f t="shared" si="53"/>
        <v>0.16148362517827689</v>
      </c>
      <c r="X844" s="20">
        <f t="shared" si="54"/>
        <v>-4.0002533004875745E-4</v>
      </c>
      <c r="Y844" s="20">
        <f t="shared" si="55"/>
        <v>0.12572273869937511</v>
      </c>
    </row>
    <row r="845" spans="22:25" x14ac:dyDescent="0.2">
      <c r="V845" s="18">
        <v>0.84299999999999997</v>
      </c>
      <c r="W845" s="20">
        <f t="shared" si="53"/>
        <v>0.16148328826354175</v>
      </c>
      <c r="X845" s="20">
        <f t="shared" si="54"/>
        <v>-2.7355471154779515E-4</v>
      </c>
      <c r="Y845" s="20">
        <f t="shared" si="55"/>
        <v>0.12721931017600419</v>
      </c>
    </row>
    <row r="846" spans="22:25" x14ac:dyDescent="0.2">
      <c r="V846" s="18">
        <v>0.84399999999999997</v>
      </c>
      <c r="W846" s="20">
        <f t="shared" si="53"/>
        <v>0.16148307856852182</v>
      </c>
      <c r="X846" s="20">
        <f t="shared" si="54"/>
        <v>-1.4558508967562472E-4</v>
      </c>
      <c r="Y846" s="20">
        <f t="shared" si="55"/>
        <v>0.1287207417100662</v>
      </c>
    </row>
    <row r="847" spans="22:25" x14ac:dyDescent="0.2">
      <c r="V847" s="18">
        <v>0.84499999999999997</v>
      </c>
      <c r="W847" s="20">
        <f t="shared" si="53"/>
        <v>0.16148299759464674</v>
      </c>
      <c r="X847" s="20">
        <f t="shared" si="54"/>
        <v>-1.6111615597134976E-5</v>
      </c>
      <c r="Y847" s="20">
        <f t="shared" si="55"/>
        <v>0.13022701083219346</v>
      </c>
    </row>
    <row r="848" spans="22:25" x14ac:dyDescent="0.2">
      <c r="V848" s="18">
        <v>0.84599999999999997</v>
      </c>
      <c r="W848" s="20">
        <f t="shared" si="53"/>
        <v>0.16148304684818382</v>
      </c>
      <c r="X848" s="20">
        <f t="shared" si="54"/>
        <v>1.1487053697576549E-4</v>
      </c>
      <c r="Y848" s="20">
        <f t="shared" si="55"/>
        <v>0.1317380949120448</v>
      </c>
    </row>
    <row r="849" spans="22:25" x14ac:dyDescent="0.2">
      <c r="V849" s="18">
        <v>0.84699999999999998</v>
      </c>
      <c r="W849" s="20">
        <f t="shared" si="53"/>
        <v>0.16148322784021502</v>
      </c>
      <c r="X849" s="20">
        <f t="shared" si="54"/>
        <v>2.4736617161805891E-4</v>
      </c>
      <c r="Y849" s="20">
        <f t="shared" si="55"/>
        <v>0.13325397115830917</v>
      </c>
    </row>
    <row r="850" spans="22:25" x14ac:dyDescent="0.2">
      <c r="V850" s="18">
        <v>0.84799999999999998</v>
      </c>
      <c r="W850" s="20">
        <f t="shared" si="53"/>
        <v>0.16148354208661481</v>
      </c>
      <c r="X850" s="20">
        <f t="shared" si="54"/>
        <v>3.8138006903296745E-4</v>
      </c>
      <c r="Y850" s="20">
        <f t="shared" si="55"/>
        <v>0.13477461661870738</v>
      </c>
    </row>
    <row r="851" spans="22:25" x14ac:dyDescent="0.2">
      <c r="V851" s="18">
        <v>0.84899999999999998</v>
      </c>
      <c r="W851" s="20">
        <f t="shared" si="53"/>
        <v>0.16148399110802683</v>
      </c>
      <c r="X851" s="20">
        <f t="shared" si="54"/>
        <v>5.1691698689097093E-4</v>
      </c>
      <c r="Y851" s="20">
        <f t="shared" si="55"/>
        <v>0.1363000081800001</v>
      </c>
    </row>
    <row r="852" spans="22:25" x14ac:dyDescent="0.2">
      <c r="V852" s="18">
        <v>0.85</v>
      </c>
      <c r="W852" s="20">
        <f t="shared" si="53"/>
        <v>0.16148457642984049</v>
      </c>
      <c r="X852" s="20">
        <f t="shared" si="54"/>
        <v>6.5398165966999017E-4</v>
      </c>
      <c r="Y852" s="20">
        <f t="shared" si="55"/>
        <v>0.13783012256796567</v>
      </c>
    </row>
    <row r="853" spans="22:25" x14ac:dyDescent="0.2">
      <c r="V853" s="18">
        <v>0.85099999999999998</v>
      </c>
      <c r="W853" s="20">
        <f t="shared" si="53"/>
        <v>0.1614852995821684</v>
      </c>
      <c r="X853" s="20">
        <f t="shared" si="54"/>
        <v>7.9257879849223972E-4</v>
      </c>
      <c r="Y853" s="20">
        <f t="shared" si="55"/>
        <v>0.13936493634742853</v>
      </c>
    </row>
    <row r="854" spans="22:25" x14ac:dyDescent="0.2">
      <c r="V854" s="18">
        <v>0.85199999999999998</v>
      </c>
      <c r="W854" s="20">
        <f t="shared" si="53"/>
        <v>0.16148616209982236</v>
      </c>
      <c r="X854" s="20">
        <f t="shared" si="54"/>
        <v>9.3271309096479987E-4</v>
      </c>
      <c r="Y854" s="20">
        <f t="shared" si="55"/>
        <v>0.14090442592223429</v>
      </c>
    </row>
    <row r="855" spans="22:25" x14ac:dyDescent="0.2">
      <c r="V855" s="18">
        <v>0.85299999999999998</v>
      </c>
      <c r="W855" s="20">
        <f t="shared" si="53"/>
        <v>0.16148716552228992</v>
      </c>
      <c r="X855" s="20">
        <f t="shared" si="54"/>
        <v>1.074389201017413E-3</v>
      </c>
      <c r="Y855" s="20">
        <f t="shared" si="55"/>
        <v>0.14244856753526403</v>
      </c>
    </row>
    <row r="856" spans="22:25" x14ac:dyDescent="0.2">
      <c r="V856" s="18">
        <v>0.85399999999999998</v>
      </c>
      <c r="W856" s="20">
        <f t="shared" si="53"/>
        <v>0.16148831139371045</v>
      </c>
      <c r="X856" s="20">
        <f t="shared" si="54"/>
        <v>1.217611768744388E-3</v>
      </c>
      <c r="Y856" s="20">
        <f t="shared" si="55"/>
        <v>0.14399733726842889</v>
      </c>
    </row>
    <row r="857" spans="22:25" x14ac:dyDescent="0.2">
      <c r="V857" s="18">
        <v>0.85499999999999998</v>
      </c>
      <c r="W857" s="20">
        <f t="shared" si="53"/>
        <v>0.16148960126285214</v>
      </c>
      <c r="X857" s="20">
        <f t="shared" si="54"/>
        <v>1.3623854102366231E-3</v>
      </c>
      <c r="Y857" s="20">
        <f t="shared" si="55"/>
        <v>0.14555071104267725</v>
      </c>
    </row>
    <row r="858" spans="22:25" x14ac:dyDescent="0.2">
      <c r="V858" s="18">
        <v>0.85599999999999998</v>
      </c>
      <c r="W858" s="20">
        <f t="shared" si="53"/>
        <v>0.16149103668308665</v>
      </c>
      <c r="X858" s="20">
        <f t="shared" si="54"/>
        <v>1.5087147174312823E-3</v>
      </c>
      <c r="Y858" s="20">
        <f t="shared" si="55"/>
        <v>0.14710866461798222</v>
      </c>
    </row>
    <row r="859" spans="22:25" x14ac:dyDescent="0.2">
      <c r="V859" s="18">
        <v>0.85699999999999998</v>
      </c>
      <c r="W859" s="20">
        <f t="shared" si="53"/>
        <v>0.16149261921236516</v>
      </c>
      <c r="X859" s="20">
        <f t="shared" si="54"/>
        <v>1.6566042579409315E-3</v>
      </c>
      <c r="Y859" s="20">
        <f t="shared" si="55"/>
        <v>0.14867117359335413</v>
      </c>
    </row>
    <row r="860" spans="22:25" x14ac:dyDescent="0.2">
      <c r="V860" s="18">
        <v>0.85799999999999998</v>
      </c>
      <c r="W860" s="20">
        <f t="shared" si="53"/>
        <v>0.16149435041319476</v>
      </c>
      <c r="X860" s="20">
        <f t="shared" si="54"/>
        <v>1.8060585748985516E-3</v>
      </c>
      <c r="Y860" s="20">
        <f t="shared" si="55"/>
        <v>0.15023821340682986</v>
      </c>
    </row>
    <row r="861" spans="22:25" x14ac:dyDescent="0.2">
      <c r="V861" s="18">
        <v>0.85899999999999999</v>
      </c>
      <c r="W861" s="20">
        <f t="shared" si="53"/>
        <v>0.16149623185261347</v>
      </c>
      <c r="X861" s="20">
        <f t="shared" si="54"/>
        <v>1.9570821867955016E-3</v>
      </c>
      <c r="Y861" s="20">
        <f t="shared" si="55"/>
        <v>0.15180975933547991</v>
      </c>
    </row>
    <row r="862" spans="22:25" x14ac:dyDescent="0.2">
      <c r="V862" s="18">
        <v>0.86</v>
      </c>
      <c r="W862" s="20">
        <f t="shared" si="53"/>
        <v>0.16149826510216503</v>
      </c>
      <c r="X862" s="20">
        <f t="shared" si="54"/>
        <v>2.1096795873150401E-3</v>
      </c>
      <c r="Y862" s="20">
        <f t="shared" si="55"/>
        <v>0.15338578649541024</v>
      </c>
    </row>
    <row r="863" spans="22:25" x14ac:dyDescent="0.2">
      <c r="V863" s="18">
        <v>0.86099999999999999</v>
      </c>
      <c r="W863" s="20">
        <f t="shared" si="53"/>
        <v>0.16150045173787403</v>
      </c>
      <c r="X863" s="20">
        <f t="shared" si="54"/>
        <v>2.2638552451833341E-3</v>
      </c>
      <c r="Y863" s="20">
        <f t="shared" si="55"/>
        <v>0.1549662698417551</v>
      </c>
    </row>
    <row r="864" spans="22:25" x14ac:dyDescent="0.2">
      <c r="V864" s="18">
        <v>0.86199999999999999</v>
      </c>
      <c r="W864" s="20">
        <f t="shared" si="53"/>
        <v>0.16150279334022249</v>
      </c>
      <c r="X864" s="20">
        <f t="shared" si="54"/>
        <v>2.4196136039950425E-3</v>
      </c>
      <c r="Y864" s="20">
        <f t="shared" si="55"/>
        <v>0.15655118416867708</v>
      </c>
    </row>
    <row r="865" spans="22:25" x14ac:dyDescent="0.2">
      <c r="V865" s="18">
        <v>0.86299999999999999</v>
      </c>
      <c r="W865" s="20">
        <f t="shared" si="53"/>
        <v>0.16150529149412224</v>
      </c>
      <c r="X865" s="20">
        <f t="shared" si="54"/>
        <v>2.5769590820601054E-3</v>
      </c>
      <c r="Y865" s="20">
        <f t="shared" si="55"/>
        <v>0.15814050410937774</v>
      </c>
    </row>
    <row r="866" spans="22:25" x14ac:dyDescent="0.2">
      <c r="V866" s="18">
        <v>0.86399999999999999</v>
      </c>
      <c r="W866" s="20">
        <f t="shared" si="53"/>
        <v>0.16150794778889108</v>
      </c>
      <c r="X866" s="20">
        <f t="shared" si="54"/>
        <v>2.7358960722435391E-3</v>
      </c>
      <c r="Y866" s="20">
        <f t="shared" si="55"/>
        <v>0.15973420413608519</v>
      </c>
    </row>
    <row r="867" spans="22:25" x14ac:dyDescent="0.2">
      <c r="V867" s="18">
        <v>0.86499999999999999</v>
      </c>
      <c r="W867" s="20">
        <f t="shared" si="53"/>
        <v>0.16151076381822677</v>
      </c>
      <c r="X867" s="20">
        <f t="shared" si="54"/>
        <v>2.8964289417995684E-3</v>
      </c>
      <c r="Y867" s="20">
        <f t="shared" si="55"/>
        <v>0.16133225856005939</v>
      </c>
    </row>
    <row r="868" spans="22:25" x14ac:dyDescent="0.2">
      <c r="V868" s="18">
        <v>0.86599999999999999</v>
      </c>
      <c r="W868" s="20">
        <f t="shared" si="53"/>
        <v>0.16151374118018189</v>
      </c>
      <c r="X868" s="20">
        <f t="shared" si="54"/>
        <v>3.0585620322149745E-3</v>
      </c>
      <c r="Y868" s="20">
        <f t="shared" si="55"/>
        <v>0.16293464153159931</v>
      </c>
    </row>
    <row r="869" spans="22:25" x14ac:dyDescent="0.2">
      <c r="V869" s="18">
        <v>0.86699999999999999</v>
      </c>
      <c r="W869" s="20">
        <f t="shared" si="53"/>
        <v>0.161516881477137</v>
      </c>
      <c r="X869" s="20">
        <f t="shared" si="54"/>
        <v>3.2222996590434497E-3</v>
      </c>
      <c r="Y869" s="20">
        <f t="shared" si="55"/>
        <v>0.16454132704002156</v>
      </c>
    </row>
    <row r="870" spans="22:25" x14ac:dyDescent="0.2">
      <c r="V870" s="18">
        <v>0.86799999999999999</v>
      </c>
      <c r="W870" s="20">
        <f t="shared" si="53"/>
        <v>0.16152018631577553</v>
      </c>
      <c r="X870" s="20">
        <f t="shared" si="54"/>
        <v>3.3876461117511095E-3</v>
      </c>
      <c r="Y870" s="20">
        <f t="shared" si="55"/>
        <v>0.16615228891368528</v>
      </c>
    </row>
    <row r="871" spans="22:25" x14ac:dyDescent="0.2">
      <c r="V871" s="18">
        <v>0.86899999999999999</v>
      </c>
      <c r="W871" s="20">
        <f t="shared" si="53"/>
        <v>0.16152365730705703</v>
      </c>
      <c r="X871" s="20">
        <f t="shared" si="54"/>
        <v>3.5546056535513473E-3</v>
      </c>
      <c r="Y871" s="20">
        <f t="shared" si="55"/>
        <v>0.16776750081998149</v>
      </c>
    </row>
    <row r="872" spans="22:25" x14ac:dyDescent="0.2">
      <c r="V872" s="18">
        <v>0.87</v>
      </c>
      <c r="W872" s="20">
        <f t="shared" si="53"/>
        <v>0.16152729606619148</v>
      </c>
      <c r="X872" s="20">
        <f t="shared" si="54"/>
        <v>3.7231825212398553E-3</v>
      </c>
      <c r="Y872" s="20">
        <f t="shared" si="55"/>
        <v>0.16938693626532775</v>
      </c>
    </row>
    <row r="873" spans="22:25" x14ac:dyDescent="0.2">
      <c r="V873" s="18">
        <v>0.871</v>
      </c>
      <c r="W873" s="20">
        <f t="shared" si="53"/>
        <v>0.16153110421261191</v>
      </c>
      <c r="X873" s="20">
        <f t="shared" si="54"/>
        <v>3.8933809250452991E-3</v>
      </c>
      <c r="Y873" s="20">
        <f t="shared" si="55"/>
        <v>0.17101056859517527</v>
      </c>
    </row>
    <row r="874" spans="22:25" x14ac:dyDescent="0.2">
      <c r="V874" s="18">
        <v>0.872</v>
      </c>
      <c r="W874" s="20">
        <f t="shared" si="53"/>
        <v>0.16153508336994843</v>
      </c>
      <c r="X874" s="20">
        <f t="shared" si="54"/>
        <v>4.065205048454569E-3</v>
      </c>
      <c r="Y874" s="20">
        <f t="shared" si="55"/>
        <v>0.17263837099400714</v>
      </c>
    </row>
    <row r="875" spans="22:25" x14ac:dyDescent="0.2">
      <c r="V875" s="18">
        <v>0.873</v>
      </c>
      <c r="W875" s="20">
        <f t="shared" si="53"/>
        <v>0.16153923516600122</v>
      </c>
      <c r="X875" s="20">
        <f t="shared" si="54"/>
        <v>4.2386590480650091E-3</v>
      </c>
      <c r="Y875" s="20">
        <f t="shared" si="55"/>
        <v>0.17427031648534008</v>
      </c>
    </row>
    <row r="876" spans="22:25" x14ac:dyDescent="0.2">
      <c r="V876" s="18">
        <v>0.874</v>
      </c>
      <c r="W876" s="20">
        <f t="shared" si="53"/>
        <v>0.16154356123271335</v>
      </c>
      <c r="X876" s="20">
        <f t="shared" si="54"/>
        <v>4.4137470534132209E-3</v>
      </c>
      <c r="Y876" s="20">
        <f t="shared" si="55"/>
        <v>0.1759063779317156</v>
      </c>
    </row>
    <row r="877" spans="22:25" x14ac:dyDescent="0.2">
      <c r="V877" s="18">
        <v>0.875</v>
      </c>
      <c r="W877" s="20">
        <f t="shared" si="53"/>
        <v>0.16154806320614432</v>
      </c>
      <c r="X877" s="20">
        <f t="shared" si="54"/>
        <v>4.5904731668159685E-3</v>
      </c>
      <c r="Y877" s="20">
        <f t="shared" si="55"/>
        <v>0.17754652803472037</v>
      </c>
    </row>
    <row r="878" spans="22:25" x14ac:dyDescent="0.2">
      <c r="V878" s="18">
        <v>0.876</v>
      </c>
      <c r="W878" s="20">
        <f t="shared" si="53"/>
        <v>0.16155274272644179</v>
      </c>
      <c r="X878" s="20">
        <f t="shared" si="54"/>
        <v>4.7688414632154133E-3</v>
      </c>
      <c r="Y878" s="20">
        <f t="shared" si="55"/>
        <v>0.17919073933495877</v>
      </c>
    </row>
    <row r="879" spans="22:25" x14ac:dyDescent="0.2">
      <c r="V879" s="18">
        <v>0.877</v>
      </c>
      <c r="W879" s="20">
        <f t="shared" si="53"/>
        <v>0.16155760143781456</v>
      </c>
      <c r="X879" s="20">
        <f t="shared" si="54"/>
        <v>4.9488559900130805E-3</v>
      </c>
      <c r="Y879" s="20">
        <f t="shared" si="55"/>
        <v>0.18083898421207145</v>
      </c>
    </row>
    <row r="880" spans="22:25" x14ac:dyDescent="0.2">
      <c r="V880" s="18">
        <v>0.878</v>
      </c>
      <c r="W880" s="20">
        <f t="shared" si="53"/>
        <v>0.16156264098850542</v>
      </c>
      <c r="X880" s="20">
        <f t="shared" si="54"/>
        <v>5.1305207669069333E-3</v>
      </c>
      <c r="Y880" s="20">
        <f t="shared" si="55"/>
        <v>0.18249123488473451</v>
      </c>
    </row>
    <row r="881" spans="22:25" x14ac:dyDescent="0.2">
      <c r="V881" s="18">
        <v>0.879</v>
      </c>
      <c r="W881" s="20">
        <f t="shared" si="53"/>
        <v>0.16156786303076248</v>
      </c>
      <c r="X881" s="20">
        <f t="shared" si="54"/>
        <v>5.3138397857361644E-3</v>
      </c>
      <c r="Y881" s="20">
        <f t="shared" si="55"/>
        <v>0.18414746341064703</v>
      </c>
    </row>
    <row r="882" spans="22:25" x14ac:dyDescent="0.2">
      <c r="V882" s="18">
        <v>0.88</v>
      </c>
      <c r="W882" s="20">
        <f t="shared" si="53"/>
        <v>0.16157326922081236</v>
      </c>
      <c r="X882" s="20">
        <f t="shared" si="54"/>
        <v>5.4988170103136627E-3</v>
      </c>
      <c r="Y882" s="20">
        <f t="shared" si="55"/>
        <v>0.18580764168655772</v>
      </c>
    </row>
    <row r="883" spans="22:25" x14ac:dyDescent="0.2">
      <c r="V883" s="18">
        <v>0.88100000000000001</v>
      </c>
      <c r="W883" s="20">
        <f t="shared" si="53"/>
        <v>0.16157886121883069</v>
      </c>
      <c r="X883" s="20">
        <f t="shared" si="54"/>
        <v>5.685456376272581E-3</v>
      </c>
      <c r="Y883" s="20">
        <f t="shared" si="55"/>
        <v>0.18747174144822409</v>
      </c>
    </row>
    <row r="884" spans="22:25" x14ac:dyDescent="0.2">
      <c r="V884" s="18">
        <v>0.88200000000000001</v>
      </c>
      <c r="W884" s="20">
        <f t="shared" si="53"/>
        <v>0.16158464068891482</v>
      </c>
      <c r="X884" s="20">
        <f t="shared" si="54"/>
        <v>5.873761790899025E-3</v>
      </c>
      <c r="Y884" s="20">
        <f t="shared" si="55"/>
        <v>0.18913973427044795</v>
      </c>
    </row>
    <row r="885" spans="22:25" x14ac:dyDescent="0.2">
      <c r="V885" s="18">
        <v>0.88300000000000001</v>
      </c>
      <c r="W885" s="20">
        <f t="shared" si="53"/>
        <v>0.16159060929905528</v>
      </c>
      <c r="X885" s="20">
        <f t="shared" si="54"/>
        <v>6.0637371329737358E-3</v>
      </c>
      <c r="Y885" s="20">
        <f t="shared" si="55"/>
        <v>0.19081159156706473</v>
      </c>
    </row>
    <row r="886" spans="22:25" x14ac:dyDescent="0.2">
      <c r="V886" s="18">
        <v>0.88400000000000001</v>
      </c>
      <c r="W886" s="20">
        <f t="shared" si="53"/>
        <v>0.16159676872110681</v>
      </c>
      <c r="X886" s="20">
        <f t="shared" si="54"/>
        <v>6.2553862526107742E-3</v>
      </c>
      <c r="Y886" s="20">
        <f t="shared" si="55"/>
        <v>0.19248728459093822</v>
      </c>
    </row>
    <row r="887" spans="22:25" x14ac:dyDescent="0.2">
      <c r="V887" s="18">
        <v>0.88500000000000001</v>
      </c>
      <c r="W887" s="20">
        <f t="shared" si="53"/>
        <v>0.16160312063076052</v>
      </c>
      <c r="X887" s="20">
        <f t="shared" si="54"/>
        <v>6.4487129710965388E-3</v>
      </c>
      <c r="Y887" s="20">
        <f t="shared" si="55"/>
        <v>0.19416678443396052</v>
      </c>
    </row>
    <row r="888" spans="22:25" x14ac:dyDescent="0.2">
      <c r="V888" s="18">
        <v>0.88600000000000001</v>
      </c>
      <c r="W888" s="20">
        <f t="shared" si="53"/>
        <v>0.1616096667075132</v>
      </c>
      <c r="X888" s="20">
        <f t="shared" si="54"/>
        <v>6.6437210807299488E-3</v>
      </c>
      <c r="Y888" s="20">
        <f t="shared" si="55"/>
        <v>0.19585006202705912</v>
      </c>
    </row>
    <row r="889" spans="22:25" x14ac:dyDescent="0.2">
      <c r="V889" s="18">
        <v>0.88700000000000001</v>
      </c>
      <c r="W889" s="20">
        <f t="shared" si="53"/>
        <v>0.16161640863464027</v>
      </c>
      <c r="X889" s="20">
        <f t="shared" si="54"/>
        <v>6.8404143446595192E-3</v>
      </c>
      <c r="Y889" s="20">
        <f t="shared" si="55"/>
        <v>0.19753708814019166</v>
      </c>
    </row>
    <row r="890" spans="22:25" x14ac:dyDescent="0.2">
      <c r="V890" s="18">
        <v>0.88800000000000001</v>
      </c>
      <c r="W890" s="20">
        <f t="shared" si="53"/>
        <v>0.16162334809916551</v>
      </c>
      <c r="X890" s="20">
        <f t="shared" si="54"/>
        <v>7.0387964967223784E-3</v>
      </c>
      <c r="Y890" s="20">
        <f t="shared" si="55"/>
        <v>0.19922783338235117</v>
      </c>
    </row>
    <row r="891" spans="22:25" x14ac:dyDescent="0.2">
      <c r="V891" s="18">
        <v>0.88900000000000001</v>
      </c>
      <c r="W891" s="20">
        <f t="shared" si="53"/>
        <v>0.16163048679183151</v>
      </c>
      <c r="X891" s="20">
        <f t="shared" si="54"/>
        <v>7.2388712412847292E-3</v>
      </c>
      <c r="Y891" s="20">
        <f t="shared" si="55"/>
        <v>0.20092226820155901</v>
      </c>
    </row>
    <row r="892" spans="22:25" x14ac:dyDescent="0.2">
      <c r="V892" s="18">
        <v>0.89</v>
      </c>
      <c r="W892" s="20">
        <f t="shared" si="53"/>
        <v>0.16163782640707075</v>
      </c>
      <c r="X892" s="20">
        <f t="shared" si="54"/>
        <v>7.4406422530817543E-3</v>
      </c>
      <c r="Y892" s="20">
        <f t="shared" si="55"/>
        <v>0.20262036288486485</v>
      </c>
    </row>
    <row r="893" spans="22:25" x14ac:dyDescent="0.2">
      <c r="V893" s="18">
        <v>0.89100000000000001</v>
      </c>
      <c r="W893" s="20">
        <f t="shared" si="53"/>
        <v>0.16164536864297541</v>
      </c>
      <c r="X893" s="20">
        <f t="shared" si="54"/>
        <v>7.6441131770534146E-3</v>
      </c>
      <c r="Y893" s="20">
        <f t="shared" si="55"/>
        <v>0.20432208755835735</v>
      </c>
    </row>
    <row r="894" spans="22:25" x14ac:dyDescent="0.2">
      <c r="V894" s="18">
        <v>0.89200000000000002</v>
      </c>
      <c r="W894" s="20">
        <f t="shared" si="53"/>
        <v>0.16165311520126777</v>
      </c>
      <c r="X894" s="20">
        <f t="shared" si="54"/>
        <v>7.8492876281847437E-3</v>
      </c>
      <c r="Y894" s="20">
        <f t="shared" si="55"/>
        <v>0.20602741218715703</v>
      </c>
    </row>
    <row r="895" spans="22:25" x14ac:dyDescent="0.2">
      <c r="V895" s="18">
        <v>0.89300000000000002</v>
      </c>
      <c r="W895" s="20">
        <f t="shared" si="53"/>
        <v>0.16166106778726946</v>
      </c>
      <c r="X895" s="20">
        <f t="shared" si="54"/>
        <v>8.0561691913488068E-3</v>
      </c>
      <c r="Y895" s="20">
        <f t="shared" si="55"/>
        <v>0.20773630657540387</v>
      </c>
    </row>
    <row r="896" spans="22:25" x14ac:dyDescent="0.2">
      <c r="V896" s="18">
        <v>0.89400000000000002</v>
      </c>
      <c r="W896" s="20">
        <f t="shared" si="53"/>
        <v>0.16166922810987289</v>
      </c>
      <c r="X896" s="20">
        <f t="shared" si="54"/>
        <v>8.264761421138557E-3</v>
      </c>
      <c r="Y896" s="20">
        <f t="shared" si="55"/>
        <v>0.20944874036628569</v>
      </c>
    </row>
    <row r="897" spans="22:25" x14ac:dyDescent="0.2">
      <c r="V897" s="18">
        <v>0.89500000000000002</v>
      </c>
      <c r="W897" s="20">
        <f t="shared" si="53"/>
        <v>0.16167759788150904</v>
      </c>
      <c r="X897" s="20">
        <f t="shared" si="54"/>
        <v>8.4750678417117378E-3</v>
      </c>
      <c r="Y897" s="20">
        <f t="shared" si="55"/>
        <v>0.21116468304200975</v>
      </c>
    </row>
    <row r="898" spans="22:25" x14ac:dyDescent="0.2">
      <c r="V898" s="18">
        <v>0.89600000000000002</v>
      </c>
      <c r="W898" s="20">
        <f t="shared" si="53"/>
        <v>0.16168617881811809</v>
      </c>
      <c r="X898" s="20">
        <f t="shared" si="54"/>
        <v>8.6870919466264587E-3</v>
      </c>
      <c r="Y898" s="20">
        <f t="shared" si="55"/>
        <v>0.21288410392382406</v>
      </c>
    </row>
    <row r="899" spans="22:25" x14ac:dyDescent="0.2">
      <c r="V899" s="18">
        <v>0.89700000000000002</v>
      </c>
      <c r="W899" s="20">
        <f t="shared" ref="W899:W962" si="56" xml:space="preserve"> -0.223567093536985*V899^6 + 0.944228289125022*V899^5 - 1.39425331473467*V899^4 + 0.919786041369661*V899^3 - 0.280641903613287*V899^2 + 0.0398143416441599*V899 + 0.158710616051081</f>
        <v>0.16169497263911847</v>
      </c>
      <c r="X899" s="20">
        <f t="shared" ref="X899:X962" si="57" xml:space="preserve"> 6*-0.223567093536985*V899^5 + 5*0.944228289125022*V899^4 - 4*1.39425331473467*V899^3 + 3*0.919786041369661*V899^2 - 2*0.280641903613287*V899^1 + 0.0398143416441599</f>
        <v>8.9008371986832105E-3</v>
      </c>
      <c r="Y899" s="20">
        <f t="shared" ref="Y899:Y962" si="58" xml:space="preserve"> 5*6*-0.223567093536985*V899^4 + 4*5*0.944228289125022*V899^3 - 3*4*1.39425331473467*V899^2 + 2*3*0.919786041369661*V899^1 - 2*0.280641903613287</f>
        <v>0.2146069721720032</v>
      </c>
    </row>
    <row r="900" spans="22:25" x14ac:dyDescent="0.2">
      <c r="V900" s="18">
        <v>0.89800000000000002</v>
      </c>
      <c r="W900" s="20">
        <f t="shared" si="56"/>
        <v>0.16170398106737552</v>
      </c>
      <c r="X900" s="20">
        <f t="shared" si="57"/>
        <v>9.1163070297605522E-3</v>
      </c>
      <c r="Y900" s="20">
        <f t="shared" si="58"/>
        <v>0.2163332567858518</v>
      </c>
    </row>
    <row r="901" spans="22:25" x14ac:dyDescent="0.2">
      <c r="V901" s="18">
        <v>0.89900000000000002</v>
      </c>
      <c r="W901" s="20">
        <f t="shared" si="56"/>
        <v>0.16171320582917156</v>
      </c>
      <c r="X901" s="20">
        <f t="shared" si="57"/>
        <v>9.3335048406575707E-3</v>
      </c>
      <c r="Y901" s="20">
        <f t="shared" si="58"/>
        <v>0.21806292660370818</v>
      </c>
    </row>
    <row r="902" spans="22:25" x14ac:dyDescent="0.2">
      <c r="V902" s="18">
        <v>0.9</v>
      </c>
      <c r="W902" s="20">
        <f t="shared" si="56"/>
        <v>0.16172264865417374</v>
      </c>
      <c r="X902" s="20">
        <f t="shared" si="57"/>
        <v>9.5524340009303446E-3</v>
      </c>
      <c r="Y902" s="20">
        <f t="shared" si="58"/>
        <v>0.21979595030294785</v>
      </c>
    </row>
    <row r="903" spans="22:25" x14ac:dyDescent="0.2">
      <c r="V903" s="18">
        <v>0.90100000000000002</v>
      </c>
      <c r="W903" s="20">
        <f t="shared" si="56"/>
        <v>0.161732311275403</v>
      </c>
      <c r="X903" s="20">
        <f t="shared" si="57"/>
        <v>9.773097848731073E-3</v>
      </c>
      <c r="Y903" s="20">
        <f t="shared" si="58"/>
        <v>0.22153229639996752</v>
      </c>
    </row>
    <row r="904" spans="22:25" x14ac:dyDescent="0.2">
      <c r="V904" s="18">
        <v>0.90200000000000002</v>
      </c>
      <c r="W904" s="20">
        <f t="shared" si="56"/>
        <v>0.16174219542920293</v>
      </c>
      <c r="X904" s="20">
        <f t="shared" si="57"/>
        <v>9.9954996906493135E-3</v>
      </c>
      <c r="Y904" s="20">
        <f t="shared" si="58"/>
        <v>0.22327193325020644</v>
      </c>
    </row>
    <row r="905" spans="22:25" x14ac:dyDescent="0.2">
      <c r="V905" s="18">
        <v>0.90300000000000002</v>
      </c>
      <c r="W905" s="20">
        <f t="shared" si="56"/>
        <v>0.16175230285520759</v>
      </c>
      <c r="X905" s="20">
        <f t="shared" si="57"/>
        <v>1.0219642801549779E-2</v>
      </c>
      <c r="Y905" s="20">
        <f t="shared" si="58"/>
        <v>0.22501482904812509</v>
      </c>
    </row>
    <row r="906" spans="22:25" x14ac:dyDescent="0.2">
      <c r="V906" s="18">
        <v>0.90400000000000003</v>
      </c>
      <c r="W906" s="20">
        <f t="shared" si="56"/>
        <v>0.16176263529631027</v>
      </c>
      <c r="X906" s="20">
        <f t="shared" si="57"/>
        <v>1.0445530424409245E-2</v>
      </c>
      <c r="Y906" s="20">
        <f t="shared" si="58"/>
        <v>0.22676095182722289</v>
      </c>
    </row>
    <row r="907" spans="22:25" x14ac:dyDescent="0.2">
      <c r="V907" s="18">
        <v>0.90500000000000003</v>
      </c>
      <c r="W907" s="20">
        <f t="shared" si="56"/>
        <v>0.16177319449863095</v>
      </c>
      <c r="X907" s="20">
        <f t="shared" si="57"/>
        <v>1.0673165770156791E-2</v>
      </c>
      <c r="Y907" s="20">
        <f t="shared" si="58"/>
        <v>0.22851026946002762</v>
      </c>
    </row>
    <row r="908" spans="22:25" x14ac:dyDescent="0.2">
      <c r="V908" s="18">
        <v>0.90600000000000003</v>
      </c>
      <c r="W908" s="20">
        <f t="shared" si="56"/>
        <v>0.16178398221148488</v>
      </c>
      <c r="X908" s="20">
        <f t="shared" si="57"/>
        <v>1.0902552017518809E-2</v>
      </c>
      <c r="Y908" s="20">
        <f t="shared" si="58"/>
        <v>0.230262749658106</v>
      </c>
    </row>
    <row r="909" spans="22:25" x14ac:dyDescent="0.2">
      <c r="V909" s="18">
        <v>0.90700000000000003</v>
      </c>
      <c r="W909" s="20">
        <f t="shared" si="56"/>
        <v>0.16179500018734919</v>
      </c>
      <c r="X909" s="20">
        <f t="shared" si="57"/>
        <v>1.1133692312847256E-2</v>
      </c>
      <c r="Y909" s="20">
        <f t="shared" si="58"/>
        <v>0.23201835997204245</v>
      </c>
    </row>
    <row r="910" spans="22:25" x14ac:dyDescent="0.2">
      <c r="V910" s="18">
        <v>0.90800000000000003</v>
      </c>
      <c r="W910" s="20">
        <f t="shared" si="56"/>
        <v>0.16180625018183148</v>
      </c>
      <c r="X910" s="20">
        <f t="shared" si="57"/>
        <v>1.1366589769965886E-2</v>
      </c>
      <c r="Y910" s="20">
        <f t="shared" si="58"/>
        <v>0.23377706779146568</v>
      </c>
    </row>
    <row r="911" spans="22:25" x14ac:dyDescent="0.2">
      <c r="V911" s="18">
        <v>0.90900000000000003</v>
      </c>
      <c r="W911" s="20">
        <f t="shared" si="56"/>
        <v>0.16181773395363713</v>
      </c>
      <c r="X911" s="20">
        <f t="shared" si="57"/>
        <v>1.1601247470009825E-2</v>
      </c>
      <c r="Y911" s="20">
        <f t="shared" si="58"/>
        <v>0.23553884034502914</v>
      </c>
    </row>
    <row r="912" spans="22:25" x14ac:dyDescent="0.2">
      <c r="V912" s="18">
        <v>0.91</v>
      </c>
      <c r="W912" s="20">
        <f t="shared" si="56"/>
        <v>0.16182945326453568</v>
      </c>
      <c r="X912" s="20">
        <f t="shared" si="57"/>
        <v>1.1837668461258256E-2</v>
      </c>
      <c r="Y912" s="20">
        <f t="shared" si="58"/>
        <v>0.23730364470041998</v>
      </c>
    </row>
    <row r="913" spans="22:25" x14ac:dyDescent="0.2">
      <c r="V913" s="18">
        <v>0.91100000000000003</v>
      </c>
      <c r="W913" s="20">
        <f t="shared" si="56"/>
        <v>0.16184140987932882</v>
      </c>
      <c r="X913" s="20">
        <f t="shared" si="57"/>
        <v>1.2075855758982103E-2</v>
      </c>
      <c r="Y913" s="20">
        <f t="shared" si="58"/>
        <v>0.23907144776436251</v>
      </c>
    </row>
    <row r="914" spans="22:25" x14ac:dyDescent="0.2">
      <c r="V914" s="18">
        <v>0.91200000000000003</v>
      </c>
      <c r="W914" s="20">
        <f t="shared" si="56"/>
        <v>0.16185360556581685</v>
      </c>
      <c r="X914" s="20">
        <f t="shared" si="57"/>
        <v>1.2315812345273604E-2</v>
      </c>
      <c r="Y914" s="20">
        <f t="shared" si="58"/>
        <v>0.24084221628260227</v>
      </c>
    </row>
    <row r="915" spans="22:25" x14ac:dyDescent="0.2">
      <c r="V915" s="18">
        <v>0.91300000000000003</v>
      </c>
      <c r="W915" s="20">
        <f t="shared" si="56"/>
        <v>0.16186604209476538</v>
      </c>
      <c r="X915" s="20">
        <f t="shared" si="57"/>
        <v>1.2557541168896104E-2</v>
      </c>
      <c r="Y915" s="20">
        <f t="shared" si="58"/>
        <v>0.24261591683992023</v>
      </c>
    </row>
    <row r="916" spans="22:25" x14ac:dyDescent="0.2">
      <c r="V916" s="18">
        <v>0.91400000000000003</v>
      </c>
      <c r="W916" s="20">
        <f t="shared" si="56"/>
        <v>0.16187872123987249</v>
      </c>
      <c r="X916" s="20">
        <f t="shared" si="57"/>
        <v>1.2801045145109415E-2</v>
      </c>
      <c r="Y916" s="20">
        <f t="shared" si="58"/>
        <v>0.2443925158601381</v>
      </c>
    </row>
    <row r="917" spans="22:25" x14ac:dyDescent="0.2">
      <c r="V917" s="18">
        <v>0.91500000000000004</v>
      </c>
      <c r="W917" s="20">
        <f t="shared" si="56"/>
        <v>0.16189164477773407</v>
      </c>
      <c r="X917" s="20">
        <f t="shared" si="57"/>
        <v>1.3046327155526484E-2</v>
      </c>
      <c r="Y917" s="20">
        <f t="shared" si="58"/>
        <v>0.24617197960609527</v>
      </c>
    </row>
    <row r="918" spans="22:25" x14ac:dyDescent="0.2">
      <c r="V918" s="18">
        <v>0.91600000000000004</v>
      </c>
      <c r="W918" s="20">
        <f t="shared" si="56"/>
        <v>0.1619048144878113</v>
      </c>
      <c r="X918" s="20">
        <f t="shared" si="57"/>
        <v>1.3293390047933097E-2</v>
      </c>
      <c r="Y918" s="20">
        <f t="shared" si="58"/>
        <v>0.24795427417967364</v>
      </c>
    </row>
    <row r="919" spans="22:25" x14ac:dyDescent="0.2">
      <c r="V919" s="18">
        <v>0.91700000000000004</v>
      </c>
      <c r="W919" s="20">
        <f t="shared" si="56"/>
        <v>0.16191823215239559</v>
      </c>
      <c r="X919" s="20">
        <f t="shared" si="57"/>
        <v>1.354223663614277E-2</v>
      </c>
      <c r="Y919" s="20">
        <f t="shared" si="58"/>
        <v>0.24973936552177811</v>
      </c>
    </row>
    <row r="920" spans="22:25" x14ac:dyDescent="0.2">
      <c r="V920" s="18">
        <v>0.91800000000000004</v>
      </c>
      <c r="W920" s="20">
        <f t="shared" si="56"/>
        <v>0.16193189955657572</v>
      </c>
      <c r="X920" s="20">
        <f t="shared" si="57"/>
        <v>1.3792869699828327E-2</v>
      </c>
      <c r="Y920" s="20">
        <f t="shared" si="58"/>
        <v>0.25152721941235434</v>
      </c>
    </row>
    <row r="921" spans="22:25" x14ac:dyDescent="0.2">
      <c r="V921" s="18">
        <v>0.91900000000000004</v>
      </c>
      <c r="W921" s="20">
        <f t="shared" si="56"/>
        <v>0.16194581848820255</v>
      </c>
      <c r="X921" s="20">
        <f t="shared" si="57"/>
        <v>1.4045291984359255E-2</v>
      </c>
      <c r="Y921" s="20">
        <f t="shared" si="58"/>
        <v>0.2533178014703692</v>
      </c>
    </row>
    <row r="922" spans="22:25" x14ac:dyDescent="0.2">
      <c r="V922" s="18">
        <v>0.92</v>
      </c>
      <c r="W922" s="20">
        <f t="shared" si="56"/>
        <v>0.1619599907378555</v>
      </c>
      <c r="X922" s="20">
        <f t="shared" si="57"/>
        <v>1.4299506200646052E-2</v>
      </c>
      <c r="Y922" s="20">
        <f t="shared" si="58"/>
        <v>0.25511107715383385</v>
      </c>
    </row>
    <row r="923" spans="22:25" x14ac:dyDescent="0.2">
      <c r="V923" s="18">
        <v>0.92100000000000004</v>
      </c>
      <c r="W923" s="20">
        <f t="shared" si="56"/>
        <v>0.16197441809880719</v>
      </c>
      <c r="X923" s="20">
        <f t="shared" si="57"/>
        <v>1.4555515024975797E-2</v>
      </c>
      <c r="Y923" s="20">
        <f t="shared" si="58"/>
        <v>0.25690701175978248</v>
      </c>
    </row>
    <row r="924" spans="22:25" x14ac:dyDescent="0.2">
      <c r="V924" s="18">
        <v>0.92200000000000004</v>
      </c>
      <c r="W924" s="20">
        <f t="shared" si="56"/>
        <v>0.16198910236698885</v>
      </c>
      <c r="X924" s="20">
        <f t="shared" si="57"/>
        <v>1.4813321098853506E-2</v>
      </c>
      <c r="Y924" s="20">
        <f t="shared" si="58"/>
        <v>0.25870557042427578</v>
      </c>
    </row>
    <row r="925" spans="22:25" x14ac:dyDescent="0.2">
      <c r="V925" s="18">
        <v>0.92300000000000004</v>
      </c>
      <c r="W925" s="20">
        <f t="shared" si="56"/>
        <v>0.16200404534095733</v>
      </c>
      <c r="X925" s="20">
        <f t="shared" si="57"/>
        <v>1.5072927028837925E-2</v>
      </c>
      <c r="Y925" s="20">
        <f t="shared" si="58"/>
        <v>0.2605067181224241</v>
      </c>
    </row>
    <row r="926" spans="22:25" x14ac:dyDescent="0.2">
      <c r="V926" s="18">
        <v>0.92400000000000004</v>
      </c>
      <c r="W926" s="20">
        <f t="shared" si="56"/>
        <v>0.16201924882185614</v>
      </c>
      <c r="X926" s="20">
        <f t="shared" si="57"/>
        <v>1.5334335386382993E-2</v>
      </c>
      <c r="Y926" s="20">
        <f t="shared" si="58"/>
        <v>0.26231041966834923</v>
      </c>
    </row>
    <row r="927" spans="22:25" x14ac:dyDescent="0.2">
      <c r="V927" s="18">
        <v>0.92500000000000004</v>
      </c>
      <c r="W927" s="20">
        <f t="shared" si="56"/>
        <v>0.16203471461338473</v>
      </c>
      <c r="X927" s="20">
        <f t="shared" si="57"/>
        <v>1.5597548707676302E-2</v>
      </c>
      <c r="Y927" s="20">
        <f t="shared" si="58"/>
        <v>0.26411663971522081</v>
      </c>
    </row>
    <row r="928" spans="22:25" x14ac:dyDescent="0.2">
      <c r="V928" s="18">
        <v>0.92600000000000005</v>
      </c>
      <c r="W928" s="20">
        <f t="shared" si="56"/>
        <v>0.1620504445217601</v>
      </c>
      <c r="X928" s="20">
        <f t="shared" si="57"/>
        <v>1.5862569493479119E-2</v>
      </c>
      <c r="Y928" s="20">
        <f t="shared" si="58"/>
        <v>0.26592534275523061</v>
      </c>
    </row>
    <row r="929" spans="22:25" x14ac:dyDescent="0.2">
      <c r="V929" s="18">
        <v>0.92700000000000005</v>
      </c>
      <c r="W929" s="20">
        <f t="shared" si="56"/>
        <v>0.16206644035568207</v>
      </c>
      <c r="X929" s="20">
        <f t="shared" si="57"/>
        <v>1.6129400208963286E-2</v>
      </c>
      <c r="Y929" s="20">
        <f t="shared" si="58"/>
        <v>0.26773649311960757</v>
      </c>
    </row>
    <row r="930" spans="22:25" x14ac:dyDescent="0.2">
      <c r="V930" s="18">
        <v>0.92800000000000005</v>
      </c>
      <c r="W930" s="20">
        <f t="shared" si="56"/>
        <v>0.16208270392629831</v>
      </c>
      <c r="X930" s="20">
        <f t="shared" si="57"/>
        <v>1.6398043283551912E-2</v>
      </c>
      <c r="Y930" s="20">
        <f t="shared" si="58"/>
        <v>0.2695500549786054</v>
      </c>
    </row>
    <row r="931" spans="22:25" x14ac:dyDescent="0.2">
      <c r="V931" s="18">
        <v>0.92900000000000005</v>
      </c>
      <c r="W931" s="20">
        <f t="shared" si="56"/>
        <v>0.16209923704716739</v>
      </c>
      <c r="X931" s="20">
        <f t="shared" si="57"/>
        <v>1.6668501110756385E-2</v>
      </c>
      <c r="Y931" s="20">
        <f t="shared" si="58"/>
        <v>0.27136599234151326</v>
      </c>
    </row>
    <row r="932" spans="22:25" x14ac:dyDescent="0.2">
      <c r="V932" s="18">
        <v>0.93</v>
      </c>
      <c r="W932" s="20">
        <f t="shared" si="56"/>
        <v>0.1621160415342234</v>
      </c>
      <c r="X932" s="20">
        <f t="shared" si="57"/>
        <v>1.6940776048020613E-2</v>
      </c>
      <c r="Y932" s="20">
        <f t="shared" si="58"/>
        <v>0.27318426905665394</v>
      </c>
    </row>
    <row r="933" spans="22:25" x14ac:dyDescent="0.2">
      <c r="V933" s="18">
        <v>0.93100000000000005</v>
      </c>
      <c r="W933" s="20">
        <f t="shared" si="56"/>
        <v>0.16213311920574069</v>
      </c>
      <c r="X933" s="20">
        <f t="shared" si="57"/>
        <v>1.7214870416552154E-2</v>
      </c>
      <c r="Y933" s="20">
        <f t="shared" si="58"/>
        <v>0.27500484881138743</v>
      </c>
    </row>
    <row r="934" spans="22:25" x14ac:dyDescent="0.2">
      <c r="V934" s="18">
        <v>0.93200000000000005</v>
      </c>
      <c r="W934" s="20">
        <f t="shared" si="56"/>
        <v>0.16215047188229573</v>
      </c>
      <c r="X934" s="20">
        <f t="shared" si="57"/>
        <v>1.7490786501166679E-2</v>
      </c>
      <c r="Y934" s="20">
        <f t="shared" si="58"/>
        <v>0.2768276951320896</v>
      </c>
    </row>
    <row r="935" spans="22:25" x14ac:dyDescent="0.2">
      <c r="V935" s="18">
        <v>0.93300000000000005</v>
      </c>
      <c r="W935" s="20">
        <f t="shared" si="56"/>
        <v>0.16216810138673135</v>
      </c>
      <c r="X935" s="20">
        <f t="shared" si="57"/>
        <v>1.7768526550128207E-2</v>
      </c>
      <c r="Y935" s="20">
        <f t="shared" si="58"/>
        <v>0.27865277138417888</v>
      </c>
    </row>
    <row r="936" spans="22:25" x14ac:dyDescent="0.2">
      <c r="V936" s="18">
        <v>0.93400000000000005</v>
      </c>
      <c r="W936" s="20">
        <f t="shared" si="56"/>
        <v>0.16218600954412143</v>
      </c>
      <c r="X936" s="20">
        <f t="shared" si="57"/>
        <v>1.8048092774983017E-2</v>
      </c>
      <c r="Y936" s="20">
        <f t="shared" si="58"/>
        <v>0.28048004077210198</v>
      </c>
    </row>
    <row r="937" spans="22:25" x14ac:dyDescent="0.2">
      <c r="V937" s="18">
        <v>0.93500000000000005</v>
      </c>
      <c r="W937" s="20">
        <f t="shared" si="56"/>
        <v>0.1622041981817321</v>
      </c>
      <c r="X937" s="20">
        <f t="shared" si="57"/>
        <v>1.832948735040122E-2</v>
      </c>
      <c r="Y937" s="20">
        <f t="shared" si="58"/>
        <v>0.28230946633934284</v>
      </c>
    </row>
    <row r="938" spans="22:25" x14ac:dyDescent="0.2">
      <c r="V938" s="18">
        <v>0.93600000000000005</v>
      </c>
      <c r="W938" s="20">
        <f t="shared" si="56"/>
        <v>0.16222266912898559</v>
      </c>
      <c r="X938" s="20">
        <f t="shared" si="57"/>
        <v>1.8612712414016776E-2</v>
      </c>
      <c r="Y938" s="20">
        <f t="shared" si="58"/>
        <v>0.28414101096841016</v>
      </c>
    </row>
    <row r="939" spans="22:25" x14ac:dyDescent="0.2">
      <c r="V939" s="18">
        <v>0.93700000000000006</v>
      </c>
      <c r="W939" s="20">
        <f t="shared" si="56"/>
        <v>0.16224142421742357</v>
      </c>
      <c r="X939" s="20">
        <f t="shared" si="57"/>
        <v>1.8897770066267063E-2</v>
      </c>
      <c r="Y939" s="20">
        <f t="shared" si="58"/>
        <v>0.28597463738084983</v>
      </c>
    </row>
    <row r="940" spans="22:25" x14ac:dyDescent="0.2">
      <c r="V940" s="18">
        <v>0.93799999999999994</v>
      </c>
      <c r="W940" s="20">
        <f t="shared" si="56"/>
        <v>0.16226046528066923</v>
      </c>
      <c r="X940" s="20">
        <f t="shared" si="57"/>
        <v>1.9184662370227458E-2</v>
      </c>
      <c r="Y940" s="20">
        <f t="shared" si="58"/>
        <v>0.28781030813723429</v>
      </c>
    </row>
    <row r="941" spans="22:25" x14ac:dyDescent="0.2">
      <c r="V941" s="18">
        <v>0.93899999999999995</v>
      </c>
      <c r="W941" s="20">
        <f t="shared" si="56"/>
        <v>0.16227979415439014</v>
      </c>
      <c r="X941" s="20">
        <f t="shared" si="57"/>
        <v>1.9473391351457238E-2</v>
      </c>
      <c r="Y941" s="20">
        <f t="shared" si="58"/>
        <v>0.28964798563716698</v>
      </c>
    </row>
    <row r="942" spans="22:25" x14ac:dyDescent="0.2">
      <c r="V942" s="18">
        <v>0.94</v>
      </c>
      <c r="W942" s="20">
        <f t="shared" si="56"/>
        <v>0.16229941267626072</v>
      </c>
      <c r="X942" s="20">
        <f t="shared" si="57"/>
        <v>1.9763958997832821E-2</v>
      </c>
      <c r="Y942" s="20">
        <f t="shared" si="58"/>
        <v>0.29148763211929207</v>
      </c>
    </row>
    <row r="943" spans="22:25" x14ac:dyDescent="0.2">
      <c r="V943" s="18">
        <v>0.94099999999999995</v>
      </c>
      <c r="W943" s="20">
        <f t="shared" si="56"/>
        <v>0.16231932268592444</v>
      </c>
      <c r="X943" s="20">
        <f t="shared" si="57"/>
        <v>2.0056367259385234E-2</v>
      </c>
      <c r="Y943" s="20">
        <f t="shared" si="58"/>
        <v>0.29332920966127585</v>
      </c>
    </row>
    <row r="944" spans="22:25" x14ac:dyDescent="0.2">
      <c r="V944" s="18">
        <v>0.94199999999999995</v>
      </c>
      <c r="W944" s="20">
        <f t="shared" si="56"/>
        <v>0.16233952602495558</v>
      </c>
      <c r="X944" s="20">
        <f t="shared" si="57"/>
        <v>2.0350618048148451E-2</v>
      </c>
      <c r="Y944" s="20">
        <f t="shared" si="58"/>
        <v>0.29517268017982357</v>
      </c>
    </row>
    <row r="945" spans="22:25" x14ac:dyDescent="0.2">
      <c r="V945" s="18">
        <v>0.94299999999999995</v>
      </c>
      <c r="W945" s="20">
        <f t="shared" si="56"/>
        <v>0.16236002453682175</v>
      </c>
      <c r="X945" s="20">
        <f t="shared" si="57"/>
        <v>2.0646713237990534E-2</v>
      </c>
      <c r="Y945" s="20">
        <f t="shared" si="58"/>
        <v>0.29701800543066526</v>
      </c>
    </row>
    <row r="946" spans="22:25" x14ac:dyDescent="0.2">
      <c r="V946" s="18">
        <v>0.94399999999999995</v>
      </c>
      <c r="W946" s="20">
        <f t="shared" si="56"/>
        <v>0.16238082006684423</v>
      </c>
      <c r="X946" s="20">
        <f t="shared" si="57"/>
        <v>2.0944654664453645E-2</v>
      </c>
      <c r="Y946" s="20">
        <f t="shared" si="58"/>
        <v>0.29886514700856459</v>
      </c>
    </row>
    <row r="947" spans="22:25" x14ac:dyDescent="0.2">
      <c r="V947" s="18">
        <v>0.94499999999999995</v>
      </c>
      <c r="W947" s="20">
        <f t="shared" si="56"/>
        <v>0.16240191446216212</v>
      </c>
      <c r="X947" s="20">
        <f t="shared" si="57"/>
        <v>2.1244444124596064E-2</v>
      </c>
      <c r="Y947" s="20">
        <f t="shared" si="58"/>
        <v>0.30071406634732423</v>
      </c>
    </row>
    <row r="948" spans="22:25" x14ac:dyDescent="0.2">
      <c r="V948" s="18">
        <v>0.94599999999999995</v>
      </c>
      <c r="W948" s="20">
        <f t="shared" si="56"/>
        <v>0.16242330957169135</v>
      </c>
      <c r="X948" s="20">
        <f t="shared" si="57"/>
        <v>2.1546083376828319E-2</v>
      </c>
      <c r="Y948" s="20">
        <f t="shared" si="58"/>
        <v>0.30256472471976625</v>
      </c>
    </row>
    <row r="949" spans="22:25" x14ac:dyDescent="0.2">
      <c r="V949" s="18">
        <v>0.94699999999999995</v>
      </c>
      <c r="W949" s="20">
        <f t="shared" si="56"/>
        <v>0.1624450072460869</v>
      </c>
      <c r="X949" s="20">
        <f t="shared" si="57"/>
        <v>2.1849574140752982E-2</v>
      </c>
      <c r="Y949" s="20">
        <f t="shared" si="58"/>
        <v>0.30441708323775352</v>
      </c>
    </row>
    <row r="950" spans="22:25" x14ac:dyDescent="0.2">
      <c r="V950" s="18">
        <v>0.94799999999999995</v>
      </c>
      <c r="W950" s="20">
        <f t="shared" si="56"/>
        <v>0.16246700933770411</v>
      </c>
      <c r="X950" s="20">
        <f t="shared" si="57"/>
        <v>2.2154918097003796E-2</v>
      </c>
      <c r="Y950" s="20">
        <f t="shared" si="58"/>
        <v>0.30627110285218073</v>
      </c>
    </row>
    <row r="951" spans="22:25" x14ac:dyDescent="0.2">
      <c r="V951" s="18">
        <v>0.94899999999999995</v>
      </c>
      <c r="W951" s="20">
        <f t="shared" si="56"/>
        <v>0.16248931770055941</v>
      </c>
      <c r="X951" s="20">
        <f t="shared" si="57"/>
        <v>2.2462116887087914E-2</v>
      </c>
      <c r="Y951" s="20">
        <f t="shared" si="58"/>
        <v>0.30812674435296383</v>
      </c>
    </row>
    <row r="952" spans="22:25" x14ac:dyDescent="0.2">
      <c r="V952" s="18">
        <v>0.95</v>
      </c>
      <c r="W952" s="20">
        <f t="shared" si="56"/>
        <v>0.16251193419029056</v>
      </c>
      <c r="X952" s="20">
        <f t="shared" si="57"/>
        <v>2.2771172113217254E-2</v>
      </c>
      <c r="Y952" s="20">
        <f t="shared" si="58"/>
        <v>0.30998396836906306</v>
      </c>
    </row>
    <row r="953" spans="22:25" x14ac:dyDescent="0.2">
      <c r="V953" s="18">
        <v>0.95099999999999996</v>
      </c>
      <c r="W953" s="20">
        <f t="shared" si="56"/>
        <v>0.16253486066411899</v>
      </c>
      <c r="X953" s="20">
        <f t="shared" si="57"/>
        <v>2.3082085338154847E-2</v>
      </c>
      <c r="Y953" s="20">
        <f t="shared" si="58"/>
        <v>0.31184273536846874</v>
      </c>
    </row>
    <row r="954" spans="22:25" x14ac:dyDescent="0.2">
      <c r="V954" s="18">
        <v>0.95199999999999996</v>
      </c>
      <c r="W954" s="20">
        <f t="shared" si="56"/>
        <v>0.16255809898080806</v>
      </c>
      <c r="X954" s="20">
        <f t="shared" si="57"/>
        <v>2.3394858085052407E-2</v>
      </c>
      <c r="Y954" s="20">
        <f t="shared" si="58"/>
        <v>0.31370300565819242</v>
      </c>
    </row>
    <row r="955" spans="22:25" x14ac:dyDescent="0.2">
      <c r="V955" s="18">
        <v>0.95299999999999996</v>
      </c>
      <c r="W955" s="20">
        <f t="shared" si="56"/>
        <v>0.16258165100062466</v>
      </c>
      <c r="X955" s="20">
        <f t="shared" si="57"/>
        <v>2.3709491837285469E-2</v>
      </c>
      <c r="Y955" s="20">
        <f t="shared" si="58"/>
        <v>0.3155647393842882</v>
      </c>
    </row>
    <row r="956" spans="22:25" x14ac:dyDescent="0.2">
      <c r="V956" s="18">
        <v>0.95399999999999996</v>
      </c>
      <c r="W956" s="20">
        <f t="shared" si="56"/>
        <v>0.16260551858529937</v>
      </c>
      <c r="X956" s="20">
        <f t="shared" si="57"/>
        <v>2.4025988038296954E-2</v>
      </c>
      <c r="Y956" s="20">
        <f t="shared" si="58"/>
        <v>0.31742789653183578</v>
      </c>
    </row>
    <row r="957" spans="22:25" x14ac:dyDescent="0.2">
      <c r="V957" s="18">
        <v>0.95499999999999996</v>
      </c>
      <c r="W957" s="20">
        <f t="shared" si="56"/>
        <v>0.16262970359798581</v>
      </c>
      <c r="X957" s="20">
        <f t="shared" si="57"/>
        <v>2.4344348091432967E-2</v>
      </c>
      <c r="Y957" s="20">
        <f t="shared" si="58"/>
        <v>0.31929243692495213</v>
      </c>
    </row>
    <row r="958" spans="22:25" x14ac:dyDescent="0.2">
      <c r="V958" s="18">
        <v>0.95599999999999996</v>
      </c>
      <c r="W958" s="20">
        <f t="shared" si="56"/>
        <v>0.16265420790322094</v>
      </c>
      <c r="X958" s="20">
        <f t="shared" si="57"/>
        <v>2.4664573359785148E-2</v>
      </c>
      <c r="Y958" s="20">
        <f t="shared" si="58"/>
        <v>0.32115832022677626</v>
      </c>
    </row>
    <row r="959" spans="22:25" x14ac:dyDescent="0.2">
      <c r="V959" s="18">
        <v>0.95699999999999996</v>
      </c>
      <c r="W959" s="20">
        <f t="shared" si="56"/>
        <v>0.16267903336688508</v>
      </c>
      <c r="X959" s="20">
        <f t="shared" si="57"/>
        <v>2.4986665166025136E-2</v>
      </c>
      <c r="Y959" s="20">
        <f t="shared" si="58"/>
        <v>0.32302550593949508</v>
      </c>
    </row>
    <row r="960" spans="22:25" x14ac:dyDescent="0.2">
      <c r="V960" s="18">
        <v>0.95799999999999996</v>
      </c>
      <c r="W960" s="20">
        <f t="shared" si="56"/>
        <v>0.16270418185616026</v>
      </c>
      <c r="X960" s="20">
        <f t="shared" si="57"/>
        <v>2.5310624792249915E-2</v>
      </c>
      <c r="Y960" s="20">
        <f t="shared" si="58"/>
        <v>0.3248939534043096</v>
      </c>
    </row>
    <row r="961" spans="22:25" x14ac:dyDescent="0.2">
      <c r="V961" s="18">
        <v>0.95899999999999996</v>
      </c>
      <c r="W961" s="20">
        <f t="shared" si="56"/>
        <v>0.16272965523949043</v>
      </c>
      <c r="X961" s="20">
        <f t="shared" si="57"/>
        <v>2.5636453479813394E-2</v>
      </c>
      <c r="Y961" s="20">
        <f t="shared" si="58"/>
        <v>0.32676362180145802</v>
      </c>
    </row>
    <row r="962" spans="22:25" x14ac:dyDescent="0.2">
      <c r="V962" s="18">
        <v>0.96</v>
      </c>
      <c r="W962" s="20">
        <f t="shared" si="56"/>
        <v>0.16275545538654085</v>
      </c>
      <c r="X962" s="20">
        <f t="shared" si="57"/>
        <v>2.596415242917164E-2</v>
      </c>
      <c r="Y962" s="20">
        <f t="shared" si="58"/>
        <v>0.3286344701502264</v>
      </c>
    </row>
    <row r="963" spans="22:25" x14ac:dyDescent="0.2">
      <c r="V963" s="18">
        <v>0.96099999999999997</v>
      </c>
      <c r="W963" s="20">
        <f t="shared" ref="W963:W1026" si="59" xml:space="preserve"> -0.223567093536985*V963^6 + 0.944228289125022*V963^5 - 1.39425331473467*V963^4 + 0.919786041369661*V963^3 - 0.280641903613287*V963^2 + 0.0398143416441599*V963 + 0.158710616051081</f>
        <v>0.16278158416815652</v>
      </c>
      <c r="X963" s="20">
        <f t="shared" ref="X963:X1026" si="60" xml:space="preserve"> 6*-0.223567093536985*V963^5 + 5*0.944228289125022*V963^4 - 4*1.39425331473467*V963^3 + 3*0.919786041369661*V963^2 - 2*0.280641903613287*V963^1 + 0.0398143416441599</f>
        <v>2.6293722799718013E-2</v>
      </c>
      <c r="Y963" s="20">
        <f t="shared" ref="Y963:Y1026" si="61" xml:space="preserve"> 5*6*-0.223567093536985*V963^4 + 4*5*0.944228289125022*V963^3 - 3*4*1.39425331473467*V963^2 + 2*3*0.919786041369661*V963^1 - 2*0.280641903613287</f>
        <v>0.33050645730890427</v>
      </c>
    </row>
    <row r="964" spans="22:25" x14ac:dyDescent="0.2">
      <c r="V964" s="18">
        <v>0.96199999999999997</v>
      </c>
      <c r="W964" s="20">
        <f t="shared" si="59"/>
        <v>0.16280804345632061</v>
      </c>
      <c r="X964" s="20">
        <f t="shared" si="60"/>
        <v>2.6625165709626732E-2</v>
      </c>
      <c r="Y964" s="20">
        <f t="shared" si="61"/>
        <v>0.332379541974829</v>
      </c>
    </row>
    <row r="965" spans="22:25" x14ac:dyDescent="0.2">
      <c r="V965" s="18">
        <v>0.96299999999999997</v>
      </c>
      <c r="W965" s="20">
        <f t="shared" si="59"/>
        <v>0.16283483512411473</v>
      </c>
      <c r="X965" s="20">
        <f t="shared" si="60"/>
        <v>2.6958482235684679E-2</v>
      </c>
      <c r="Y965" s="20">
        <f t="shared" si="61"/>
        <v>0.33425368268437339</v>
      </c>
    </row>
    <row r="966" spans="22:25" x14ac:dyDescent="0.2">
      <c r="V966" s="18">
        <v>0.96399999999999997</v>
      </c>
      <c r="W966" s="20">
        <f t="shared" si="59"/>
        <v>0.16286196104567632</v>
      </c>
      <c r="X966" s="20">
        <f t="shared" si="60"/>
        <v>2.7293673413136411E-2</v>
      </c>
      <c r="Y966" s="20">
        <f t="shared" si="61"/>
        <v>0.33612883781293501</v>
      </c>
    </row>
    <row r="967" spans="22:25" x14ac:dyDescent="0.2">
      <c r="V967" s="18">
        <v>0.96499999999999997</v>
      </c>
      <c r="W967" s="20">
        <f t="shared" si="59"/>
        <v>0.1628894230961565</v>
      </c>
      <c r="X967" s="20">
        <f t="shared" si="60"/>
        <v>2.7630740235523067E-2</v>
      </c>
      <c r="Y967" s="20">
        <f t="shared" si="61"/>
        <v>0.33800496557493798</v>
      </c>
    </row>
    <row r="968" spans="22:25" x14ac:dyDescent="0.2">
      <c r="V968" s="18">
        <v>0.96599999999999997</v>
      </c>
      <c r="W968" s="20">
        <f t="shared" si="59"/>
        <v>0.16291722315167997</v>
      </c>
      <c r="X968" s="20">
        <f t="shared" si="60"/>
        <v>2.7969683654517054E-2</v>
      </c>
      <c r="Y968" s="20">
        <f t="shared" si="61"/>
        <v>0.33988202402385603</v>
      </c>
    </row>
    <row r="969" spans="22:25" x14ac:dyDescent="0.2">
      <c r="V969" s="18">
        <v>0.96699999999999997</v>
      </c>
      <c r="W969" s="20">
        <f t="shared" si="59"/>
        <v>0.16294536308930141</v>
      </c>
      <c r="X969" s="20">
        <f t="shared" si="60"/>
        <v>2.831050457976695E-2</v>
      </c>
      <c r="Y969" s="20">
        <f t="shared" si="61"/>
        <v>0.34175997105217171</v>
      </c>
    </row>
    <row r="970" spans="22:25" x14ac:dyDescent="0.2">
      <c r="V970" s="18">
        <v>0.96799999999999997</v>
      </c>
      <c r="W970" s="20">
        <f t="shared" si="59"/>
        <v>0.16297384478696439</v>
      </c>
      <c r="X970" s="20">
        <f t="shared" si="60"/>
        <v>2.8653203878727974E-2</v>
      </c>
      <c r="Y970" s="20">
        <f t="shared" si="61"/>
        <v>0.34363876439141716</v>
      </c>
    </row>
    <row r="971" spans="22:25" x14ac:dyDescent="0.2">
      <c r="V971" s="18">
        <v>0.96899999999999997</v>
      </c>
      <c r="W971" s="20">
        <f t="shared" si="59"/>
        <v>0.1630026701234592</v>
      </c>
      <c r="X971" s="20">
        <f t="shared" si="60"/>
        <v>2.899778237651144E-2</v>
      </c>
      <c r="Y971" s="20">
        <f t="shared" si="61"/>
        <v>0.34551836161214755</v>
      </c>
    </row>
    <row r="972" spans="22:25" x14ac:dyDescent="0.2">
      <c r="V972" s="18">
        <v>0.97</v>
      </c>
      <c r="W972" s="20">
        <f t="shared" si="59"/>
        <v>0.16303184097837842</v>
      </c>
      <c r="X972" s="20">
        <f t="shared" si="60"/>
        <v>2.9344240855717442E-2</v>
      </c>
      <c r="Y972" s="20">
        <f t="shared" si="61"/>
        <v>0.34739872012395168</v>
      </c>
    </row>
    <row r="973" spans="22:25" x14ac:dyDescent="0.2">
      <c r="V973" s="18">
        <v>0.97099999999999997</v>
      </c>
      <c r="W973" s="20">
        <f t="shared" si="59"/>
        <v>0.16306135923207812</v>
      </c>
      <c r="X973" s="20">
        <f t="shared" si="60"/>
        <v>2.9692580056273989E-2</v>
      </c>
      <c r="Y973" s="20">
        <f t="shared" si="61"/>
        <v>0.34927979717545909</v>
      </c>
    </row>
    <row r="974" spans="22:25" x14ac:dyDescent="0.2">
      <c r="V974" s="18">
        <v>0.97199999999999998</v>
      </c>
      <c r="W974" s="20">
        <f t="shared" si="59"/>
        <v>0.16309122676563098</v>
      </c>
      <c r="X974" s="20">
        <f t="shared" si="60"/>
        <v>3.0042800675278793E-2</v>
      </c>
      <c r="Y974" s="20">
        <f t="shared" si="61"/>
        <v>0.35116154985430281</v>
      </c>
    </row>
    <row r="975" spans="22:25" x14ac:dyDescent="0.2">
      <c r="V975" s="18">
        <v>0.97299999999999998</v>
      </c>
      <c r="W975" s="20">
        <f t="shared" si="59"/>
        <v>0.16312144546078658</v>
      </c>
      <c r="X975" s="20">
        <f t="shared" si="60"/>
        <v>3.0394903366835958E-2</v>
      </c>
      <c r="Y975" s="20">
        <f t="shared" si="61"/>
        <v>0.35304393508718324</v>
      </c>
    </row>
    <row r="976" spans="22:25" x14ac:dyDescent="0.2">
      <c r="V976" s="18">
        <v>0.97399999999999998</v>
      </c>
      <c r="W976" s="20">
        <f t="shared" si="59"/>
        <v>0.16315201719992611</v>
      </c>
      <c r="X976" s="20">
        <f t="shared" si="60"/>
        <v>3.0748888741894333E-2</v>
      </c>
      <c r="Y976" s="20">
        <f t="shared" si="61"/>
        <v>0.35492690963981488</v>
      </c>
    </row>
    <row r="977" spans="22:25" x14ac:dyDescent="0.2">
      <c r="V977" s="18">
        <v>0.97499999999999998</v>
      </c>
      <c r="W977" s="20">
        <f t="shared" si="59"/>
        <v>0.16318294386602125</v>
      </c>
      <c r="X977" s="20">
        <f t="shared" si="60"/>
        <v>3.1104757368091297E-2</v>
      </c>
      <c r="Y977" s="20">
        <f t="shared" si="61"/>
        <v>0.3568104301169388</v>
      </c>
    </row>
    <row r="978" spans="22:25" x14ac:dyDescent="0.2">
      <c r="V978" s="18">
        <v>0.97599999999999998</v>
      </c>
      <c r="W978" s="20">
        <f t="shared" si="59"/>
        <v>0.16321422734258806</v>
      </c>
      <c r="X978" s="20">
        <f t="shared" si="60"/>
        <v>3.1462509769587012E-2</v>
      </c>
      <c r="Y978" s="20">
        <f t="shared" si="61"/>
        <v>0.35869445296233149</v>
      </c>
    </row>
    <row r="979" spans="22:25" x14ac:dyDescent="0.2">
      <c r="V979" s="18">
        <v>0.97699999999999998</v>
      </c>
      <c r="W979" s="20">
        <f t="shared" si="59"/>
        <v>0.16324586951364628</v>
      </c>
      <c r="X979" s="20">
        <f t="shared" si="60"/>
        <v>3.1822146426902211E-2</v>
      </c>
      <c r="Y979" s="20">
        <f t="shared" si="61"/>
        <v>0.36057893445881373</v>
      </c>
    </row>
    <row r="980" spans="22:25" x14ac:dyDescent="0.2">
      <c r="V980" s="18">
        <v>0.97799999999999998</v>
      </c>
      <c r="W980" s="20">
        <f t="shared" si="59"/>
        <v>0.16327787226367341</v>
      </c>
      <c r="X980" s="20">
        <f t="shared" si="60"/>
        <v>3.2183667776763882E-2</v>
      </c>
      <c r="Y980" s="20">
        <f t="shared" si="61"/>
        <v>0.36246383072822574</v>
      </c>
    </row>
    <row r="981" spans="22:25" x14ac:dyDescent="0.2">
      <c r="V981" s="18">
        <v>0.97899999999999998</v>
      </c>
      <c r="W981" s="20">
        <f t="shared" si="59"/>
        <v>0.1633102374775619</v>
      </c>
      <c r="X981" s="20">
        <f t="shared" si="60"/>
        <v>3.2547074211939954E-2</v>
      </c>
      <c r="Y981" s="20">
        <f t="shared" si="61"/>
        <v>0.36434909773143964</v>
      </c>
    </row>
    <row r="982" spans="22:25" x14ac:dyDescent="0.2">
      <c r="V982" s="18">
        <v>0.98</v>
      </c>
      <c r="W982" s="20">
        <f t="shared" si="59"/>
        <v>0.16334296704057563</v>
      </c>
      <c r="X982" s="20">
        <f t="shared" si="60"/>
        <v>3.2912366081073098E-2</v>
      </c>
      <c r="Y982" s="20">
        <f t="shared" si="61"/>
        <v>0.36623469126835762</v>
      </c>
    </row>
    <row r="983" spans="22:25" x14ac:dyDescent="0.2">
      <c r="V983" s="18">
        <v>0.98099999999999998</v>
      </c>
      <c r="W983" s="20">
        <f t="shared" si="59"/>
        <v>0.16337606283830419</v>
      </c>
      <c r="X983" s="20">
        <f t="shared" si="60"/>
        <v>3.3279543688535175E-2</v>
      </c>
      <c r="Y983" s="20">
        <f t="shared" si="61"/>
        <v>0.36812056697792261</v>
      </c>
    </row>
    <row r="984" spans="22:25" x14ac:dyDescent="0.2">
      <c r="V984" s="18">
        <v>0.98199999999999998</v>
      </c>
      <c r="W984" s="20">
        <f t="shared" si="59"/>
        <v>0.16340952675661921</v>
      </c>
      <c r="X984" s="20">
        <f t="shared" si="60"/>
        <v>3.364860729424738E-2</v>
      </c>
      <c r="Y984" s="20">
        <f t="shared" si="61"/>
        <v>0.37000668033810413</v>
      </c>
    </row>
    <row r="985" spans="22:25" x14ac:dyDescent="0.2">
      <c r="V985" s="18">
        <v>0.98299999999999998</v>
      </c>
      <c r="W985" s="20">
        <f t="shared" si="59"/>
        <v>0.16344336068163101</v>
      </c>
      <c r="X985" s="20">
        <f t="shared" si="60"/>
        <v>3.4019557113534694E-2</v>
      </c>
      <c r="Y985" s="20">
        <f t="shared" si="61"/>
        <v>0.37189298666590531</v>
      </c>
    </row>
    <row r="986" spans="22:25" x14ac:dyDescent="0.2">
      <c r="V986" s="18">
        <v>0.98399999999999999</v>
      </c>
      <c r="W986" s="20">
        <f t="shared" si="59"/>
        <v>0.16347756649964143</v>
      </c>
      <c r="X986" s="20">
        <f t="shared" si="60"/>
        <v>3.4392393316956128E-2</v>
      </c>
      <c r="Y986" s="20">
        <f t="shared" si="61"/>
        <v>0.37377944111734518</v>
      </c>
    </row>
    <row r="987" spans="22:25" x14ac:dyDescent="0.2">
      <c r="V987" s="18">
        <v>0.98499999999999999</v>
      </c>
      <c r="W987" s="20">
        <f t="shared" si="59"/>
        <v>0.16351214609710191</v>
      </c>
      <c r="X987" s="20">
        <f t="shared" si="60"/>
        <v>3.4767116030144742E-2</v>
      </c>
      <c r="Y987" s="20">
        <f t="shared" si="61"/>
        <v>0.37566599868750483</v>
      </c>
    </row>
    <row r="988" spans="22:25" x14ac:dyDescent="0.2">
      <c r="V988" s="18">
        <v>0.98599999999999999</v>
      </c>
      <c r="W988" s="20">
        <f t="shared" si="59"/>
        <v>0.16354710136056583</v>
      </c>
      <c r="X988" s="20">
        <f t="shared" si="60"/>
        <v>3.5143725333649657E-2</v>
      </c>
      <c r="Y988" s="20">
        <f t="shared" si="61"/>
        <v>0.37755261421047059</v>
      </c>
    </row>
    <row r="989" spans="22:25" x14ac:dyDescent="0.2">
      <c r="V989" s="18">
        <v>0.98699999999999999</v>
      </c>
      <c r="W989" s="20">
        <f t="shared" si="59"/>
        <v>0.16358243417664495</v>
      </c>
      <c r="X989" s="20">
        <f t="shared" si="60"/>
        <v>3.5522221262774413E-2</v>
      </c>
      <c r="Y989" s="20">
        <f t="shared" si="61"/>
        <v>0.37943924235937843</v>
      </c>
    </row>
    <row r="990" spans="22:25" x14ac:dyDescent="0.2">
      <c r="V990" s="18">
        <v>0.98799999999999999</v>
      </c>
      <c r="W990" s="20">
        <f t="shared" si="59"/>
        <v>0.16361814643196365</v>
      </c>
      <c r="X990" s="20">
        <f t="shared" si="60"/>
        <v>3.5902603807417645E-2</v>
      </c>
      <c r="Y990" s="20">
        <f t="shared" si="61"/>
        <v>0.3813258376463784</v>
      </c>
    </row>
    <row r="991" spans="22:25" x14ac:dyDescent="0.2">
      <c r="V991" s="18">
        <v>0.98899999999999999</v>
      </c>
      <c r="W991" s="20">
        <f t="shared" si="59"/>
        <v>0.16365424001311343</v>
      </c>
      <c r="X991" s="20">
        <f t="shared" si="60"/>
        <v>3.6284872911900669E-2</v>
      </c>
      <c r="Y991" s="20">
        <f t="shared" si="61"/>
        <v>0.38321235442266488</v>
      </c>
    </row>
    <row r="992" spans="22:25" x14ac:dyDescent="0.2">
      <c r="V992" s="18">
        <v>0.99</v>
      </c>
      <c r="W992" s="20">
        <f t="shared" si="59"/>
        <v>0.16369071680660735</v>
      </c>
      <c r="X992" s="20">
        <f t="shared" si="60"/>
        <v>3.666902847482393E-2</v>
      </c>
      <c r="Y992" s="20">
        <f t="shared" si="61"/>
        <v>0.3850987468784659</v>
      </c>
    </row>
    <row r="993" spans="22:25" x14ac:dyDescent="0.2">
      <c r="V993" s="18">
        <v>0.99099999999999999</v>
      </c>
      <c r="W993" s="20">
        <f t="shared" si="59"/>
        <v>0.16372757869883389</v>
      </c>
      <c r="X993" s="20">
        <f t="shared" si="60"/>
        <v>3.7055070348895248E-2</v>
      </c>
      <c r="Y993" s="20">
        <f t="shared" si="61"/>
        <v>0.3869849690430307</v>
      </c>
    </row>
    <row r="994" spans="22:25" x14ac:dyDescent="0.2">
      <c r="V994" s="18">
        <v>0.99199999999999999</v>
      </c>
      <c r="W994" s="20">
        <f t="shared" si="59"/>
        <v>0.16376482757601174</v>
      </c>
      <c r="X994" s="20">
        <f t="shared" si="60"/>
        <v>3.744299834077084E-2</v>
      </c>
      <c r="Y994" s="20">
        <f t="shared" si="61"/>
        <v>0.38887097478464394</v>
      </c>
    </row>
    <row r="995" spans="22:25" x14ac:dyDescent="0.2">
      <c r="V995" s="18">
        <v>0.99299999999999999</v>
      </c>
      <c r="W995" s="20">
        <f t="shared" si="59"/>
        <v>0.16380246532414211</v>
      </c>
      <c r="X995" s="20">
        <f t="shared" si="60"/>
        <v>3.7832812210894663E-2</v>
      </c>
      <c r="Y995" s="20">
        <f t="shared" si="61"/>
        <v>0.39075671781063281</v>
      </c>
    </row>
    <row r="996" spans="22:25" x14ac:dyDescent="0.2">
      <c r="V996" s="18">
        <v>0.99399999999999999</v>
      </c>
      <c r="W996" s="20">
        <f t="shared" si="59"/>
        <v>0.16384049382896487</v>
      </c>
      <c r="X996" s="20">
        <f t="shared" si="60"/>
        <v>3.8224511673337104E-2</v>
      </c>
      <c r="Y996" s="20">
        <f t="shared" si="61"/>
        <v>0.39264215166733329</v>
      </c>
    </row>
    <row r="997" spans="22:25" x14ac:dyDescent="0.2">
      <c r="V997" s="18">
        <v>0.995</v>
      </c>
      <c r="W997" s="20">
        <f t="shared" si="59"/>
        <v>0.16387891497590951</v>
      </c>
      <c r="X997" s="20">
        <f t="shared" si="60"/>
        <v>3.8618096395635883E-2</v>
      </c>
      <c r="Y997" s="20">
        <f t="shared" si="61"/>
        <v>0.39452722974014343</v>
      </c>
    </row>
    <row r="998" spans="22:25" x14ac:dyDescent="0.2">
      <c r="V998" s="18">
        <v>0.996</v>
      </c>
      <c r="W998" s="20">
        <f t="shared" si="59"/>
        <v>0.16391773065005014</v>
      </c>
      <c r="X998" s="20">
        <f t="shared" si="60"/>
        <v>3.9013565998633294E-2</v>
      </c>
      <c r="Y998" s="20">
        <f t="shared" si="61"/>
        <v>0.39641190525346115</v>
      </c>
    </row>
    <row r="999" spans="22:25" x14ac:dyDescent="0.2">
      <c r="V999" s="18">
        <v>0.997</v>
      </c>
      <c r="W999" s="20">
        <f t="shared" si="59"/>
        <v>0.16395694273605849</v>
      </c>
      <c r="X999" s="20">
        <f t="shared" si="60"/>
        <v>3.941092005631356E-2</v>
      </c>
      <c r="Y999" s="20">
        <f t="shared" si="61"/>
        <v>0.39829613127073582</v>
      </c>
    </row>
    <row r="1000" spans="22:25" x14ac:dyDescent="0.2">
      <c r="V1000" s="18">
        <v>0.998</v>
      </c>
      <c r="W1000" s="20">
        <f t="shared" si="59"/>
        <v>0.16399655311815706</v>
      </c>
      <c r="X1000" s="20">
        <f t="shared" si="60"/>
        <v>3.9810158095644622E-2</v>
      </c>
      <c r="Y1000" s="20">
        <f t="shared" si="61"/>
        <v>0.40017986069444689</v>
      </c>
    </row>
    <row r="1001" spans="22:25" x14ac:dyDescent="0.2">
      <c r="V1001" s="18">
        <v>0.999</v>
      </c>
      <c r="W1001" s="20">
        <f t="shared" si="59"/>
        <v>0.16403656368007097</v>
      </c>
      <c r="X1001" s="20">
        <f t="shared" si="60"/>
        <v>4.0211279596419271E-2</v>
      </c>
      <c r="Y1001" s="20">
        <f t="shared" si="61"/>
        <v>0.40206304626610212</v>
      </c>
    </row>
    <row r="1002" spans="22:25" x14ac:dyDescent="0.2">
      <c r="V1002" s="18">
        <v>1</v>
      </c>
      <c r="W1002" s="20">
        <f t="shared" si="59"/>
        <v>0.16407697630498183</v>
      </c>
      <c r="X1002" s="20">
        <f t="shared" si="60"/>
        <v>4.0614283991088164E-2</v>
      </c>
      <c r="Y1002" s="20">
        <f t="shared" si="61"/>
        <v>0.40394564056624116</v>
      </c>
    </row>
    <row r="1003" spans="22:25" x14ac:dyDescent="0.2">
      <c r="V1003" s="18">
        <v>1.0009999999999999</v>
      </c>
      <c r="W1003" s="20">
        <f t="shared" si="59"/>
        <v>0.16411779287547984</v>
      </c>
      <c r="X1003" s="20">
        <f t="shared" si="60"/>
        <v>4.1019170664603623E-2</v>
      </c>
      <c r="Y1003" s="20">
        <f t="shared" si="61"/>
        <v>0.40582759601442753</v>
      </c>
    </row>
    <row r="1004" spans="22:25" x14ac:dyDescent="0.2">
      <c r="V1004" s="18">
        <v>1.002</v>
      </c>
      <c r="W1004" s="20">
        <f t="shared" si="59"/>
        <v>0.16415901527351712</v>
      </c>
      <c r="X1004" s="20">
        <f t="shared" si="60"/>
        <v>4.1425938954254761E-2</v>
      </c>
      <c r="Y1004" s="20">
        <f t="shared" si="61"/>
        <v>0.40770886486927971</v>
      </c>
    </row>
    <row r="1005" spans="22:25" x14ac:dyDescent="0.2">
      <c r="V1005" s="18">
        <v>1.0029999999999999</v>
      </c>
      <c r="W1005" s="20">
        <f t="shared" si="59"/>
        <v>0.16420064538035778</v>
      </c>
      <c r="X1005" s="20">
        <f t="shared" si="60"/>
        <v>4.1834588149511499E-2</v>
      </c>
      <c r="Y1005" s="20">
        <f t="shared" si="61"/>
        <v>0.40958939922842053</v>
      </c>
    </row>
    <row r="1006" spans="22:25" x14ac:dyDescent="0.2">
      <c r="V1006" s="18">
        <v>1.004</v>
      </c>
      <c r="W1006" s="20">
        <f t="shared" si="59"/>
        <v>0.16424268507653206</v>
      </c>
      <c r="X1006" s="20">
        <f t="shared" si="60"/>
        <v>4.2245117491860364E-2</v>
      </c>
      <c r="Y1006" s="20">
        <f t="shared" si="61"/>
        <v>0.41146915102851711</v>
      </c>
    </row>
    <row r="1007" spans="22:25" x14ac:dyDescent="0.2">
      <c r="V1007" s="18">
        <v>1.0049999999999999</v>
      </c>
      <c r="W1007" s="20">
        <f t="shared" si="59"/>
        <v>0.16428513624178878</v>
      </c>
      <c r="X1007" s="20">
        <f t="shared" si="60"/>
        <v>4.2657526174642059E-2</v>
      </c>
      <c r="Y1007" s="20">
        <f t="shared" si="61"/>
        <v>0.4133480720452738</v>
      </c>
    </row>
    <row r="1008" spans="22:25" x14ac:dyDescent="0.2">
      <c r="V1008" s="18">
        <v>1.006</v>
      </c>
      <c r="W1008" s="20">
        <f t="shared" si="59"/>
        <v>0.16432800075504389</v>
      </c>
      <c r="X1008" s="20">
        <f t="shared" si="60"/>
        <v>4.3071813342896927E-2</v>
      </c>
      <c r="Y1008" s="20">
        <f t="shared" si="61"/>
        <v>0.41522611389341435</v>
      </c>
    </row>
    <row r="1009" spans="22:25" x14ac:dyDescent="0.2">
      <c r="V1009" s="18">
        <v>1.0069999999999999</v>
      </c>
      <c r="W1009" s="20">
        <f t="shared" si="59"/>
        <v>0.16437128049433572</v>
      </c>
      <c r="X1009" s="20">
        <f t="shared" si="60"/>
        <v>4.348797809319286E-2</v>
      </c>
      <c r="Y1009" s="20">
        <f t="shared" si="61"/>
        <v>0.41710322802670152</v>
      </c>
    </row>
    <row r="1010" spans="22:25" x14ac:dyDescent="0.2">
      <c r="V1010" s="18">
        <v>1.008</v>
      </c>
      <c r="W1010" s="20">
        <f t="shared" si="59"/>
        <v>0.1644149773367739</v>
      </c>
      <c r="X1010" s="20">
        <f t="shared" si="60"/>
        <v>4.3906019473477866E-2</v>
      </c>
      <c r="Y1010" s="20">
        <f t="shared" si="61"/>
        <v>0.41897936573793881</v>
      </c>
    </row>
    <row r="1011" spans="22:25" x14ac:dyDescent="0.2">
      <c r="V1011" s="18">
        <v>1.0089999999999999</v>
      </c>
      <c r="W1011" s="20">
        <f t="shared" si="59"/>
        <v>0.16445909315849264</v>
      </c>
      <c r="X1011" s="20">
        <f t="shared" si="60"/>
        <v>4.4325936482907426E-2</v>
      </c>
      <c r="Y1011" s="20">
        <f t="shared" si="61"/>
        <v>0.42085447815893673</v>
      </c>
    </row>
    <row r="1012" spans="22:25" x14ac:dyDescent="0.2">
      <c r="V1012" s="18">
        <v>1.01</v>
      </c>
      <c r="W1012" s="20">
        <f t="shared" si="59"/>
        <v>0.16450362983459998</v>
      </c>
      <c r="X1012" s="20">
        <f t="shared" si="60"/>
        <v>4.4747728071691285E-2</v>
      </c>
      <c r="Y1012" s="20">
        <f t="shared" si="61"/>
        <v>0.42272851626055896</v>
      </c>
    </row>
    <row r="1013" spans="22:25" x14ac:dyDescent="0.2">
      <c r="V1013" s="18">
        <v>1.0109999999999999</v>
      </c>
      <c r="W1013" s="20">
        <f t="shared" si="59"/>
        <v>0.16454858923913018</v>
      </c>
      <c r="X1013" s="20">
        <f t="shared" si="60"/>
        <v>4.5171393140927808E-2</v>
      </c>
      <c r="Y1013" s="20">
        <f t="shared" si="61"/>
        <v>0.42460143085270108</v>
      </c>
    </row>
    <row r="1014" spans="22:25" x14ac:dyDescent="0.2">
      <c r="V1014" s="18">
        <v>1.012</v>
      </c>
      <c r="W1014" s="20">
        <f t="shared" si="59"/>
        <v>0.1645939732449935</v>
      </c>
      <c r="X1014" s="20">
        <f t="shared" si="60"/>
        <v>4.5596930542443216E-2</v>
      </c>
      <c r="Y1014" s="20">
        <f t="shared" si="61"/>
        <v>0.4264731725842692</v>
      </c>
    </row>
    <row r="1015" spans="22:25" x14ac:dyDescent="0.2">
      <c r="V1015" s="18">
        <v>1.0129999999999999</v>
      </c>
      <c r="W1015" s="20">
        <f t="shared" si="59"/>
        <v>0.16463978372392707</v>
      </c>
      <c r="X1015" s="20">
        <f t="shared" si="60"/>
        <v>4.6024339078639821E-2</v>
      </c>
      <c r="Y1015" s="20">
        <f t="shared" si="61"/>
        <v>0.42834369194322264</v>
      </c>
    </row>
    <row r="1016" spans="22:25" x14ac:dyDescent="0.2">
      <c r="V1016" s="18">
        <v>1.014</v>
      </c>
      <c r="W1016" s="20">
        <f t="shared" si="59"/>
        <v>0.16468602254644707</v>
      </c>
      <c r="X1016" s="20">
        <f t="shared" si="60"/>
        <v>4.6453617502317503E-2</v>
      </c>
      <c r="Y1016" s="20">
        <f t="shared" si="61"/>
        <v>0.43021293925654192</v>
      </c>
    </row>
    <row r="1017" spans="22:25" x14ac:dyDescent="0.2">
      <c r="V1017" s="18">
        <v>1.0149999999999999</v>
      </c>
      <c r="W1017" s="20">
        <f t="shared" si="59"/>
        <v>0.16473269158179593</v>
      </c>
      <c r="X1017" s="20">
        <f t="shared" si="60"/>
        <v>4.6884764516527379E-2</v>
      </c>
      <c r="Y1017" s="20">
        <f t="shared" si="61"/>
        <v>0.43208086469024476</v>
      </c>
    </row>
    <row r="1018" spans="22:25" x14ac:dyDescent="0.2">
      <c r="V1018" s="18">
        <v>1.016</v>
      </c>
      <c r="W1018" s="20">
        <f t="shared" si="59"/>
        <v>0.16477979269789542</v>
      </c>
      <c r="X1018" s="20">
        <f t="shared" si="60"/>
        <v>4.7317778774408382E-2</v>
      </c>
      <c r="Y1018" s="20">
        <f t="shared" si="61"/>
        <v>0.43394741824937011</v>
      </c>
    </row>
    <row r="1019" spans="22:25" x14ac:dyDescent="0.2">
      <c r="V1019" s="18">
        <v>1.0169999999999999</v>
      </c>
      <c r="W1019" s="20">
        <f t="shared" si="59"/>
        <v>0.16482732776129416</v>
      </c>
      <c r="X1019" s="20">
        <f t="shared" si="60"/>
        <v>4.7752658879018618E-2</v>
      </c>
      <c r="Y1019" s="20">
        <f t="shared" si="61"/>
        <v>0.43581254977801187</v>
      </c>
    </row>
    <row r="1020" spans="22:25" x14ac:dyDescent="0.2">
      <c r="V1020" s="18">
        <v>1.018</v>
      </c>
      <c r="W1020" s="20">
        <f t="shared" si="59"/>
        <v>0.16487529863712036</v>
      </c>
      <c r="X1020" s="20">
        <f t="shared" si="60"/>
        <v>4.8189403383183484E-2</v>
      </c>
      <c r="Y1020" s="20">
        <f t="shared" si="61"/>
        <v>0.43767620895927273</v>
      </c>
    </row>
    <row r="1021" spans="22:25" x14ac:dyDescent="0.2">
      <c r="V1021" s="18">
        <v>1.0189999999999999</v>
      </c>
      <c r="W1021" s="20">
        <f t="shared" si="59"/>
        <v>0.16492370718902838</v>
      </c>
      <c r="X1021" s="20">
        <f t="shared" si="60"/>
        <v>4.8628010789330912E-2</v>
      </c>
      <c r="Y1021" s="20">
        <f t="shared" si="61"/>
        <v>0.43953834531529612</v>
      </c>
    </row>
    <row r="1022" spans="22:25" x14ac:dyDescent="0.2">
      <c r="V1022" s="18">
        <v>1.02</v>
      </c>
      <c r="W1022" s="20">
        <f t="shared" si="59"/>
        <v>0.16497255527915089</v>
      </c>
      <c r="X1022" s="20">
        <f t="shared" si="60"/>
        <v>4.9068479549328393E-2</v>
      </c>
      <c r="Y1022" s="20">
        <f t="shared" si="61"/>
        <v>0.44139890820724492</v>
      </c>
    </row>
    <row r="1023" spans="22:25" x14ac:dyDescent="0.2">
      <c r="V1023" s="18">
        <v>1.0209999999999999</v>
      </c>
      <c r="W1023" s="20">
        <f t="shared" si="59"/>
        <v>0.16502184476804629</v>
      </c>
      <c r="X1023" s="20">
        <f t="shared" si="60"/>
        <v>4.9510808064324875E-2</v>
      </c>
      <c r="Y1023" s="20">
        <f t="shared" si="61"/>
        <v>0.44325784683534053</v>
      </c>
    </row>
    <row r="1024" spans="22:25" x14ac:dyDescent="0.2">
      <c r="V1024" s="18">
        <v>1.022</v>
      </c>
      <c r="W1024" s="20">
        <f t="shared" si="59"/>
        <v>0.16507157751464846</v>
      </c>
      <c r="X1024" s="20">
        <f t="shared" si="60"/>
        <v>4.9954994684592226E-2</v>
      </c>
      <c r="Y1024" s="20">
        <f t="shared" si="61"/>
        <v>0.44511511023880956</v>
      </c>
    </row>
    <row r="1025" spans="22:25" x14ac:dyDescent="0.2">
      <c r="V1025" s="18">
        <v>1.0229999999999999</v>
      </c>
      <c r="W1025" s="20">
        <f t="shared" si="59"/>
        <v>0.16512175537621723</v>
      </c>
      <c r="X1025" s="20">
        <f t="shared" si="60"/>
        <v>5.0401037709356146E-2</v>
      </c>
      <c r="Y1025" s="20">
        <f t="shared" si="61"/>
        <v>0.44697064729592295</v>
      </c>
    </row>
    <row r="1026" spans="22:25" x14ac:dyDescent="0.2">
      <c r="V1026" s="18">
        <v>1.024</v>
      </c>
      <c r="W1026" s="20">
        <f t="shared" si="59"/>
        <v>0.16517238020828556</v>
      </c>
      <c r="X1026" s="20">
        <f t="shared" si="60"/>
        <v>5.0848935386641182E-2</v>
      </c>
      <c r="Y1026" s="20">
        <f t="shared" si="61"/>
        <v>0.44882440672398882</v>
      </c>
    </row>
    <row r="1027" spans="22:25" x14ac:dyDescent="0.2">
      <c r="V1027" s="18">
        <v>1.0249999999999999</v>
      </c>
      <c r="W1027" s="20">
        <f t="shared" ref="W1027:W1090" si="62" xml:space="preserve"> -0.223567093536985*V1027^6 + 0.944228289125022*V1027^5 - 1.39425331473467*V1027^4 + 0.919786041369661*V1027^3 - 0.280641903613287*V1027^2 + 0.0398143416441599*V1027 + 0.158710616051081</f>
        <v>0.16522345386460777</v>
      </c>
      <c r="X1027" s="20">
        <f t="shared" ref="X1027:X1090" si="63" xml:space="preserve"> 6*-0.223567093536985*V1027^5 + 5*0.944228289125022*V1027^4 - 4*1.39425331473467*V1027^3 + 3*0.919786041369661*V1027^2 - 2*0.280641903613287*V1027^1 + 0.0398143416441599</f>
        <v>5.1298685913114629E-2</v>
      </c>
      <c r="Y1027" s="20">
        <f t="shared" ref="Y1027:Y1090" si="64" xml:space="preserve"> 5*6*-0.223567093536985*V1027^4 + 4*5*0.944228289125022*V1027^3 - 3*4*1.39425331473467*V1027^2 + 2*3*0.919786041369661*V1027^1 - 2*0.280641903613287</f>
        <v>0.45067633707932764</v>
      </c>
    </row>
    <row r="1028" spans="22:25" x14ac:dyDescent="0.2">
      <c r="V1028" s="18">
        <v>1.026</v>
      </c>
      <c r="W1028" s="20">
        <f t="shared" si="62"/>
        <v>0.1652749781971104</v>
      </c>
      <c r="X1028" s="20">
        <f t="shared" si="63"/>
        <v>5.1750287433910226E-2</v>
      </c>
      <c r="Y1028" s="20">
        <f t="shared" si="64"/>
        <v>0.45252638675730594</v>
      </c>
    </row>
    <row r="1029" spans="22:25" x14ac:dyDescent="0.2">
      <c r="V1029" s="18">
        <v>1.0269999999999999</v>
      </c>
      <c r="W1029" s="20">
        <f t="shared" si="62"/>
        <v>0.16532695505583872</v>
      </c>
      <c r="X1029" s="20">
        <f t="shared" si="63"/>
        <v>5.2203738042483495E-2</v>
      </c>
      <c r="Y1029" s="20">
        <f t="shared" si="64"/>
        <v>0.45437450399232748</v>
      </c>
    </row>
    <row r="1030" spans="22:25" x14ac:dyDescent="0.2">
      <c r="V1030" s="18">
        <v>1.028</v>
      </c>
      <c r="W1030" s="20">
        <f t="shared" si="62"/>
        <v>0.16537938628890567</v>
      </c>
      <c r="X1030" s="20">
        <f t="shared" si="63"/>
        <v>5.2659035780440767E-2</v>
      </c>
      <c r="Y1030" s="20">
        <f t="shared" si="64"/>
        <v>0.45622063685780478</v>
      </c>
    </row>
    <row r="1031" spans="22:25" x14ac:dyDescent="0.2">
      <c r="V1031" s="18">
        <v>1.0289999999999999</v>
      </c>
      <c r="W1031" s="20">
        <f t="shared" si="62"/>
        <v>0.16543227374243963</v>
      </c>
      <c r="X1031" s="20">
        <f t="shared" si="63"/>
        <v>5.3116178637382418E-2</v>
      </c>
      <c r="Y1031" s="20">
        <f t="shared" si="64"/>
        <v>0.45806473326621244</v>
      </c>
    </row>
    <row r="1032" spans="22:25" x14ac:dyDescent="0.2">
      <c r="V1032" s="18">
        <v>1.03</v>
      </c>
      <c r="W1032" s="20">
        <f t="shared" si="62"/>
        <v>0.16548561926053315</v>
      </c>
      <c r="X1032" s="20">
        <f t="shared" si="63"/>
        <v>5.3575164550739442E-2</v>
      </c>
      <c r="Y1032" s="20">
        <f t="shared" si="64"/>
        <v>0.45990674096903206</v>
      </c>
    </row>
    <row r="1033" spans="22:25" x14ac:dyDescent="0.2">
      <c r="V1033" s="18">
        <v>1.0309999999999999</v>
      </c>
      <c r="W1033" s="20">
        <f t="shared" si="62"/>
        <v>0.16553942468518884</v>
      </c>
      <c r="X1033" s="20">
        <f t="shared" si="63"/>
        <v>5.4035991405617247E-2</v>
      </c>
      <c r="Y1033" s="20">
        <f t="shared" si="64"/>
        <v>0.46174660755678509</v>
      </c>
    </row>
    <row r="1034" spans="22:25" x14ac:dyDescent="0.2">
      <c r="V1034" s="18">
        <v>1.032</v>
      </c>
      <c r="W1034" s="20">
        <f t="shared" si="62"/>
        <v>0.16559369185626963</v>
      </c>
      <c r="X1034" s="20">
        <f t="shared" si="63"/>
        <v>5.4498657034626453E-2</v>
      </c>
      <c r="Y1034" s="20">
        <f t="shared" si="64"/>
        <v>0.46358428045903377</v>
      </c>
    </row>
    <row r="1035" spans="22:25" x14ac:dyDescent="0.2">
      <c r="V1035" s="18">
        <v>1.0329999999999999</v>
      </c>
      <c r="W1035" s="20">
        <f t="shared" si="62"/>
        <v>0.16564842261144358</v>
      </c>
      <c r="X1035" s="20">
        <f t="shared" si="63"/>
        <v>5.4963159217729464E-2</v>
      </c>
      <c r="Y1035" s="20">
        <f t="shared" si="64"/>
        <v>0.46541970694435353</v>
      </c>
    </row>
    <row r="1036" spans="22:25" x14ac:dyDescent="0.2">
      <c r="V1036" s="18">
        <v>1.034</v>
      </c>
      <c r="W1036" s="20">
        <f t="shared" si="62"/>
        <v>0.16570361878613293</v>
      </c>
      <c r="X1036" s="20">
        <f t="shared" si="63"/>
        <v>5.5429495682080145E-2</v>
      </c>
      <c r="Y1036" s="20">
        <f t="shared" si="64"/>
        <v>0.46725283412037122</v>
      </c>
    </row>
    <row r="1037" spans="22:25" x14ac:dyDescent="0.2">
      <c r="V1037" s="18">
        <v>1.0349999999999999</v>
      </c>
      <c r="W1037" s="20">
        <f t="shared" si="62"/>
        <v>0.16575928221346004</v>
      </c>
      <c r="X1037" s="20">
        <f t="shared" si="63"/>
        <v>5.5897664101852519E-2</v>
      </c>
      <c r="Y1037" s="20">
        <f t="shared" si="64"/>
        <v>0.46908360893372247</v>
      </c>
    </row>
    <row r="1038" spans="22:25" x14ac:dyDescent="0.2">
      <c r="V1038" s="18">
        <v>1.036</v>
      </c>
      <c r="W1038" s="20">
        <f t="shared" si="62"/>
        <v>0.16581541472419598</v>
      </c>
      <c r="X1038" s="20">
        <f t="shared" si="63"/>
        <v>5.6367662098090222E-2</v>
      </c>
      <c r="Y1038" s="20">
        <f t="shared" si="64"/>
        <v>0.47091197817010677</v>
      </c>
    </row>
    <row r="1039" spans="22:25" x14ac:dyDescent="0.2">
      <c r="V1039" s="18">
        <v>1.0369999999999999</v>
      </c>
      <c r="W1039" s="20">
        <f t="shared" si="62"/>
        <v>0.16587201814670482</v>
      </c>
      <c r="X1039" s="20">
        <f t="shared" si="63"/>
        <v>5.6839487238543519E-2</v>
      </c>
      <c r="Y1039" s="20">
        <f t="shared" si="64"/>
        <v>0.47273788845421816</v>
      </c>
    </row>
    <row r="1040" spans="22:25" x14ac:dyDescent="0.2">
      <c r="V1040" s="18">
        <v>1.038</v>
      </c>
      <c r="W1040" s="20">
        <f t="shared" si="62"/>
        <v>0.16592909430689307</v>
      </c>
      <c r="X1040" s="20">
        <f t="shared" si="63"/>
        <v>5.7313137037504992E-2</v>
      </c>
      <c r="Y1040" s="20">
        <f t="shared" si="64"/>
        <v>0.47456128624981631</v>
      </c>
    </row>
    <row r="1041" spans="22:25" x14ac:dyDescent="0.2">
      <c r="V1041" s="18">
        <v>1.0389999999999999</v>
      </c>
      <c r="W1041" s="20">
        <f t="shared" si="62"/>
        <v>0.16598664502815383</v>
      </c>
      <c r="X1041" s="20">
        <f t="shared" si="63"/>
        <v>5.7788608955648781E-2</v>
      </c>
      <c r="Y1041" s="20">
        <f t="shared" si="64"/>
        <v>0.47638211785966611</v>
      </c>
    </row>
    <row r="1042" spans="22:25" x14ac:dyDescent="0.2">
      <c r="V1042" s="18">
        <v>1.04</v>
      </c>
      <c r="W1042" s="20">
        <f t="shared" si="62"/>
        <v>0.16604467213131346</v>
      </c>
      <c r="X1042" s="20">
        <f t="shared" si="63"/>
        <v>5.8265900399878258E-2</v>
      </c>
      <c r="Y1042" s="20">
        <f t="shared" si="64"/>
        <v>0.478200329425575</v>
      </c>
    </row>
    <row r="1043" spans="22:25" x14ac:dyDescent="0.2">
      <c r="V1043" s="18">
        <v>1.0409999999999999</v>
      </c>
      <c r="W1043" s="20">
        <f t="shared" si="62"/>
        <v>0.16610317743458017</v>
      </c>
      <c r="X1043" s="20">
        <f t="shared" si="63"/>
        <v>5.874500872314762E-2</v>
      </c>
      <c r="Y1043" s="20">
        <f t="shared" si="64"/>
        <v>0.48001586692839471</v>
      </c>
    </row>
    <row r="1044" spans="22:25" x14ac:dyDescent="0.2">
      <c r="V1044" s="18">
        <v>1.042</v>
      </c>
      <c r="W1044" s="20">
        <f t="shared" si="62"/>
        <v>0.16616216275348616</v>
      </c>
      <c r="X1044" s="20">
        <f t="shared" si="63"/>
        <v>5.9225931224321994E-2</v>
      </c>
      <c r="Y1044" s="20">
        <f t="shared" si="64"/>
        <v>0.48182867618798042</v>
      </c>
    </row>
    <row r="1045" spans="22:25" x14ac:dyDescent="0.2">
      <c r="V1045" s="18">
        <v>1.0429999999999999</v>
      </c>
      <c r="W1045" s="20">
        <f t="shared" si="62"/>
        <v>0.16622162990083697</v>
      </c>
      <c r="X1045" s="20">
        <f t="shared" si="63"/>
        <v>5.9708665147997809E-2</v>
      </c>
      <c r="Y1045" s="20">
        <f t="shared" si="64"/>
        <v>0.48363870286324229</v>
      </c>
    </row>
    <row r="1046" spans="22:25" x14ac:dyDescent="0.2">
      <c r="V1046" s="18">
        <v>1.044</v>
      </c>
      <c r="W1046" s="20">
        <f t="shared" si="62"/>
        <v>0.16628158068665397</v>
      </c>
      <c r="X1046" s="20">
        <f t="shared" si="63"/>
        <v>6.0193207684354468E-2</v>
      </c>
      <c r="Y1046" s="20">
        <f t="shared" si="64"/>
        <v>0.48544589245212233</v>
      </c>
    </row>
    <row r="1047" spans="22:25" x14ac:dyDescent="0.2">
      <c r="V1047" s="18">
        <v>1.0449999999999999</v>
      </c>
      <c r="W1047" s="20">
        <f t="shared" si="62"/>
        <v>0.16634201691812284</v>
      </c>
      <c r="X1047" s="20">
        <f t="shared" si="63"/>
        <v>6.0679555968986144E-2</v>
      </c>
      <c r="Y1047" s="20">
        <f t="shared" si="64"/>
        <v>0.4872501902915678</v>
      </c>
    </row>
    <row r="1048" spans="22:25" x14ac:dyDescent="0.2">
      <c r="V1048" s="18">
        <v>1.046</v>
      </c>
      <c r="W1048" s="20">
        <f t="shared" si="62"/>
        <v>0.16640294039953571</v>
      </c>
      <c r="X1048" s="20">
        <f t="shared" si="63"/>
        <v>6.1167707082748136E-2</v>
      </c>
      <c r="Y1048" s="20">
        <f t="shared" si="64"/>
        <v>0.48905154155758979</v>
      </c>
    </row>
    <row r="1049" spans="22:25" x14ac:dyDescent="0.2">
      <c r="V1049" s="18">
        <v>1.0469999999999999</v>
      </c>
      <c r="W1049" s="20">
        <f t="shared" si="62"/>
        <v>0.1664643529322401</v>
      </c>
      <c r="X1049" s="20">
        <f t="shared" si="63"/>
        <v>6.1657658051584997E-2</v>
      </c>
      <c r="Y1049" s="20">
        <f t="shared" si="64"/>
        <v>0.49084989126521705</v>
      </c>
    </row>
    <row r="1050" spans="22:25" x14ac:dyDescent="0.2">
      <c r="V1050" s="18">
        <v>1.048</v>
      </c>
      <c r="W1050" s="20">
        <f t="shared" si="62"/>
        <v>0.16652625631458109</v>
      </c>
      <c r="X1050" s="20">
        <f t="shared" si="63"/>
        <v>6.2149405846380436E-2</v>
      </c>
      <c r="Y1050" s="20">
        <f t="shared" si="64"/>
        <v>0.49264518426850223</v>
      </c>
    </row>
    <row r="1051" spans="22:25" x14ac:dyDescent="0.2">
      <c r="V1051" s="18">
        <v>1.0489999999999999</v>
      </c>
      <c r="W1051" s="20">
        <f t="shared" si="62"/>
        <v>0.16658865234184733</v>
      </c>
      <c r="X1051" s="20">
        <f t="shared" si="63"/>
        <v>6.264294738278689E-2</v>
      </c>
      <c r="Y1051" s="20">
        <f t="shared" si="64"/>
        <v>0.49443736526055471</v>
      </c>
    </row>
    <row r="1052" spans="22:25" x14ac:dyDescent="0.2">
      <c r="V1052" s="18">
        <v>1.05</v>
      </c>
      <c r="W1052" s="20">
        <f t="shared" si="62"/>
        <v>0.16665154280621508</v>
      </c>
      <c r="X1052" s="20">
        <f t="shared" si="63"/>
        <v>6.313827952107412E-2</v>
      </c>
      <c r="Y1052" s="20">
        <f t="shared" si="64"/>
        <v>0.49622637877348463</v>
      </c>
    </row>
    <row r="1053" spans="22:25" x14ac:dyDescent="0.2">
      <c r="V1053" s="18">
        <v>1.0509999999999999</v>
      </c>
      <c r="W1053" s="20">
        <f t="shared" si="62"/>
        <v>0.16671492949669237</v>
      </c>
      <c r="X1053" s="20">
        <f t="shared" si="63"/>
        <v>6.3635399065965964E-2</v>
      </c>
      <c r="Y1053" s="20">
        <f t="shared" si="64"/>
        <v>0.49801216917844293</v>
      </c>
    </row>
    <row r="1054" spans="22:25" x14ac:dyDescent="0.2">
      <c r="V1054" s="18">
        <v>1.052</v>
      </c>
      <c r="W1054" s="20">
        <f t="shared" si="62"/>
        <v>0.16677881419906571</v>
      </c>
      <c r="X1054" s="20">
        <f t="shared" si="63"/>
        <v>6.4134302766469392E-2</v>
      </c>
      <c r="Y1054" s="20">
        <f t="shared" si="64"/>
        <v>0.49979468068563371</v>
      </c>
    </row>
    <row r="1055" spans="22:25" x14ac:dyDescent="0.2">
      <c r="V1055" s="18">
        <v>1.0529999999999999</v>
      </c>
      <c r="W1055" s="20">
        <f t="shared" si="62"/>
        <v>0.16684319869584213</v>
      </c>
      <c r="X1055" s="20">
        <f t="shared" si="63"/>
        <v>6.4634987315724063E-2</v>
      </c>
      <c r="Y1055" s="20">
        <f t="shared" si="64"/>
        <v>0.50157385734426629</v>
      </c>
    </row>
    <row r="1056" spans="22:25" x14ac:dyDescent="0.2">
      <c r="V1056" s="18">
        <v>1.054</v>
      </c>
      <c r="W1056" s="20">
        <f t="shared" si="62"/>
        <v>0.1669080847661934</v>
      </c>
      <c r="X1056" s="20">
        <f t="shared" si="63"/>
        <v>6.5137449350838456E-2</v>
      </c>
      <c r="Y1056" s="20">
        <f t="shared" si="64"/>
        <v>0.50334964304259966</v>
      </c>
    </row>
    <row r="1057" spans="22:25" x14ac:dyDescent="0.2">
      <c r="V1057" s="18">
        <v>1.0549999999999999</v>
      </c>
      <c r="W1057" s="20">
        <f t="shared" si="62"/>
        <v>0.16697347418589983</v>
      </c>
      <c r="X1057" s="20">
        <f t="shared" si="63"/>
        <v>6.5641685452732662E-2</v>
      </c>
      <c r="Y1057" s="20">
        <f t="shared" si="64"/>
        <v>0.50512198150790866</v>
      </c>
    </row>
    <row r="1058" spans="22:25" x14ac:dyDescent="0.2">
      <c r="V1058" s="18">
        <v>1.056</v>
      </c>
      <c r="W1058" s="20">
        <f t="shared" si="62"/>
        <v>0.16703936872729669</v>
      </c>
      <c r="X1058" s="20">
        <f t="shared" si="63"/>
        <v>6.6147692145967857E-2</v>
      </c>
      <c r="Y1058" s="20">
        <f t="shared" si="64"/>
        <v>0.50689081630650712</v>
      </c>
    </row>
    <row r="1059" spans="22:25" x14ac:dyDescent="0.2">
      <c r="V1059" s="18">
        <v>1.0569999999999999</v>
      </c>
      <c r="W1059" s="20">
        <f t="shared" si="62"/>
        <v>0.16710577015921249</v>
      </c>
      <c r="X1059" s="20">
        <f t="shared" si="63"/>
        <v>6.6655465898595306E-2</v>
      </c>
      <c r="Y1059" s="20">
        <f t="shared" si="64"/>
        <v>0.50865609084375141</v>
      </c>
    </row>
    <row r="1060" spans="22:25" x14ac:dyDescent="0.2">
      <c r="V1060" s="18">
        <v>1.0580000000000001</v>
      </c>
      <c r="W1060" s="20">
        <f t="shared" si="62"/>
        <v>0.16717268024691795</v>
      </c>
      <c r="X1060" s="20">
        <f t="shared" si="63"/>
        <v>6.7165003121984063E-2</v>
      </c>
      <c r="Y1060" s="20">
        <f t="shared" si="64"/>
        <v>0.51041774836401199</v>
      </c>
    </row>
    <row r="1061" spans="22:25" x14ac:dyDescent="0.2">
      <c r="V1061" s="18">
        <v>1.0589999999999999</v>
      </c>
      <c r="W1061" s="20">
        <f t="shared" si="62"/>
        <v>0.16724010075206538</v>
      </c>
      <c r="X1061" s="20">
        <f t="shared" si="63"/>
        <v>6.767630017067941E-2</v>
      </c>
      <c r="Y1061" s="20">
        <f t="shared" si="64"/>
        <v>0.51217573195069832</v>
      </c>
    </row>
    <row r="1062" spans="22:25" x14ac:dyDescent="0.2">
      <c r="V1062" s="18">
        <v>1.06</v>
      </c>
      <c r="W1062" s="20">
        <f t="shared" si="62"/>
        <v>0.16730803343263412</v>
      </c>
      <c r="X1062" s="20">
        <f t="shared" si="63"/>
        <v>6.8189353342217235E-2</v>
      </c>
      <c r="Y1062" s="20">
        <f t="shared" si="64"/>
        <v>0.51392998452625704</v>
      </c>
    </row>
    <row r="1063" spans="22:25" x14ac:dyDescent="0.2">
      <c r="V1063" s="18">
        <v>1.0609999999999999</v>
      </c>
      <c r="W1063" s="20">
        <f t="shared" si="62"/>
        <v>0.16737648004287159</v>
      </c>
      <c r="X1063" s="20">
        <f t="shared" si="63"/>
        <v>6.8704158876983917E-2</v>
      </c>
      <c r="Y1063" s="20">
        <f t="shared" si="64"/>
        <v>0.5156804488521507</v>
      </c>
    </row>
    <row r="1064" spans="22:25" x14ac:dyDescent="0.2">
      <c r="V1064" s="18">
        <v>1.0620000000000001</v>
      </c>
      <c r="W1064" s="20">
        <f t="shared" si="62"/>
        <v>0.16744544233323735</v>
      </c>
      <c r="X1064" s="20">
        <f t="shared" si="63"/>
        <v>6.9220712958041802E-2</v>
      </c>
      <c r="Y1064" s="20">
        <f t="shared" si="64"/>
        <v>0.517427067528895</v>
      </c>
    </row>
    <row r="1065" spans="22:25" x14ac:dyDescent="0.2">
      <c r="V1065" s="18">
        <v>1.0629999999999999</v>
      </c>
      <c r="W1065" s="20">
        <f t="shared" si="62"/>
        <v>0.16751492205034574</v>
      </c>
      <c r="X1065" s="20">
        <f t="shared" si="63"/>
        <v>6.9739011710972992E-2</v>
      </c>
      <c r="Y1065" s="20">
        <f t="shared" si="64"/>
        <v>0.51916978299602157</v>
      </c>
    </row>
    <row r="1066" spans="22:25" x14ac:dyDescent="0.2">
      <c r="V1066" s="18">
        <v>1.0640000000000001</v>
      </c>
      <c r="W1066" s="20">
        <f t="shared" si="62"/>
        <v>0.16758492093690666</v>
      </c>
      <c r="X1066" s="20">
        <f t="shared" si="63"/>
        <v>7.0259051203724804E-2</v>
      </c>
      <c r="Y1066" s="20">
        <f t="shared" si="64"/>
        <v>0.52090853753210098</v>
      </c>
    </row>
    <row r="1067" spans="22:25" x14ac:dyDescent="0.2">
      <c r="V1067" s="18">
        <v>1.0649999999999999</v>
      </c>
      <c r="W1067" s="20">
        <f t="shared" si="62"/>
        <v>0.16765544073167049</v>
      </c>
      <c r="X1067" s="20">
        <f t="shared" si="63"/>
        <v>7.078082744643524E-2</v>
      </c>
      <c r="Y1067" s="20">
        <f t="shared" si="64"/>
        <v>0.52264327325472504</v>
      </c>
    </row>
    <row r="1068" spans="22:25" x14ac:dyDescent="0.2">
      <c r="V1068" s="18">
        <v>1.0660000000000001</v>
      </c>
      <c r="W1068" s="20">
        <f t="shared" si="62"/>
        <v>0.16772648316936759</v>
      </c>
      <c r="X1068" s="20">
        <f t="shared" si="63"/>
        <v>7.1304336391283335E-2</v>
      </c>
      <c r="Y1068" s="20">
        <f t="shared" si="64"/>
        <v>0.52437393212053873</v>
      </c>
    </row>
    <row r="1069" spans="22:25" x14ac:dyDescent="0.2">
      <c r="V1069" s="18">
        <v>1.0669999999999999</v>
      </c>
      <c r="W1069" s="20">
        <f t="shared" si="62"/>
        <v>0.1677980499806524</v>
      </c>
      <c r="X1069" s="20">
        <f t="shared" si="63"/>
        <v>7.1829573932323171E-2</v>
      </c>
      <c r="Y1069" s="20">
        <f t="shared" si="64"/>
        <v>0.52610045592519583</v>
      </c>
    </row>
    <row r="1070" spans="22:25" x14ac:dyDescent="0.2">
      <c r="V1070" s="18">
        <v>1.0680000000000001</v>
      </c>
      <c r="W1070" s="20">
        <f t="shared" si="62"/>
        <v>0.16787014289204355</v>
      </c>
      <c r="X1070" s="20">
        <f t="shared" si="63"/>
        <v>7.2356535905325786E-2</v>
      </c>
      <c r="Y1070" s="20">
        <f t="shared" si="64"/>
        <v>0.52782278630339441</v>
      </c>
    </row>
    <row r="1071" spans="22:25" x14ac:dyDescent="0.2">
      <c r="V1071" s="18">
        <v>1.069</v>
      </c>
      <c r="W1071" s="20">
        <f t="shared" si="62"/>
        <v>0.1679427636258668</v>
      </c>
      <c r="X1071" s="20">
        <f t="shared" si="63"/>
        <v>7.2885218087614195E-2</v>
      </c>
      <c r="Y1071" s="20">
        <f t="shared" si="64"/>
        <v>0.52954086472885908</v>
      </c>
    </row>
    <row r="1072" spans="22:25" x14ac:dyDescent="0.2">
      <c r="V1072" s="18">
        <v>1.07</v>
      </c>
      <c r="W1072" s="20">
        <f t="shared" si="62"/>
        <v>0.16801591390019549</v>
      </c>
      <c r="X1072" s="20">
        <f t="shared" si="63"/>
        <v>7.3415616197904404E-2</v>
      </c>
      <c r="Y1072" s="20">
        <f t="shared" si="64"/>
        <v>0.53125463251434812</v>
      </c>
    </row>
    <row r="1073" spans="22:25" x14ac:dyDescent="0.2">
      <c r="V1073" s="18">
        <v>1.071</v>
      </c>
      <c r="W1073" s="20">
        <f t="shared" si="62"/>
        <v>0.16808959542879245</v>
      </c>
      <c r="X1073" s="20">
        <f t="shared" si="63"/>
        <v>7.3947725896149202E-2</v>
      </c>
      <c r="Y1073" s="20">
        <f t="shared" si="64"/>
        <v>0.53296403081165167</v>
      </c>
    </row>
    <row r="1074" spans="22:25" x14ac:dyDescent="0.2">
      <c r="V1074" s="18">
        <v>1.0720000000000001</v>
      </c>
      <c r="W1074" s="20">
        <f t="shared" si="62"/>
        <v>0.16816380992105134</v>
      </c>
      <c r="X1074" s="20">
        <f t="shared" si="63"/>
        <v>7.4481542783365856E-2</v>
      </c>
      <c r="Y1074" s="20">
        <f t="shared" si="64"/>
        <v>0.53466900061159173</v>
      </c>
    </row>
    <row r="1075" spans="22:25" x14ac:dyDescent="0.2">
      <c r="V1075" s="18">
        <v>1.073</v>
      </c>
      <c r="W1075" s="20">
        <f t="shared" si="62"/>
        <v>0.16823855908193694</v>
      </c>
      <c r="X1075" s="20">
        <f t="shared" si="63"/>
        <v>7.5017062401485562E-2</v>
      </c>
      <c r="Y1075" s="20">
        <f t="shared" si="64"/>
        <v>0.53636948274402751</v>
      </c>
    </row>
    <row r="1076" spans="22:25" x14ac:dyDescent="0.2">
      <c r="V1076" s="18">
        <v>1.0740000000000001</v>
      </c>
      <c r="W1076" s="20">
        <f t="shared" si="62"/>
        <v>0.16831384461192628</v>
      </c>
      <c r="X1076" s="20">
        <f t="shared" si="63"/>
        <v>7.5554280233190024E-2</v>
      </c>
      <c r="Y1076" s="20">
        <f t="shared" si="64"/>
        <v>0.53806541787783413</v>
      </c>
    </row>
    <row r="1077" spans="22:25" x14ac:dyDescent="0.2">
      <c r="V1077" s="18">
        <v>1.075</v>
      </c>
      <c r="W1077" s="20">
        <f t="shared" si="62"/>
        <v>0.1683896682069497</v>
      </c>
      <c r="X1077" s="20">
        <f t="shared" si="63"/>
        <v>7.6093191701745361E-2</v>
      </c>
      <c r="Y1077" s="20">
        <f t="shared" si="64"/>
        <v>0.53975674652093808</v>
      </c>
    </row>
    <row r="1078" spans="22:25" x14ac:dyDescent="0.2">
      <c r="V1078" s="18">
        <v>1.0760000000000001</v>
      </c>
      <c r="W1078" s="20">
        <f t="shared" si="62"/>
        <v>0.16846603155833073</v>
      </c>
      <c r="X1078" s="20">
        <f t="shared" si="63"/>
        <v>7.6633792170850229E-2</v>
      </c>
      <c r="Y1078" s="20">
        <f t="shared" si="64"/>
        <v>0.54144340902027999</v>
      </c>
    </row>
    <row r="1079" spans="22:25" x14ac:dyDescent="0.2">
      <c r="V1079" s="18">
        <v>1.077</v>
      </c>
      <c r="W1079" s="20">
        <f t="shared" si="62"/>
        <v>0.16854293635272677</v>
      </c>
      <c r="X1079" s="20">
        <f t="shared" si="63"/>
        <v>7.7176076944468514E-2</v>
      </c>
      <c r="Y1079" s="20">
        <f t="shared" si="64"/>
        <v>0.54312534556184122</v>
      </c>
    </row>
    <row r="1080" spans="22:25" x14ac:dyDescent="0.2">
      <c r="V1080" s="18">
        <v>1.0780000000000001</v>
      </c>
      <c r="W1080" s="20">
        <f t="shared" si="62"/>
        <v>0.16862038427206974</v>
      </c>
      <c r="X1080" s="20">
        <f t="shared" si="63"/>
        <v>7.7720041266665013E-2</v>
      </c>
      <c r="Y1080" s="20">
        <f t="shared" si="64"/>
        <v>0.54480249617063325</v>
      </c>
    </row>
    <row r="1081" spans="22:25" x14ac:dyDescent="0.2">
      <c r="V1081" s="18">
        <v>1.079</v>
      </c>
      <c r="W1081" s="20">
        <f t="shared" si="62"/>
        <v>0.16869837699350509</v>
      </c>
      <c r="X1081" s="20">
        <f t="shared" si="63"/>
        <v>7.8265680321454673E-2</v>
      </c>
      <c r="Y1081" s="20">
        <f t="shared" si="64"/>
        <v>0.54647480071070831</v>
      </c>
    </row>
    <row r="1082" spans="22:25" x14ac:dyDescent="0.2">
      <c r="V1082" s="18">
        <v>1.08</v>
      </c>
      <c r="W1082" s="20">
        <f t="shared" si="62"/>
        <v>0.16877691618933224</v>
      </c>
      <c r="X1082" s="20">
        <f t="shared" si="63"/>
        <v>7.8812989232633385E-2</v>
      </c>
      <c r="Y1082" s="20">
        <f t="shared" si="64"/>
        <v>0.54814219888512916</v>
      </c>
    </row>
    <row r="1083" spans="22:25" x14ac:dyDescent="0.2">
      <c r="V1083" s="18">
        <v>1.081</v>
      </c>
      <c r="W1083" s="20">
        <f t="shared" si="62"/>
        <v>0.16885600352694413</v>
      </c>
      <c r="X1083" s="20">
        <f t="shared" si="63"/>
        <v>7.9361963063620006E-2</v>
      </c>
      <c r="Y1083" s="20">
        <f t="shared" si="64"/>
        <v>0.54980463023601001</v>
      </c>
    </row>
    <row r="1084" spans="22:25" x14ac:dyDescent="0.2">
      <c r="V1084" s="18">
        <v>1.0820000000000001</v>
      </c>
      <c r="W1084" s="20">
        <f t="shared" si="62"/>
        <v>0.16893564066876762</v>
      </c>
      <c r="X1084" s="20">
        <f t="shared" si="63"/>
        <v>7.9912596817292042E-2</v>
      </c>
      <c r="Y1084" s="20">
        <f t="shared" si="64"/>
        <v>0.55146203414449158</v>
      </c>
    </row>
    <row r="1085" spans="22:25" x14ac:dyDescent="0.2">
      <c r="V1085" s="18">
        <v>1.083</v>
      </c>
      <c r="W1085" s="20">
        <f t="shared" si="62"/>
        <v>0.16901582927220116</v>
      </c>
      <c r="X1085" s="20">
        <f t="shared" si="63"/>
        <v>8.0464885435835992E-2</v>
      </c>
      <c r="Y1085" s="20">
        <f t="shared" si="64"/>
        <v>0.55311434983073582</v>
      </c>
    </row>
    <row r="1086" spans="22:25" x14ac:dyDescent="0.2">
      <c r="V1086" s="18">
        <v>1.0840000000000001</v>
      </c>
      <c r="W1086" s="20">
        <f t="shared" si="62"/>
        <v>0.16909657098955544</v>
      </c>
      <c r="X1086" s="20">
        <f t="shared" si="63"/>
        <v>8.1018823800568379E-2</v>
      </c>
      <c r="Y1086" s="20">
        <f t="shared" si="64"/>
        <v>0.55476151635395077</v>
      </c>
    </row>
    <row r="1087" spans="22:25" x14ac:dyDescent="0.2">
      <c r="V1087" s="18">
        <v>1.085</v>
      </c>
      <c r="W1087" s="20">
        <f t="shared" si="62"/>
        <v>0.16917786746799174</v>
      </c>
      <c r="X1087" s="20">
        <f t="shared" si="63"/>
        <v>8.15744067317902E-2</v>
      </c>
      <c r="Y1087" s="20">
        <f t="shared" si="64"/>
        <v>0.55640347261236744</v>
      </c>
    </row>
    <row r="1088" spans="22:25" x14ac:dyDescent="0.2">
      <c r="V1088" s="18">
        <v>1.0860000000000001</v>
      </c>
      <c r="W1088" s="20">
        <f t="shared" si="62"/>
        <v>0.16925972034946141</v>
      </c>
      <c r="X1088" s="20">
        <f t="shared" si="63"/>
        <v>8.2131628988618616E-2</v>
      </c>
      <c r="Y1088" s="20">
        <f t="shared" si="64"/>
        <v>0.55804015734325052</v>
      </c>
    </row>
    <row r="1089" spans="22:25" x14ac:dyDescent="0.2">
      <c r="V1089" s="18">
        <v>1.087</v>
      </c>
      <c r="W1089" s="20">
        <f t="shared" si="62"/>
        <v>0.16934213127064421</v>
      </c>
      <c r="X1089" s="20">
        <f t="shared" si="63"/>
        <v>8.2690485268829078E-2</v>
      </c>
      <c r="Y1089" s="20">
        <f t="shared" si="64"/>
        <v>0.55967150912290542</v>
      </c>
    </row>
    <row r="1090" spans="22:25" x14ac:dyDescent="0.2">
      <c r="V1090" s="18">
        <v>1.0880000000000001</v>
      </c>
      <c r="W1090" s="20">
        <f t="shared" si="62"/>
        <v>0.1694251018628864</v>
      </c>
      <c r="X1090" s="20">
        <f t="shared" si="63"/>
        <v>8.325097020868924E-2</v>
      </c>
      <c r="Y1090" s="20">
        <f t="shared" si="64"/>
        <v>0.56129746636664812</v>
      </c>
    </row>
    <row r="1091" spans="22:25" x14ac:dyDescent="0.2">
      <c r="V1091" s="18">
        <v>1.089</v>
      </c>
      <c r="W1091" s="20">
        <f t="shared" ref="W1091:W1154" si="65" xml:space="preserve"> -0.223567093536985*V1091^6 + 0.944228289125022*V1091^5 - 1.39425331473467*V1091^4 + 0.919786041369661*V1091^3 - 0.280641903613287*V1091^2 + 0.0398143416441599*V1091 + 0.158710616051081</f>
        <v>0.16950863375214018</v>
      </c>
      <c r="X1091" s="20">
        <f t="shared" ref="X1091:X1154" si="66" xml:space="preserve"> 6*-0.223567093536985*V1091^5 + 5*0.944228289125022*V1091^4 - 4*1.39425331473467*V1091^3 + 3*0.919786041369661*V1091^2 - 2*0.280641903613287*V1091^1 + 0.0398143416441599</f>
        <v>8.3813078382804079E-2</v>
      </c>
      <c r="Y1091" s="20">
        <f t="shared" ref="Y1091:Y1154" si="67" xml:space="preserve"> 5*6*-0.223567093536985*V1091^4 + 4*5*0.944228289125022*V1091^3 - 3*4*1.39425331473467*V1091^2 + 2*3*0.919786041369661*V1091^1 - 2*0.280641903613287</f>
        <v>0.56291796732884958</v>
      </c>
    </row>
    <row r="1092" spans="22:25" x14ac:dyDescent="0.2">
      <c r="V1092" s="18">
        <v>1.0900000000000001</v>
      </c>
      <c r="W1092" s="20">
        <f t="shared" si="65"/>
        <v>0.16959272855890184</v>
      </c>
      <c r="X1092" s="20">
        <f t="shared" si="66"/>
        <v>8.4376804303951586E-2</v>
      </c>
      <c r="Y1092" s="20">
        <f t="shared" si="67"/>
        <v>0.56453295010289484</v>
      </c>
    </row>
    <row r="1093" spans="22:25" x14ac:dyDescent="0.2">
      <c r="V1093" s="18">
        <v>1.091</v>
      </c>
      <c r="W1093" s="20">
        <f t="shared" si="65"/>
        <v>0.1696773878981481</v>
      </c>
      <c r="X1093" s="20">
        <f t="shared" si="66"/>
        <v>8.4942142422925554E-2</v>
      </c>
      <c r="Y1093" s="20">
        <f t="shared" si="67"/>
        <v>0.56614235262121326</v>
      </c>
    </row>
    <row r="1094" spans="22:25" x14ac:dyDescent="0.2">
      <c r="V1094" s="18">
        <v>1.0920000000000001</v>
      </c>
      <c r="W1094" s="20">
        <f t="shared" si="65"/>
        <v>0.16976261337927695</v>
      </c>
      <c r="X1094" s="20">
        <f t="shared" si="66"/>
        <v>8.5509087128367273E-2</v>
      </c>
      <c r="Y1094" s="20">
        <f t="shared" si="67"/>
        <v>0.56774611265525721</v>
      </c>
    </row>
    <row r="1095" spans="22:25" x14ac:dyDescent="0.2">
      <c r="V1095" s="18">
        <v>1.093</v>
      </c>
      <c r="W1095" s="20">
        <f t="shared" si="65"/>
        <v>0.16984840660604333</v>
      </c>
      <c r="X1095" s="20">
        <f t="shared" si="66"/>
        <v>8.6077632746612759E-2</v>
      </c>
      <c r="Y1095" s="20">
        <f t="shared" si="67"/>
        <v>0.569344167815518</v>
      </c>
    </row>
    <row r="1096" spans="22:25" x14ac:dyDescent="0.2">
      <c r="V1096" s="18">
        <v>1.0940000000000001</v>
      </c>
      <c r="W1096" s="20">
        <f t="shared" si="65"/>
        <v>0.16993476917649639</v>
      </c>
      <c r="X1096" s="20">
        <f t="shared" si="66"/>
        <v>8.6647773541527112E-2</v>
      </c>
      <c r="Y1096" s="20">
        <f t="shared" si="67"/>
        <v>0.5709364555514993</v>
      </c>
    </row>
    <row r="1097" spans="22:25" x14ac:dyDescent="0.2">
      <c r="V1097" s="18">
        <v>1.095</v>
      </c>
      <c r="W1097" s="20">
        <f t="shared" si="65"/>
        <v>0.17002170268291938</v>
      </c>
      <c r="X1097" s="20">
        <f t="shared" si="66"/>
        <v>8.7219503714340313E-2</v>
      </c>
      <c r="Y1097" s="20">
        <f t="shared" si="67"/>
        <v>0.57252291315177217</v>
      </c>
    </row>
    <row r="1098" spans="22:25" x14ac:dyDescent="0.2">
      <c r="V1098" s="18">
        <v>1.0960000000000001</v>
      </c>
      <c r="W1098" s="20">
        <f t="shared" si="65"/>
        <v>0.17010920871176458</v>
      </c>
      <c r="X1098" s="20">
        <f t="shared" si="66"/>
        <v>8.7792817403496676E-2</v>
      </c>
      <c r="Y1098" s="20">
        <f t="shared" si="67"/>
        <v>0.57410347774391113</v>
      </c>
    </row>
    <row r="1099" spans="22:25" x14ac:dyDescent="0.2">
      <c r="V1099" s="18">
        <v>1.097</v>
      </c>
      <c r="W1099" s="20">
        <f t="shared" si="65"/>
        <v>0.17019728884359087</v>
      </c>
      <c r="X1099" s="20">
        <f t="shared" si="66"/>
        <v>8.8367708684481877E-2</v>
      </c>
      <c r="Y1099" s="20">
        <f t="shared" si="67"/>
        <v>0.57567808629453143</v>
      </c>
    </row>
    <row r="1100" spans="22:25" x14ac:dyDescent="0.2">
      <c r="V1100" s="18">
        <v>1.0980000000000001</v>
      </c>
      <c r="W1100" s="20">
        <f t="shared" si="65"/>
        <v>0.17028594465300237</v>
      </c>
      <c r="X1100" s="20">
        <f t="shared" si="66"/>
        <v>8.8944171569674629E-2</v>
      </c>
      <c r="Y1100" s="20">
        <f t="shared" si="67"/>
        <v>0.5772466756092749</v>
      </c>
    </row>
    <row r="1101" spans="22:25" x14ac:dyDescent="0.2">
      <c r="V1101" s="18">
        <v>1.099</v>
      </c>
      <c r="W1101" s="20">
        <f t="shared" si="65"/>
        <v>0.1703751777085824</v>
      </c>
      <c r="X1101" s="20">
        <f t="shared" si="66"/>
        <v>8.9522200008172709E-2</v>
      </c>
      <c r="Y1101" s="20">
        <f t="shared" si="67"/>
        <v>0.57880918233281342</v>
      </c>
    </row>
    <row r="1102" spans="22:25" x14ac:dyDescent="0.2">
      <c r="V1102" s="18">
        <v>1.1000000000000001</v>
      </c>
      <c r="W1102" s="20">
        <f t="shared" si="65"/>
        <v>0.1704649895728324</v>
      </c>
      <c r="X1102" s="20">
        <f t="shared" si="66"/>
        <v>9.0101787885637524E-2</v>
      </c>
      <c r="Y1102" s="20">
        <f t="shared" si="67"/>
        <v>0.58036554294887566</v>
      </c>
    </row>
    <row r="1103" spans="22:25" x14ac:dyDescent="0.2">
      <c r="V1103" s="18">
        <v>1.101</v>
      </c>
      <c r="W1103" s="20">
        <f t="shared" si="65"/>
        <v>0.17055538180210811</v>
      </c>
      <c r="X1103" s="20">
        <f t="shared" si="66"/>
        <v>9.0682929024142683E-2</v>
      </c>
      <c r="Y1103" s="20">
        <f t="shared" si="67"/>
        <v>0.58191569378017771</v>
      </c>
    </row>
    <row r="1104" spans="22:25" x14ac:dyDescent="0.2">
      <c r="V1104" s="18">
        <v>1.1020000000000001</v>
      </c>
      <c r="W1104" s="20">
        <f t="shared" si="65"/>
        <v>0.17064635594655481</v>
      </c>
      <c r="X1104" s="20">
        <f t="shared" si="66"/>
        <v>9.1265617181994579E-2</v>
      </c>
      <c r="Y1104" s="20">
        <f t="shared" si="67"/>
        <v>0.5834595709885102</v>
      </c>
    </row>
    <row r="1105" spans="22:25" x14ac:dyDescent="0.2">
      <c r="V1105" s="18">
        <v>1.103</v>
      </c>
      <c r="W1105" s="20">
        <f t="shared" si="65"/>
        <v>0.17073791355004406</v>
      </c>
      <c r="X1105" s="20">
        <f t="shared" si="66"/>
        <v>9.1849846053580625E-2</v>
      </c>
      <c r="Y1105" s="20">
        <f t="shared" si="67"/>
        <v>0.58499711057467074</v>
      </c>
    </row>
    <row r="1106" spans="22:25" x14ac:dyDescent="0.2">
      <c r="V1106" s="18">
        <v>1.1040000000000001</v>
      </c>
      <c r="W1106" s="20">
        <f t="shared" si="65"/>
        <v>0.17083005615011038</v>
      </c>
      <c r="X1106" s="20">
        <f t="shared" si="66"/>
        <v>9.2435609269218261E-2</v>
      </c>
      <c r="Y1106" s="20">
        <f t="shared" si="67"/>
        <v>0.58652824837849593</v>
      </c>
    </row>
    <row r="1107" spans="22:25" x14ac:dyDescent="0.2">
      <c r="V1107" s="18">
        <v>1.105</v>
      </c>
      <c r="W1107" s="20">
        <f t="shared" si="65"/>
        <v>0.17092278527788643</v>
      </c>
      <c r="X1107" s="20">
        <f t="shared" si="66"/>
        <v>9.3022900394974434E-2</v>
      </c>
      <c r="Y1107" s="20">
        <f t="shared" si="67"/>
        <v>0.58805292007885601</v>
      </c>
    </row>
    <row r="1108" spans="22:25" x14ac:dyDescent="0.2">
      <c r="V1108" s="18">
        <v>1.1060000000000001</v>
      </c>
      <c r="W1108" s="20">
        <f t="shared" si="65"/>
        <v>0.17101610245803833</v>
      </c>
      <c r="X1108" s="20">
        <f t="shared" si="66"/>
        <v>9.3611712932515051E-2</v>
      </c>
      <c r="Y1108" s="20">
        <f t="shared" si="67"/>
        <v>0.58957106119364067</v>
      </c>
    </row>
    <row r="1109" spans="22:25" x14ac:dyDescent="0.2">
      <c r="V1109" s="18">
        <v>1.107</v>
      </c>
      <c r="W1109" s="20">
        <f t="shared" si="65"/>
        <v>0.17111000920870204</v>
      </c>
      <c r="X1109" s="20">
        <f t="shared" si="66"/>
        <v>9.4202040318952768E-2</v>
      </c>
      <c r="Y1109" s="20">
        <f t="shared" si="67"/>
        <v>0.59108260707979277</v>
      </c>
    </row>
    <row r="1110" spans="22:25" x14ac:dyDescent="0.2">
      <c r="V1110" s="18">
        <v>1.1080000000000001</v>
      </c>
      <c r="W1110" s="20">
        <f t="shared" si="65"/>
        <v>0.17120450704141693</v>
      </c>
      <c r="X1110" s="20">
        <f t="shared" si="66"/>
        <v>9.4793875926666243E-2</v>
      </c>
      <c r="Y1110" s="20">
        <f t="shared" si="67"/>
        <v>0.59258749293326751</v>
      </c>
    </row>
    <row r="1111" spans="22:25" x14ac:dyDescent="0.2">
      <c r="V1111" s="18">
        <v>1.109</v>
      </c>
      <c r="W1111" s="20">
        <f t="shared" si="65"/>
        <v>0.17129959746106571</v>
      </c>
      <c r="X1111" s="20">
        <f t="shared" si="66"/>
        <v>9.5387213063154036E-2</v>
      </c>
      <c r="Y1111" s="20">
        <f t="shared" si="67"/>
        <v>0.59408565378906797</v>
      </c>
    </row>
    <row r="1112" spans="22:25" x14ac:dyDescent="0.2">
      <c r="V1112" s="18">
        <v>1.1100000000000001</v>
      </c>
      <c r="W1112" s="20">
        <f t="shared" si="65"/>
        <v>0.17139528196580125</v>
      </c>
      <c r="X1112" s="20">
        <f t="shared" si="66"/>
        <v>9.5982044970870289E-2</v>
      </c>
      <c r="Y1112" s="20">
        <f t="shared" si="67"/>
        <v>0.59557702452120775</v>
      </c>
    </row>
    <row r="1113" spans="22:25" x14ac:dyDescent="0.2">
      <c r="V1113" s="18">
        <v>1.111</v>
      </c>
      <c r="W1113" s="20">
        <f t="shared" si="65"/>
        <v>0.17149156204699101</v>
      </c>
      <c r="X1113" s="20">
        <f t="shared" si="66"/>
        <v>9.6578364827063085E-2</v>
      </c>
      <c r="Y1113" s="20">
        <f t="shared" si="67"/>
        <v>0.59706153984275012</v>
      </c>
    </row>
    <row r="1114" spans="22:25" x14ac:dyDescent="0.2">
      <c r="V1114" s="18">
        <v>1.1120000000000001</v>
      </c>
      <c r="W1114" s="20">
        <f t="shared" si="65"/>
        <v>0.1715884391891431</v>
      </c>
      <c r="X1114" s="20">
        <f t="shared" si="66"/>
        <v>9.7176165743605686E-2</v>
      </c>
      <c r="Y1114" s="20">
        <f t="shared" si="67"/>
        <v>0.59853913430578842</v>
      </c>
    </row>
    <row r="1115" spans="22:25" x14ac:dyDescent="0.2">
      <c r="V1115" s="18">
        <v>1.113</v>
      </c>
      <c r="W1115" s="20">
        <f t="shared" si="65"/>
        <v>0.17168591486984736</v>
      </c>
      <c r="X1115" s="20">
        <f t="shared" si="66"/>
        <v>9.7775440766852767E-2</v>
      </c>
      <c r="Y1115" s="20">
        <f t="shared" si="67"/>
        <v>0.60000974230143367</v>
      </c>
    </row>
    <row r="1116" spans="22:25" x14ac:dyDescent="0.2">
      <c r="V1116" s="18">
        <v>1.1140000000000001</v>
      </c>
      <c r="W1116" s="20">
        <f t="shared" si="65"/>
        <v>0.1717839905597067</v>
      </c>
      <c r="X1116" s="20">
        <f t="shared" si="66"/>
        <v>9.8376182877463664E-2</v>
      </c>
      <c r="Y1116" s="20">
        <f t="shared" si="67"/>
        <v>0.60147329805985361</v>
      </c>
    </row>
    <row r="1117" spans="22:25" x14ac:dyDescent="0.2">
      <c r="V1117" s="18">
        <v>1.115</v>
      </c>
      <c r="W1117" s="20">
        <f t="shared" si="65"/>
        <v>0.17188266772227068</v>
      </c>
      <c r="X1117" s="20">
        <f t="shared" si="66"/>
        <v>9.8978384990251161E-2</v>
      </c>
      <c r="Y1117" s="20">
        <f t="shared" si="67"/>
        <v>0.6029297356502159</v>
      </c>
    </row>
    <row r="1118" spans="22:25" x14ac:dyDescent="0.2">
      <c r="V1118" s="18">
        <v>1.1160000000000001</v>
      </c>
      <c r="W1118" s="20">
        <f t="shared" si="65"/>
        <v>0.17198194781397136</v>
      </c>
      <c r="X1118" s="20">
        <f t="shared" si="66"/>
        <v>9.9582039954014073E-2</v>
      </c>
      <c r="Y1118" s="20">
        <f t="shared" si="67"/>
        <v>0.60437898898074671</v>
      </c>
    </row>
    <row r="1119" spans="22:25" x14ac:dyDescent="0.2">
      <c r="V1119" s="18">
        <v>1.117</v>
      </c>
      <c r="W1119" s="20">
        <f t="shared" si="65"/>
        <v>0.17208183228405727</v>
      </c>
      <c r="X1119" s="20">
        <f t="shared" si="66"/>
        <v>0.10018714055137748</v>
      </c>
      <c r="Y1119" s="20">
        <f t="shared" si="67"/>
        <v>0.6058209917986952</v>
      </c>
    </row>
    <row r="1120" spans="22:25" x14ac:dyDescent="0.2">
      <c r="V1120" s="18">
        <v>1.1180000000000001</v>
      </c>
      <c r="W1120" s="20">
        <f t="shared" si="65"/>
        <v>0.17218232257452537</v>
      </c>
      <c r="X1120" s="20">
        <f t="shared" si="66"/>
        <v>0.1007936794986373</v>
      </c>
      <c r="Y1120" s="20">
        <f t="shared" si="67"/>
        <v>0.60725567769033884</v>
      </c>
    </row>
    <row r="1121" spans="22:25" x14ac:dyDescent="0.2">
      <c r="V1121" s="18">
        <v>1.119</v>
      </c>
      <c r="W1121" s="20">
        <f t="shared" si="65"/>
        <v>0.17228342012005535</v>
      </c>
      <c r="X1121" s="20">
        <f t="shared" si="66"/>
        <v>0.10140164944559329</v>
      </c>
      <c r="Y1121" s="20">
        <f t="shared" si="67"/>
        <v>0.60868298008098165</v>
      </c>
    </row>
    <row r="1122" spans="22:25" x14ac:dyDescent="0.2">
      <c r="V1122" s="18">
        <v>1.1200000000000001</v>
      </c>
      <c r="W1122" s="20">
        <f t="shared" si="65"/>
        <v>0.17238512634794462</v>
      </c>
      <c r="X1122" s="20">
        <f t="shared" si="66"/>
        <v>0.10201104297538791</v>
      </c>
      <c r="Y1122" s="20">
        <f t="shared" si="67"/>
        <v>0.61010283223498263</v>
      </c>
    </row>
    <row r="1123" spans="22:25" x14ac:dyDescent="0.2">
      <c r="V1123" s="18">
        <v>1.121</v>
      </c>
      <c r="W1123" s="20">
        <f t="shared" si="65"/>
        <v>0.17248744267804003</v>
      </c>
      <c r="X1123" s="20">
        <f t="shared" si="66"/>
        <v>0.10262185260435178</v>
      </c>
      <c r="Y1123" s="20">
        <f t="shared" si="67"/>
        <v>0.61151516725570065</v>
      </c>
    </row>
    <row r="1124" spans="22:25" x14ac:dyDescent="0.2">
      <c r="V1124" s="18">
        <v>1.1220000000000001</v>
      </c>
      <c r="W1124" s="20">
        <f t="shared" si="65"/>
        <v>0.17259037052267029</v>
      </c>
      <c r="X1124" s="20">
        <f t="shared" si="66"/>
        <v>0.10323407078183769</v>
      </c>
      <c r="Y1124" s="20">
        <f t="shared" si="67"/>
        <v>0.61291991808554602</v>
      </c>
    </row>
    <row r="1125" spans="22:25" x14ac:dyDescent="0.2">
      <c r="V1125" s="18">
        <v>1.123</v>
      </c>
      <c r="W1125" s="20">
        <f t="shared" si="65"/>
        <v>0.17269391128658099</v>
      </c>
      <c r="X1125" s="20">
        <f t="shared" si="66"/>
        <v>0.10384768989005735</v>
      </c>
      <c r="Y1125" s="20">
        <f t="shared" si="67"/>
        <v>0.61431701750595735</v>
      </c>
    </row>
    <row r="1126" spans="22:25" x14ac:dyDescent="0.2">
      <c r="V1126" s="18">
        <v>1.1240000000000001</v>
      </c>
      <c r="W1126" s="20">
        <f t="shared" si="65"/>
        <v>0.17279806636686629</v>
      </c>
      <c r="X1126" s="20">
        <f t="shared" si="66"/>
        <v>0.10446270224392287</v>
      </c>
      <c r="Y1126" s="20">
        <f t="shared" si="67"/>
        <v>0.61570639813740868</v>
      </c>
    </row>
    <row r="1127" spans="22:25" x14ac:dyDescent="0.2">
      <c r="V1127" s="18">
        <v>1.125</v>
      </c>
      <c r="W1127" s="20">
        <f t="shared" si="65"/>
        <v>0.17290283715290111</v>
      </c>
      <c r="X1127" s="20">
        <f t="shared" si="66"/>
        <v>0.10507910009089053</v>
      </c>
      <c r="Y1127" s="20">
        <f t="shared" si="67"/>
        <v>0.6170879924394006</v>
      </c>
    </row>
    <row r="1128" spans="22:25" x14ac:dyDescent="0.2">
      <c r="V1128" s="18">
        <v>1.1259999999999999</v>
      </c>
      <c r="W1128" s="20">
        <f t="shared" si="65"/>
        <v>0.1730082250262735</v>
      </c>
      <c r="X1128" s="20">
        <f t="shared" si="66"/>
        <v>0.10569687561079125</v>
      </c>
      <c r="Y1128" s="20">
        <f t="shared" si="67"/>
        <v>0.61846173271046201</v>
      </c>
    </row>
    <row r="1129" spans="22:25" x14ac:dyDescent="0.2">
      <c r="V1129" s="18">
        <v>1.127</v>
      </c>
      <c r="W1129" s="20">
        <f t="shared" si="65"/>
        <v>0.17311423136071813</v>
      </c>
      <c r="X1129" s="20">
        <f t="shared" si="66"/>
        <v>0.10631602091567996</v>
      </c>
      <c r="Y1129" s="20">
        <f t="shared" si="67"/>
        <v>0.61982755108816168</v>
      </c>
    </row>
    <row r="1130" spans="22:25" x14ac:dyDescent="0.2">
      <c r="V1130" s="18">
        <v>1.1279999999999999</v>
      </c>
      <c r="W1130" s="20">
        <f t="shared" si="65"/>
        <v>0.17322085752204802</v>
      </c>
      <c r="X1130" s="20">
        <f t="shared" si="66"/>
        <v>0.10693652804966539</v>
      </c>
      <c r="Y1130" s="20">
        <f t="shared" si="67"/>
        <v>0.62118537954908959</v>
      </c>
    </row>
    <row r="1131" spans="22:25" x14ac:dyDescent="0.2">
      <c r="V1131" s="18">
        <v>1.129</v>
      </c>
      <c r="W1131" s="20">
        <f t="shared" si="65"/>
        <v>0.17332810486808653</v>
      </c>
      <c r="X1131" s="20">
        <f t="shared" si="66"/>
        <v>0.10755838898874895</v>
      </c>
      <c r="Y1131" s="20">
        <f t="shared" si="67"/>
        <v>0.62253514990888092</v>
      </c>
    </row>
    <row r="1132" spans="22:25" x14ac:dyDescent="0.2">
      <c r="V1132" s="18">
        <v>1.1299999999999999</v>
      </c>
      <c r="W1132" s="20">
        <f t="shared" si="65"/>
        <v>0.17343597474859782</v>
      </c>
      <c r="X1132" s="20">
        <f t="shared" si="66"/>
        <v>0.10818159564066857</v>
      </c>
      <c r="Y1132" s="20">
        <f t="shared" si="67"/>
        <v>0.6238767938221903</v>
      </c>
    </row>
    <row r="1133" spans="22:25" x14ac:dyDescent="0.2">
      <c r="V1133" s="18">
        <v>1.131</v>
      </c>
      <c r="W1133" s="20">
        <f t="shared" si="65"/>
        <v>0.17354446850521926</v>
      </c>
      <c r="X1133" s="20">
        <f t="shared" si="66"/>
        <v>0.10880613984474366</v>
      </c>
      <c r="Y1133" s="20">
        <f t="shared" si="67"/>
        <v>0.62521024278272019</v>
      </c>
    </row>
    <row r="1134" spans="22:25" x14ac:dyDescent="0.2">
      <c r="V1134" s="18">
        <v>1.1319999999999999</v>
      </c>
      <c r="W1134" s="20">
        <f t="shared" si="65"/>
        <v>0.17365358747139562</v>
      </c>
      <c r="X1134" s="20">
        <f t="shared" si="66"/>
        <v>0.10943201337169464</v>
      </c>
      <c r="Y1134" s="20">
        <f t="shared" si="67"/>
        <v>0.62653542812318186</v>
      </c>
    </row>
    <row r="1135" spans="22:25" x14ac:dyDescent="0.2">
      <c r="V1135" s="18">
        <v>1.133</v>
      </c>
      <c r="W1135" s="20">
        <f t="shared" si="65"/>
        <v>0.17376333297230523</v>
      </c>
      <c r="X1135" s="20">
        <f t="shared" si="66"/>
        <v>0.11005920792350835</v>
      </c>
      <c r="Y1135" s="20">
        <f t="shared" si="67"/>
        <v>0.62785228101532375</v>
      </c>
    </row>
    <row r="1136" spans="22:25" x14ac:dyDescent="0.2">
      <c r="V1136" s="18">
        <v>1.1339999999999999</v>
      </c>
      <c r="W1136" s="20">
        <f t="shared" si="65"/>
        <v>0.1738737063247959</v>
      </c>
      <c r="X1136" s="20">
        <f t="shared" si="66"/>
        <v>0.11068771513325074</v>
      </c>
      <c r="Y1136" s="20">
        <f t="shared" si="67"/>
        <v>0.62916073246995285</v>
      </c>
    </row>
    <row r="1137" spans="22:25" x14ac:dyDescent="0.2">
      <c r="V1137" s="18">
        <v>1.135</v>
      </c>
      <c r="W1137" s="20">
        <f t="shared" si="65"/>
        <v>0.17398470883731307</v>
      </c>
      <c r="X1137" s="20">
        <f t="shared" si="66"/>
        <v>0.1113175265649208</v>
      </c>
      <c r="Y1137" s="20">
        <f t="shared" si="67"/>
        <v>0.63046071333687426</v>
      </c>
    </row>
    <row r="1138" spans="22:25" x14ac:dyDescent="0.2">
      <c r="V1138" s="18">
        <v>1.1359999999999999</v>
      </c>
      <c r="W1138" s="20">
        <f t="shared" si="65"/>
        <v>0.17409634180983197</v>
      </c>
      <c r="X1138" s="20">
        <f t="shared" si="66"/>
        <v>0.11194863371329203</v>
      </c>
      <c r="Y1138" s="20">
        <f t="shared" si="67"/>
        <v>0.63175215430494447</v>
      </c>
    </row>
    <row r="1139" spans="22:25" x14ac:dyDescent="0.2">
      <c r="V1139" s="18">
        <v>1.137</v>
      </c>
      <c r="W1139" s="20">
        <f t="shared" si="65"/>
        <v>0.17420860653378797</v>
      </c>
      <c r="X1139" s="20">
        <f t="shared" si="66"/>
        <v>0.11258102800374228</v>
      </c>
      <c r="Y1139" s="20">
        <f t="shared" si="67"/>
        <v>0.63303498590203944</v>
      </c>
    </row>
    <row r="1140" spans="22:25" x14ac:dyDescent="0.2">
      <c r="V1140" s="18">
        <v>1.1379999999999999</v>
      </c>
      <c r="W1140" s="20">
        <f t="shared" si="65"/>
        <v>0.17432150429200594</v>
      </c>
      <c r="X1140" s="20">
        <f t="shared" si="66"/>
        <v>0.11321470079209675</v>
      </c>
      <c r="Y1140" s="20">
        <f t="shared" si="67"/>
        <v>0.63430913849507231</v>
      </c>
    </row>
    <row r="1141" spans="22:25" x14ac:dyDescent="0.2">
      <c r="V1141" s="18">
        <v>1.139</v>
      </c>
      <c r="W1141" s="20">
        <f t="shared" si="65"/>
        <v>0.17443503635863447</v>
      </c>
      <c r="X1141" s="20">
        <f t="shared" si="66"/>
        <v>0.11384964336446671</v>
      </c>
      <c r="Y1141" s="20">
        <f t="shared" si="67"/>
        <v>0.63557454228999699</v>
      </c>
    </row>
    <row r="1142" spans="22:25" x14ac:dyDescent="0.2">
      <c r="V1142" s="18">
        <v>1.1399999999999999</v>
      </c>
      <c r="W1142" s="20">
        <f t="shared" si="65"/>
        <v>0.17454920399906909</v>
      </c>
      <c r="X1142" s="20">
        <f t="shared" si="66"/>
        <v>0.11448584693709432</v>
      </c>
      <c r="Y1142" s="20">
        <f t="shared" si="67"/>
        <v>0.63683112733177616</v>
      </c>
    </row>
    <row r="1143" spans="22:25" x14ac:dyDescent="0.2">
      <c r="V1143" s="18">
        <v>1.141</v>
      </c>
      <c r="W1143" s="20">
        <f t="shared" si="65"/>
        <v>0.17466400846989091</v>
      </c>
      <c r="X1143" s="20">
        <f t="shared" si="66"/>
        <v>0.11512330265617768</v>
      </c>
      <c r="Y1143" s="20">
        <f t="shared" si="67"/>
        <v>0.63807882350443101</v>
      </c>
    </row>
    <row r="1144" spans="22:25" x14ac:dyDescent="0.2">
      <c r="V1144" s="18">
        <v>1.1419999999999999</v>
      </c>
      <c r="W1144" s="20">
        <f t="shared" si="65"/>
        <v>0.17477945101878989</v>
      </c>
      <c r="X1144" s="20">
        <f t="shared" si="66"/>
        <v>0.11576200159772213</v>
      </c>
      <c r="Y1144" s="20">
        <f t="shared" si="67"/>
        <v>0.63931756053099509</v>
      </c>
    </row>
    <row r="1145" spans="22:25" x14ac:dyDescent="0.2">
      <c r="V1145" s="18">
        <v>1.143</v>
      </c>
      <c r="W1145" s="20">
        <f t="shared" si="65"/>
        <v>0.17489553288449744</v>
      </c>
      <c r="X1145" s="20">
        <f t="shared" si="66"/>
        <v>0.11640193476738039</v>
      </c>
      <c r="Y1145" s="20">
        <f t="shared" si="67"/>
        <v>0.64054726797354267</v>
      </c>
    </row>
    <row r="1146" spans="22:25" x14ac:dyDescent="0.2">
      <c r="V1146" s="18">
        <v>1.1439999999999999</v>
      </c>
      <c r="W1146" s="20">
        <f t="shared" si="65"/>
        <v>0.17501225529671366</v>
      </c>
      <c r="X1146" s="20">
        <f t="shared" si="66"/>
        <v>0.11704309310027675</v>
      </c>
      <c r="Y1146" s="20">
        <f t="shared" si="67"/>
        <v>0.64176787523317813</v>
      </c>
    </row>
    <row r="1147" spans="22:25" x14ac:dyDescent="0.2">
      <c r="V1147" s="18">
        <v>1.145</v>
      </c>
      <c r="W1147" s="20">
        <f t="shared" si="65"/>
        <v>0.17512961947604055</v>
      </c>
      <c r="X1147" s="20">
        <f t="shared" si="66"/>
        <v>0.11768546746086575</v>
      </c>
      <c r="Y1147" s="20">
        <f t="shared" si="67"/>
        <v>0.64297931155003241</v>
      </c>
    </row>
    <row r="1148" spans="22:25" x14ac:dyDescent="0.2">
      <c r="V1148" s="18">
        <v>1.1459999999999999</v>
      </c>
      <c r="W1148" s="20">
        <f t="shared" si="65"/>
        <v>0.17524762663390961</v>
      </c>
      <c r="X1148" s="20">
        <f t="shared" si="66"/>
        <v>0.11832904864275776</v>
      </c>
      <c r="Y1148" s="20">
        <f t="shared" si="67"/>
        <v>0.64418150600328072</v>
      </c>
    </row>
    <row r="1149" spans="22:25" x14ac:dyDescent="0.2">
      <c r="V1149" s="18">
        <v>1.147</v>
      </c>
      <c r="W1149" s="20">
        <f t="shared" si="65"/>
        <v>0.17536627797250831</v>
      </c>
      <c r="X1149" s="20">
        <f t="shared" si="66"/>
        <v>0.11897382736855858</v>
      </c>
      <c r="Y1149" s="20">
        <f t="shared" si="67"/>
        <v>0.64537438751111065</v>
      </c>
    </row>
    <row r="1150" spans="22:25" x14ac:dyDescent="0.2">
      <c r="V1150" s="18">
        <v>1.1479999999999999</v>
      </c>
      <c r="W1150" s="20">
        <f t="shared" si="65"/>
        <v>0.1754855746847124</v>
      </c>
      <c r="X1150" s="20">
        <f t="shared" si="66"/>
        <v>0.11961979428971684</v>
      </c>
      <c r="Y1150" s="20">
        <f t="shared" si="67"/>
        <v>0.6465578848307576</v>
      </c>
    </row>
    <row r="1151" spans="22:25" x14ac:dyDescent="0.2">
      <c r="V1151" s="18">
        <v>1.149</v>
      </c>
      <c r="W1151" s="20">
        <f t="shared" si="65"/>
        <v>0.17560551795401391</v>
      </c>
      <c r="X1151" s="20">
        <f t="shared" si="66"/>
        <v>0.12026693998635965</v>
      </c>
      <c r="Y1151" s="20">
        <f t="shared" si="67"/>
        <v>0.6477319265584871</v>
      </c>
    </row>
    <row r="1152" spans="22:25" x14ac:dyDescent="0.2">
      <c r="V1152" s="18">
        <v>1.1499999999999999</v>
      </c>
      <c r="W1152" s="20">
        <f t="shared" si="65"/>
        <v>0.17572610895444765</v>
      </c>
      <c r="X1152" s="20">
        <f t="shared" si="66"/>
        <v>0.12091525496711966</v>
      </c>
      <c r="Y1152" s="20">
        <f t="shared" si="67"/>
        <v>0.64889644112958411</v>
      </c>
    </row>
    <row r="1153" spans="22:25" x14ac:dyDescent="0.2">
      <c r="V1153" s="18">
        <v>1.151</v>
      </c>
      <c r="W1153" s="20">
        <f t="shared" si="65"/>
        <v>0.17584734885052261</v>
      </c>
      <c r="X1153" s="20">
        <f t="shared" si="66"/>
        <v>0.12156472966899115</v>
      </c>
      <c r="Y1153" s="20">
        <f t="shared" si="67"/>
        <v>0.650051356818385</v>
      </c>
    </row>
    <row r="1154" spans="22:25" x14ac:dyDescent="0.2">
      <c r="V1154" s="18">
        <v>1.1519999999999999</v>
      </c>
      <c r="W1154" s="20">
        <f t="shared" si="65"/>
        <v>0.17596923879714854</v>
      </c>
      <c r="X1154" s="20">
        <f t="shared" si="66"/>
        <v>0.12221535445716938</v>
      </c>
      <c r="Y1154" s="20">
        <f t="shared" si="67"/>
        <v>0.65119660173823846</v>
      </c>
    </row>
    <row r="1155" spans="22:25" x14ac:dyDescent="0.2">
      <c r="V1155" s="18">
        <v>1.153</v>
      </c>
      <c r="W1155" s="20">
        <f t="shared" ref="W1155:W1218" si="68" xml:space="preserve"> -0.223567093536985*V1155^6 + 0.944228289125022*V1155^5 - 1.39425331473467*V1155^4 + 0.919786041369661*V1155^3 - 0.280641903613287*V1155^2 + 0.0398143416441599*V1155 + 0.158710616051081</f>
        <v>0.17609177993956396</v>
      </c>
      <c r="X1155" s="20">
        <f t="shared" ref="X1155:X1218" si="69" xml:space="preserve"> 6*-0.223567093536985*V1155^5 + 5*0.944228289125022*V1155^4 - 4*1.39425331473467*V1155^3 + 3*0.919786041369661*V1155^2 - 2*0.280641903613287*V1155^1 + 0.0398143416441599</f>
        <v>0.12286711962486499</v>
      </c>
      <c r="Y1155" s="20">
        <f t="shared" ref="Y1155:Y1218" si="70" xml:space="preserve"> 5*6*-0.223567093536985*V1155^4 + 4*5*0.944228289125022*V1155^3 - 3*4*1.39425331473467*V1155^2 + 2*3*0.919786041369661*V1155^1 - 2*0.280641903613287</f>
        <v>0.65233210384154816</v>
      </c>
    </row>
    <row r="1156" spans="22:25" x14ac:dyDescent="0.2">
      <c r="V1156" s="18">
        <v>1.1539999999999999</v>
      </c>
      <c r="W1156" s="20">
        <f t="shared" si="68"/>
        <v>0.17621497341326581</v>
      </c>
      <c r="X1156" s="20">
        <f t="shared" si="69"/>
        <v>0.12352001539317872</v>
      </c>
      <c r="Y1156" s="20">
        <f t="shared" si="70"/>
        <v>0.65345779091970524</v>
      </c>
    </row>
    <row r="1157" spans="22:25" x14ac:dyDescent="0.2">
      <c r="V1157" s="18">
        <v>1.155</v>
      </c>
      <c r="W1157" s="20">
        <f t="shared" si="68"/>
        <v>0.17633882034393458</v>
      </c>
      <c r="X1157" s="20">
        <f t="shared" si="69"/>
        <v>0.12417403191090828</v>
      </c>
      <c r="Y1157" s="20">
        <f t="shared" si="70"/>
        <v>0.65457359060319487</v>
      </c>
    </row>
    <row r="1158" spans="22:25" x14ac:dyDescent="0.2">
      <c r="V1158" s="18">
        <v>1.1559999999999999</v>
      </c>
      <c r="W1158" s="20">
        <f t="shared" si="68"/>
        <v>0.17646332184736363</v>
      </c>
      <c r="X1158" s="20">
        <f t="shared" si="69"/>
        <v>0.12482915925440988</v>
      </c>
      <c r="Y1158" s="20">
        <f t="shared" si="70"/>
        <v>0.65567943036147547</v>
      </c>
    </row>
    <row r="1159" spans="22:25" x14ac:dyDescent="0.2">
      <c r="V1159" s="18">
        <v>1.157</v>
      </c>
      <c r="W1159" s="20">
        <f t="shared" si="68"/>
        <v>0.17658847902938704</v>
      </c>
      <c r="X1159" s="20">
        <f t="shared" si="69"/>
        <v>0.12548538742742724</v>
      </c>
      <c r="Y1159" s="20">
        <f t="shared" si="70"/>
        <v>0.65677523750307465</v>
      </c>
    </row>
    <row r="1160" spans="22:25" x14ac:dyDescent="0.2">
      <c r="V1160" s="18">
        <v>1.1579999999999999</v>
      </c>
      <c r="W1160" s="20">
        <f t="shared" si="68"/>
        <v>0.17671429298580654</v>
      </c>
      <c r="X1160" s="20">
        <f t="shared" si="69"/>
        <v>0.12614270636092842</v>
      </c>
      <c r="Y1160" s="20">
        <f t="shared" si="70"/>
        <v>0.65786093917553945</v>
      </c>
    </row>
    <row r="1161" spans="22:25" x14ac:dyDescent="0.2">
      <c r="V1161" s="18">
        <v>1.159</v>
      </c>
      <c r="W1161" s="20">
        <f t="shared" si="68"/>
        <v>0.17684076480231542</v>
      </c>
      <c r="X1161" s="20">
        <f t="shared" si="69"/>
        <v>0.12680110591295349</v>
      </c>
      <c r="Y1161" s="20">
        <f t="shared" si="70"/>
        <v>0.65893646236544345</v>
      </c>
    </row>
    <row r="1162" spans="22:25" x14ac:dyDescent="0.2">
      <c r="V1162" s="18">
        <v>1.1599999999999999</v>
      </c>
      <c r="W1162" s="20">
        <f t="shared" si="68"/>
        <v>0.17696789555443382</v>
      </c>
      <c r="X1162" s="20">
        <f t="shared" si="69"/>
        <v>0.12746057586844364</v>
      </c>
      <c r="Y1162" s="20">
        <f t="shared" si="70"/>
        <v>0.66000173389841166</v>
      </c>
    </row>
    <row r="1163" spans="22:25" x14ac:dyDescent="0.2">
      <c r="V1163" s="18">
        <v>1.161</v>
      </c>
      <c r="W1163" s="20">
        <f t="shared" si="68"/>
        <v>0.17709568630742561</v>
      </c>
      <c r="X1163" s="20">
        <f t="shared" si="69"/>
        <v>0.12812110593908846</v>
      </c>
      <c r="Y1163" s="20">
        <f t="shared" si="70"/>
        <v>0.66105668043906363</v>
      </c>
    </row>
    <row r="1164" spans="22:25" x14ac:dyDescent="0.2">
      <c r="V1164" s="18">
        <v>1.1619999999999999</v>
      </c>
      <c r="W1164" s="20">
        <f t="shared" si="68"/>
        <v>0.17722413811623097</v>
      </c>
      <c r="X1164" s="20">
        <f t="shared" si="69"/>
        <v>0.12878268576315891</v>
      </c>
      <c r="Y1164" s="20">
        <f t="shared" si="70"/>
        <v>0.66210122849109165</v>
      </c>
    </row>
    <row r="1165" spans="22:25" x14ac:dyDescent="0.2">
      <c r="V1165" s="18">
        <v>1.163</v>
      </c>
      <c r="W1165" s="20">
        <f t="shared" si="68"/>
        <v>0.17735325202539198</v>
      </c>
      <c r="X1165" s="20">
        <f t="shared" si="69"/>
        <v>0.12944530490535591</v>
      </c>
      <c r="Y1165" s="20">
        <f t="shared" si="70"/>
        <v>0.66313530439718615</v>
      </c>
    </row>
    <row r="1166" spans="22:25" x14ac:dyDescent="0.2">
      <c r="V1166" s="18">
        <v>1.1639999999999999</v>
      </c>
      <c r="W1166" s="20">
        <f t="shared" si="68"/>
        <v>0.17748302906897831</v>
      </c>
      <c r="X1166" s="20">
        <f t="shared" si="69"/>
        <v>0.1301089528566354</v>
      </c>
      <c r="Y1166" s="20">
        <f t="shared" si="70"/>
        <v>0.66415883433910672</v>
      </c>
    </row>
    <row r="1167" spans="22:25" x14ac:dyDescent="0.2">
      <c r="V1167" s="18">
        <v>1.165</v>
      </c>
      <c r="W1167" s="20">
        <f t="shared" si="68"/>
        <v>0.17761347027051488</v>
      </c>
      <c r="X1167" s="20">
        <f t="shared" si="69"/>
        <v>0.1307736190340564</v>
      </c>
      <c r="Y1167" s="20">
        <f t="shared" si="70"/>
        <v>0.66517174433759685</v>
      </c>
    </row>
    <row r="1168" spans="22:25" x14ac:dyDescent="0.2">
      <c r="V1168" s="18">
        <v>1.1659999999999999</v>
      </c>
      <c r="W1168" s="20">
        <f t="shared" si="68"/>
        <v>0.17774457664290397</v>
      </c>
      <c r="X1168" s="20">
        <f t="shared" si="69"/>
        <v>0.13143929278061731</v>
      </c>
      <c r="Y1168" s="20">
        <f t="shared" si="70"/>
        <v>0.66617396025247988</v>
      </c>
    </row>
    <row r="1169" spans="22:25" x14ac:dyDescent="0.2">
      <c r="V1169" s="18">
        <v>1.167</v>
      </c>
      <c r="W1169" s="20">
        <f t="shared" si="68"/>
        <v>0.17787634918835604</v>
      </c>
      <c r="X1169" s="20">
        <f t="shared" si="69"/>
        <v>0.13210596336510086</v>
      </c>
      <c r="Y1169" s="20">
        <f t="shared" si="70"/>
        <v>0.66716540778257372</v>
      </c>
    </row>
    <row r="1170" spans="22:25" x14ac:dyDescent="0.2">
      <c r="V1170" s="18">
        <v>1.1679999999999999</v>
      </c>
      <c r="W1170" s="20">
        <f t="shared" si="68"/>
        <v>0.17800878889831256</v>
      </c>
      <c r="X1170" s="20">
        <f t="shared" si="69"/>
        <v>0.13277361998190076</v>
      </c>
      <c r="Y1170" s="20">
        <f t="shared" si="70"/>
        <v>0.66814601246574767</v>
      </c>
    </row>
    <row r="1171" spans="22:25" x14ac:dyDescent="0.2">
      <c r="V1171" s="18">
        <v>1.169</v>
      </c>
      <c r="W1171" s="20">
        <f t="shared" si="68"/>
        <v>0.1781418967533713</v>
      </c>
      <c r="X1171" s="20">
        <f t="shared" si="69"/>
        <v>0.13344225175087734</v>
      </c>
      <c r="Y1171" s="20">
        <f t="shared" si="70"/>
        <v>0.66911569967889761</v>
      </c>
    </row>
    <row r="1172" spans="22:25" x14ac:dyDescent="0.2">
      <c r="V1172" s="18">
        <v>1.17</v>
      </c>
      <c r="W1172" s="20">
        <f t="shared" si="68"/>
        <v>0.17827567372321418</v>
      </c>
      <c r="X1172" s="20">
        <f t="shared" si="69"/>
        <v>0.13411184771717602</v>
      </c>
      <c r="Y1172" s="20">
        <f t="shared" si="70"/>
        <v>0.67007439463794949</v>
      </c>
    </row>
    <row r="1173" spans="22:25" x14ac:dyDescent="0.2">
      <c r="V1173" s="18">
        <v>1.171</v>
      </c>
      <c r="W1173" s="20">
        <f t="shared" si="68"/>
        <v>0.17841012076652915</v>
      </c>
      <c r="X1173" s="20">
        <f t="shared" si="69"/>
        <v>0.13478239685109009</v>
      </c>
      <c r="Y1173" s="20">
        <f t="shared" si="70"/>
        <v>0.6710220223978558</v>
      </c>
    </row>
    <row r="1174" spans="22:25" x14ac:dyDescent="0.2">
      <c r="V1174" s="18">
        <v>1.1719999999999999</v>
      </c>
      <c r="W1174" s="20">
        <f t="shared" si="68"/>
        <v>0.17854523883093781</v>
      </c>
      <c r="X1174" s="20">
        <f t="shared" si="69"/>
        <v>0.13545388804787331</v>
      </c>
      <c r="Y1174" s="20">
        <f t="shared" si="70"/>
        <v>0.67195850785262401</v>
      </c>
    </row>
    <row r="1175" spans="22:25" x14ac:dyDescent="0.2">
      <c r="V1175" s="18">
        <v>1.173</v>
      </c>
      <c r="W1175" s="20">
        <f t="shared" si="68"/>
        <v>0.17868102885292012</v>
      </c>
      <c r="X1175" s="20">
        <f t="shared" si="69"/>
        <v>0.13612631012760582</v>
      </c>
      <c r="Y1175" s="20">
        <f t="shared" si="70"/>
        <v>0.67288377573526681</v>
      </c>
    </row>
    <row r="1176" spans="22:25" x14ac:dyDescent="0.2">
      <c r="V1176" s="18">
        <v>1.1739999999999999</v>
      </c>
      <c r="W1176" s="20">
        <f t="shared" si="68"/>
        <v>0.17881749175773715</v>
      </c>
      <c r="X1176" s="20">
        <f t="shared" si="69"/>
        <v>0.13679965183501167</v>
      </c>
      <c r="Y1176" s="20">
        <f t="shared" si="70"/>
        <v>0.67379775061784475</v>
      </c>
    </row>
    <row r="1177" spans="22:25" x14ac:dyDescent="0.2">
      <c r="V1177" s="18">
        <v>1.175</v>
      </c>
      <c r="W1177" s="20">
        <f t="shared" si="68"/>
        <v>0.17895462845935661</v>
      </c>
      <c r="X1177" s="20">
        <f t="shared" si="69"/>
        <v>0.1374739018393141</v>
      </c>
      <c r="Y1177" s="20">
        <f t="shared" si="70"/>
        <v>0.67470035691143071</v>
      </c>
    </row>
    <row r="1178" spans="22:25" x14ac:dyDescent="0.2">
      <c r="V1178" s="18">
        <v>1.1759999999999999</v>
      </c>
      <c r="W1178" s="20">
        <f t="shared" si="68"/>
        <v>0.17909243986037987</v>
      </c>
      <c r="X1178" s="20">
        <f t="shared" si="69"/>
        <v>0.13814904873405723</v>
      </c>
      <c r="Y1178" s="20">
        <f t="shared" si="70"/>
        <v>0.67559151886615254</v>
      </c>
    </row>
    <row r="1179" spans="22:25" x14ac:dyDescent="0.2">
      <c r="V1179" s="18">
        <v>1.177</v>
      </c>
      <c r="W1179" s="20">
        <f t="shared" si="68"/>
        <v>0.17923092685196179</v>
      </c>
      <c r="X1179" s="20">
        <f t="shared" si="69"/>
        <v>0.13882508103696348</v>
      </c>
      <c r="Y1179" s="20">
        <f t="shared" si="70"/>
        <v>0.67647116057116108</v>
      </c>
    </row>
    <row r="1180" spans="22:25" x14ac:dyDescent="0.2">
      <c r="V1180" s="18">
        <v>1.1779999999999999</v>
      </c>
      <c r="W1180" s="20">
        <f t="shared" si="68"/>
        <v>0.17937009031373788</v>
      </c>
      <c r="X1180" s="20">
        <f t="shared" si="69"/>
        <v>0.13950198718976095</v>
      </c>
      <c r="Y1180" s="20">
        <f t="shared" si="70"/>
        <v>0.6773392059546266</v>
      </c>
    </row>
    <row r="1181" spans="22:25" x14ac:dyDescent="0.2">
      <c r="V1181" s="18">
        <v>1.179</v>
      </c>
      <c r="W1181" s="20">
        <f t="shared" si="68"/>
        <v>0.17950993111374736</v>
      </c>
      <c r="X1181" s="20">
        <f t="shared" si="69"/>
        <v>0.14017975555802134</v>
      </c>
      <c r="Y1181" s="20">
        <f t="shared" si="70"/>
        <v>0.67819557878377434</v>
      </c>
    </row>
    <row r="1182" spans="22:25" x14ac:dyDescent="0.2">
      <c r="V1182" s="18">
        <v>1.18</v>
      </c>
      <c r="W1182" s="20">
        <f t="shared" si="68"/>
        <v>0.17965045010835648</v>
      </c>
      <c r="X1182" s="20">
        <f t="shared" si="69"/>
        <v>0.14085837443101337</v>
      </c>
      <c r="Y1182" s="20">
        <f t="shared" si="70"/>
        <v>0.67904020266484189</v>
      </c>
    </row>
    <row r="1183" spans="22:25" x14ac:dyDescent="0.2">
      <c r="V1183" s="18">
        <v>1.181</v>
      </c>
      <c r="W1183" s="20">
        <f t="shared" si="68"/>
        <v>0.17979164814218235</v>
      </c>
      <c r="X1183" s="20">
        <f t="shared" si="69"/>
        <v>0.14153783202152029</v>
      </c>
      <c r="Y1183" s="20">
        <f t="shared" si="70"/>
        <v>0.679873001043104</v>
      </c>
    </row>
    <row r="1184" spans="22:25" x14ac:dyDescent="0.2">
      <c r="V1184" s="18">
        <v>1.1819999999999999</v>
      </c>
      <c r="W1184" s="20">
        <f t="shared" si="68"/>
        <v>0.17993352604801818</v>
      </c>
      <c r="X1184" s="20">
        <f t="shared" si="69"/>
        <v>0.14221811646569596</v>
      </c>
      <c r="Y1184" s="20">
        <f t="shared" si="70"/>
        <v>0.68069389720287976</v>
      </c>
    </row>
    <row r="1185" spans="22:25" x14ac:dyDescent="0.2">
      <c r="V1185" s="18">
        <v>1.1830000000000001</v>
      </c>
      <c r="W1185" s="20">
        <f t="shared" si="68"/>
        <v>0.18007608464675251</v>
      </c>
      <c r="X1185" s="20">
        <f t="shared" si="69"/>
        <v>0.14289921582289525</v>
      </c>
      <c r="Y1185" s="20">
        <f t="shared" si="70"/>
        <v>0.68150281426749348</v>
      </c>
    </row>
    <row r="1186" spans="22:25" x14ac:dyDescent="0.2">
      <c r="V1186" s="18">
        <v>1.1839999999999999</v>
      </c>
      <c r="W1186" s="20">
        <f t="shared" si="68"/>
        <v>0.18021932474729668</v>
      </c>
      <c r="X1186" s="20">
        <f t="shared" si="69"/>
        <v>0.14358111807551868</v>
      </c>
      <c r="Y1186" s="20">
        <f t="shared" si="70"/>
        <v>0.6822996751993351</v>
      </c>
    </row>
    <row r="1187" spans="22:25" x14ac:dyDescent="0.2">
      <c r="V1187" s="18">
        <v>1.1850000000000001</v>
      </c>
      <c r="W1187" s="20">
        <f t="shared" si="68"/>
        <v>0.18036324714650512</v>
      </c>
      <c r="X1187" s="20">
        <f t="shared" si="69"/>
        <v>0.14426381112885303</v>
      </c>
      <c r="Y1187" s="20">
        <f t="shared" si="70"/>
        <v>0.68308440279978555</v>
      </c>
    </row>
    <row r="1188" spans="22:25" x14ac:dyDescent="0.2">
      <c r="V1188" s="18">
        <v>1.1859999999999999</v>
      </c>
      <c r="W1188" s="20">
        <f t="shared" si="68"/>
        <v>0.18050785262909813</v>
      </c>
      <c r="X1188" s="20">
        <f t="shared" si="69"/>
        <v>0.14494728281089256</v>
      </c>
      <c r="Y1188" s="20">
        <f t="shared" si="70"/>
        <v>0.68385691970929141</v>
      </c>
    </row>
    <row r="1189" spans="22:25" x14ac:dyDescent="0.2">
      <c r="V1189" s="18">
        <v>1.1870000000000001</v>
      </c>
      <c r="W1189" s="20">
        <f t="shared" si="68"/>
        <v>0.18065314196758678</v>
      </c>
      <c r="X1189" s="20">
        <f t="shared" si="69"/>
        <v>0.1456315208722018</v>
      </c>
      <c r="Y1189" s="20">
        <f t="shared" si="70"/>
        <v>0.68461714840731869</v>
      </c>
    </row>
    <row r="1190" spans="22:25" x14ac:dyDescent="0.2">
      <c r="V1190" s="18">
        <v>1.1879999999999999</v>
      </c>
      <c r="W1190" s="20">
        <f t="shared" si="68"/>
        <v>0.18079911592219416</v>
      </c>
      <c r="X1190" s="20">
        <f t="shared" si="69"/>
        <v>0.14631651298574247</v>
      </c>
      <c r="Y1190" s="20">
        <f t="shared" si="70"/>
        <v>0.68536501121236348</v>
      </c>
    </row>
    <row r="1191" spans="22:25" x14ac:dyDescent="0.2">
      <c r="V1191" s="18">
        <v>1.1890000000000001</v>
      </c>
      <c r="W1191" s="20">
        <f t="shared" si="68"/>
        <v>0.18094577524077524</v>
      </c>
      <c r="X1191" s="20">
        <f t="shared" si="69"/>
        <v>0.14700224674671805</v>
      </c>
      <c r="Y1191" s="20">
        <f t="shared" si="70"/>
        <v>0.68610043028195555</v>
      </c>
    </row>
    <row r="1192" spans="22:25" x14ac:dyDescent="0.2">
      <c r="V1192" s="18">
        <v>1.19</v>
      </c>
      <c r="W1192" s="20">
        <f t="shared" si="68"/>
        <v>0.18109312065874328</v>
      </c>
      <c r="X1192" s="20">
        <f t="shared" si="69"/>
        <v>0.1476887096723957</v>
      </c>
      <c r="Y1192" s="20">
        <f t="shared" si="70"/>
        <v>0.68682332761266185</v>
      </c>
    </row>
    <row r="1193" spans="22:25" x14ac:dyDescent="0.2">
      <c r="V1193" s="18">
        <v>1.1910000000000001</v>
      </c>
      <c r="W1193" s="20">
        <f t="shared" si="68"/>
        <v>0.1812411528989889</v>
      </c>
      <c r="X1193" s="20">
        <f t="shared" si="69"/>
        <v>0.14837588920197567</v>
      </c>
      <c r="Y1193" s="20">
        <f t="shared" si="70"/>
        <v>0.68753362504006521</v>
      </c>
    </row>
    <row r="1194" spans="22:25" x14ac:dyDescent="0.2">
      <c r="V1194" s="18">
        <v>1.1919999999999999</v>
      </c>
      <c r="W1194" s="20">
        <f t="shared" si="68"/>
        <v>0.18138987267180279</v>
      </c>
      <c r="X1194" s="20">
        <f t="shared" si="69"/>
        <v>0.14906377269640228</v>
      </c>
      <c r="Y1194" s="20">
        <f t="shared" si="70"/>
        <v>0.68823124423879989</v>
      </c>
    </row>
    <row r="1195" spans="22:25" x14ac:dyDescent="0.2">
      <c r="V1195" s="18">
        <v>1.1930000000000001</v>
      </c>
      <c r="W1195" s="20">
        <f t="shared" si="68"/>
        <v>0.18153928067479874</v>
      </c>
      <c r="X1195" s="20">
        <f t="shared" si="69"/>
        <v>0.149752347438216</v>
      </c>
      <c r="Y1195" s="20">
        <f t="shared" si="70"/>
        <v>0.68891610672251957</v>
      </c>
    </row>
    <row r="1196" spans="22:25" x14ac:dyDescent="0.2">
      <c r="V1196" s="18">
        <v>1.194</v>
      </c>
      <c r="W1196" s="20">
        <f t="shared" si="68"/>
        <v>0.18168937759283074</v>
      </c>
      <c r="X1196" s="20">
        <f t="shared" si="69"/>
        <v>0.15044160063139514</v>
      </c>
      <c r="Y1196" s="20">
        <f t="shared" si="70"/>
        <v>0.68958813384390805</v>
      </c>
    </row>
    <row r="1197" spans="22:25" x14ac:dyDescent="0.2">
      <c r="V1197" s="18">
        <v>1.1950000000000001</v>
      </c>
      <c r="W1197" s="20">
        <f t="shared" si="68"/>
        <v>0.18184016409792048</v>
      </c>
      <c r="X1197" s="20">
        <f t="shared" si="69"/>
        <v>0.15113151940118266</v>
      </c>
      <c r="Y1197" s="20">
        <f t="shared" si="70"/>
        <v>0.6902472467946863</v>
      </c>
    </row>
    <row r="1198" spans="22:25" x14ac:dyDescent="0.2">
      <c r="V1198" s="18">
        <v>1.196</v>
      </c>
      <c r="W1198" s="20">
        <f t="shared" si="68"/>
        <v>0.18199164084917499</v>
      </c>
      <c r="X1198" s="20">
        <f t="shared" si="69"/>
        <v>0.15182209079393974</v>
      </c>
      <c r="Y1198" s="20">
        <f t="shared" si="70"/>
        <v>0.69089336660561251</v>
      </c>
    </row>
    <row r="1199" spans="22:25" x14ac:dyDescent="0.2">
      <c r="V1199" s="18">
        <v>1.1970000000000001</v>
      </c>
      <c r="W1199" s="20">
        <f t="shared" si="68"/>
        <v>0.1821438084927065</v>
      </c>
      <c r="X1199" s="20">
        <f t="shared" si="69"/>
        <v>0.15251330177697256</v>
      </c>
      <c r="Y1199" s="20">
        <f t="shared" si="70"/>
        <v>0.69152641414646432</v>
      </c>
    </row>
    <row r="1200" spans="22:25" x14ac:dyDescent="0.2">
      <c r="V1200" s="18">
        <v>1.198</v>
      </c>
      <c r="W1200" s="20">
        <f t="shared" si="68"/>
        <v>0.18229666766155564</v>
      </c>
      <c r="X1200" s="20">
        <f t="shared" si="69"/>
        <v>0.15320513923838133</v>
      </c>
      <c r="Y1200" s="20">
        <f t="shared" si="70"/>
        <v>0.69214631012604944</v>
      </c>
    </row>
    <row r="1201" spans="22:25" x14ac:dyDescent="0.2">
      <c r="V1201" s="18">
        <v>1.1990000000000001</v>
      </c>
      <c r="W1201" s="20">
        <f t="shared" si="68"/>
        <v>0.18245021897561309</v>
      </c>
      <c r="X1201" s="20">
        <f t="shared" si="69"/>
        <v>0.15389758998688977</v>
      </c>
      <c r="Y1201" s="20">
        <f t="shared" si="70"/>
        <v>0.69275297509223766</v>
      </c>
    </row>
    <row r="1202" spans="22:25" x14ac:dyDescent="0.2">
      <c r="V1202" s="18">
        <v>1.2</v>
      </c>
      <c r="W1202" s="20">
        <f t="shared" si="68"/>
        <v>0.18260446304153605</v>
      </c>
      <c r="X1202" s="20">
        <f t="shared" si="69"/>
        <v>0.1545906407516914</v>
      </c>
      <c r="Y1202" s="20">
        <f t="shared" si="70"/>
        <v>0.69334632943188268</v>
      </c>
    </row>
    <row r="1203" spans="22:25" x14ac:dyDescent="0.2">
      <c r="V1203" s="18">
        <v>1.2010000000000001</v>
      </c>
      <c r="W1203" s="20">
        <f t="shared" si="68"/>
        <v>0.18275940045267233</v>
      </c>
      <c r="X1203" s="20">
        <f t="shared" si="69"/>
        <v>0.15528427818228799</v>
      </c>
      <c r="Y1203" s="20">
        <f t="shared" si="70"/>
        <v>0.69392629337090739</v>
      </c>
    </row>
    <row r="1204" spans="22:25" x14ac:dyDescent="0.2">
      <c r="V1204" s="18">
        <v>1.202</v>
      </c>
      <c r="W1204" s="20">
        <f t="shared" si="68"/>
        <v>0.18291503178897989</v>
      </c>
      <c r="X1204" s="20">
        <f t="shared" si="69"/>
        <v>0.15597848884832258</v>
      </c>
      <c r="Y1204" s="20">
        <f t="shared" si="70"/>
        <v>0.69449278697424344</v>
      </c>
    </row>
    <row r="1205" spans="22:25" x14ac:dyDescent="0.2">
      <c r="V1205" s="18">
        <v>1.2030000000000001</v>
      </c>
      <c r="W1205" s="20">
        <f t="shared" si="68"/>
        <v>0.18307135761694496</v>
      </c>
      <c r="X1205" s="20">
        <f t="shared" si="69"/>
        <v>0.15667325923942901</v>
      </c>
      <c r="Y1205" s="20">
        <f t="shared" si="70"/>
        <v>0.695045730145881</v>
      </c>
    </row>
    <row r="1206" spans="22:25" x14ac:dyDescent="0.2">
      <c r="V1206" s="18">
        <v>1.204</v>
      </c>
      <c r="W1206" s="20">
        <f t="shared" si="68"/>
        <v>0.18322837848950413</v>
      </c>
      <c r="X1206" s="20">
        <f t="shared" si="69"/>
        <v>0.15736857576505406</v>
      </c>
      <c r="Y1206" s="20">
        <f t="shared" si="70"/>
        <v>0.69558504262881815</v>
      </c>
    </row>
    <row r="1207" spans="22:25" x14ac:dyDescent="0.2">
      <c r="V1207" s="18">
        <v>1.2050000000000001</v>
      </c>
      <c r="W1207" s="20">
        <f t="shared" si="68"/>
        <v>0.18338609494596439</v>
      </c>
      <c r="X1207" s="20">
        <f t="shared" si="69"/>
        <v>0.15806442475431751</v>
      </c>
      <c r="Y1207" s="20">
        <f t="shared" si="70"/>
        <v>0.6961106440050866</v>
      </c>
    </row>
    <row r="1208" spans="22:25" x14ac:dyDescent="0.2">
      <c r="V1208" s="18">
        <v>1.206</v>
      </c>
      <c r="W1208" s="20">
        <f t="shared" si="68"/>
        <v>0.1835445075119182</v>
      </c>
      <c r="X1208" s="20">
        <f t="shared" si="69"/>
        <v>0.15876079245583732</v>
      </c>
      <c r="Y1208" s="20">
        <f t="shared" si="70"/>
        <v>0.69662245369574904</v>
      </c>
    </row>
    <row r="1209" spans="22:25" x14ac:dyDescent="0.2">
      <c r="V1209" s="18">
        <v>1.2070000000000001</v>
      </c>
      <c r="W1209" s="20">
        <f t="shared" si="68"/>
        <v>0.1837036166991694</v>
      </c>
      <c r="X1209" s="20">
        <f t="shared" si="69"/>
        <v>0.159457665037572</v>
      </c>
      <c r="Y1209" s="20">
        <f t="shared" si="70"/>
        <v>0.69712039096091605</v>
      </c>
    </row>
    <row r="1210" spans="22:25" x14ac:dyDescent="0.2">
      <c r="V1210" s="18">
        <v>1.208</v>
      </c>
      <c r="W1210" s="20">
        <f t="shared" si="68"/>
        <v>0.18386342300564951</v>
      </c>
      <c r="X1210" s="20">
        <f t="shared" si="69"/>
        <v>0.16015502858665356</v>
      </c>
      <c r="Y1210" s="20">
        <f t="shared" si="70"/>
        <v>0.69760437489973182</v>
      </c>
    </row>
    <row r="1211" spans="22:25" x14ac:dyDescent="0.2">
      <c r="V1211" s="18">
        <v>1.2090000000000001</v>
      </c>
      <c r="W1211" s="20">
        <f t="shared" si="68"/>
        <v>0.18402392691533553</v>
      </c>
      <c r="X1211" s="20">
        <f t="shared" si="69"/>
        <v>0.16085286910924104</v>
      </c>
      <c r="Y1211" s="20">
        <f t="shared" si="70"/>
        <v>0.69807432445033157</v>
      </c>
    </row>
    <row r="1212" spans="22:25" x14ac:dyDescent="0.2">
      <c r="V1212" s="18">
        <v>1.21</v>
      </c>
      <c r="W1212" s="20">
        <f t="shared" si="68"/>
        <v>0.18418512889816899</v>
      </c>
      <c r="X1212" s="20">
        <f t="shared" si="69"/>
        <v>0.16155117253034915</v>
      </c>
      <c r="Y1212" s="20">
        <f t="shared" si="70"/>
        <v>0.69853015838993393</v>
      </c>
    </row>
    <row r="1213" spans="22:25" x14ac:dyDescent="0.2">
      <c r="V1213" s="18">
        <v>1.2110000000000001</v>
      </c>
      <c r="W1213" s="20">
        <f t="shared" si="68"/>
        <v>0.18434702940997738</v>
      </c>
      <c r="X1213" s="20">
        <f t="shared" si="69"/>
        <v>0.16224992469369151</v>
      </c>
      <c r="Y1213" s="20">
        <f t="shared" si="70"/>
        <v>0.69897179533474496</v>
      </c>
    </row>
    <row r="1214" spans="22:25" x14ac:dyDescent="0.2">
      <c r="V1214" s="18">
        <v>1.212</v>
      </c>
      <c r="W1214" s="20">
        <f t="shared" si="68"/>
        <v>0.18450962889239195</v>
      </c>
      <c r="X1214" s="20">
        <f t="shared" si="69"/>
        <v>0.16294911136150905</v>
      </c>
      <c r="Y1214" s="20">
        <f t="shared" si="70"/>
        <v>0.69939915374003281</v>
      </c>
    </row>
    <row r="1215" spans="22:25" x14ac:dyDescent="0.2">
      <c r="V1215" s="18">
        <v>1.2130000000000001</v>
      </c>
      <c r="W1215" s="20">
        <f t="shared" si="68"/>
        <v>0.18467292777276306</v>
      </c>
      <c r="X1215" s="20">
        <f t="shared" si="69"/>
        <v>0.16364871821442387</v>
      </c>
      <c r="Y1215" s="20">
        <f t="shared" si="70"/>
        <v>0.69981215190010637</v>
      </c>
    </row>
    <row r="1216" spans="22:25" x14ac:dyDescent="0.2">
      <c r="V1216" s="18">
        <v>1.214</v>
      </c>
      <c r="W1216" s="20">
        <f t="shared" si="68"/>
        <v>0.18483692646408326</v>
      </c>
      <c r="X1216" s="20">
        <f t="shared" si="69"/>
        <v>0.16434873085127324</v>
      </c>
      <c r="Y1216" s="20">
        <f t="shared" si="70"/>
        <v>0.70021070794826201</v>
      </c>
    </row>
    <row r="1217" spans="22:25" x14ac:dyDescent="0.2">
      <c r="V1217" s="18">
        <v>1.2150000000000001</v>
      </c>
      <c r="W1217" s="20">
        <f t="shared" si="68"/>
        <v>0.18500162536490078</v>
      </c>
      <c r="X1217" s="20">
        <f t="shared" si="69"/>
        <v>0.1650491347889427</v>
      </c>
      <c r="Y1217" s="20">
        <f t="shared" si="70"/>
        <v>0.70059473985686527</v>
      </c>
    </row>
    <row r="1218" spans="22:25" x14ac:dyDescent="0.2">
      <c r="V1218" s="18">
        <v>1.216</v>
      </c>
      <c r="W1218" s="20">
        <f t="shared" si="68"/>
        <v>0.1851670248592403</v>
      </c>
      <c r="X1218" s="20">
        <f t="shared" si="69"/>
        <v>0.16574991546221321</v>
      </c>
      <c r="Y1218" s="20">
        <f t="shared" si="70"/>
        <v>0.70096416543729401</v>
      </c>
    </row>
    <row r="1219" spans="22:25" x14ac:dyDescent="0.2">
      <c r="V1219" s="18">
        <v>1.2170000000000001</v>
      </c>
      <c r="W1219" s="20">
        <f t="shared" ref="W1219:W1282" si="71" xml:space="preserve"> -0.223567093536985*V1219^6 + 0.944228289125022*V1219^5 - 1.39425331473467*V1219^4 + 0.919786041369661*V1219^3 - 0.280641903613287*V1219^2 + 0.0398143416441599*V1219 + 0.158710616051081</f>
        <v>0.18533312531652177</v>
      </c>
      <c r="X1219" s="20">
        <f t="shared" ref="X1219:X1282" si="72" xml:space="preserve"> 6*-0.223567093536985*V1219^5 + 5*0.944228289125022*V1219^4 - 4*1.39425331473467*V1219^3 + 3*0.919786041369661*V1219^2 - 2*0.280641903613287*V1219^1 + 0.0398143416441599</f>
        <v>0.16645105822359421</v>
      </c>
      <c r="Y1219" s="20">
        <f t="shared" ref="Y1219:Y1282" si="73" xml:space="preserve"> 5*6*-0.223567093536985*V1219^4 + 4*5*0.944228289125022*V1219^3 - 3*4*1.39425331473467*V1219^2 + 2*3*0.919786041369661*V1219^1 - 2*0.280641903613287</f>
        <v>0.70131890233998107</v>
      </c>
    </row>
    <row r="1220" spans="22:25" x14ac:dyDescent="0.2">
      <c r="V1220" s="18">
        <v>1.218</v>
      </c>
      <c r="W1220" s="20">
        <f t="shared" si="71"/>
        <v>0.18549992709147445</v>
      </c>
      <c r="X1220" s="20">
        <f t="shared" si="72"/>
        <v>0.16715254834316642</v>
      </c>
      <c r="Y1220" s="20">
        <f t="shared" si="73"/>
        <v>0.70165886805435029</v>
      </c>
    </row>
    <row r="1221" spans="22:25" x14ac:dyDescent="0.2">
      <c r="V1221" s="18">
        <v>1.2190000000000001</v>
      </c>
      <c r="W1221" s="20">
        <f t="shared" si="71"/>
        <v>0.18566743052405779</v>
      </c>
      <c r="X1221" s="20">
        <f t="shared" si="72"/>
        <v>0.1678543710084193</v>
      </c>
      <c r="Y1221" s="20">
        <f t="shared" si="73"/>
        <v>0.70198397990889827</v>
      </c>
    </row>
    <row r="1222" spans="22:25" x14ac:dyDescent="0.2">
      <c r="V1222" s="18">
        <v>1.22</v>
      </c>
      <c r="W1222" s="20">
        <f t="shared" si="71"/>
        <v>0.18583563593937613</v>
      </c>
      <c r="X1222" s="20">
        <f t="shared" si="72"/>
        <v>0.16855651132408592</v>
      </c>
      <c r="Y1222" s="20">
        <f t="shared" si="73"/>
        <v>0.70229415507114457</v>
      </c>
    </row>
    <row r="1223" spans="22:25" x14ac:dyDescent="0.2">
      <c r="V1223" s="18">
        <v>1.2210000000000001</v>
      </c>
      <c r="W1223" s="20">
        <f t="shared" si="71"/>
        <v>0.18600454364759769</v>
      </c>
      <c r="X1223" s="20">
        <f t="shared" si="72"/>
        <v>0.16925895431200136</v>
      </c>
      <c r="Y1223" s="20">
        <f t="shared" si="73"/>
        <v>0.70258931054761309</v>
      </c>
    </row>
    <row r="1224" spans="22:25" x14ac:dyDescent="0.2">
      <c r="V1224" s="18">
        <v>1.222</v>
      </c>
      <c r="W1224" s="20">
        <f t="shared" si="71"/>
        <v>0.18617415394387116</v>
      </c>
      <c r="X1224" s="20">
        <f t="shared" si="72"/>
        <v>0.16996168491090349</v>
      </c>
      <c r="Y1224" s="20">
        <f t="shared" si="73"/>
        <v>0.70286936318389692</v>
      </c>
    </row>
    <row r="1225" spans="22:25" x14ac:dyDescent="0.2">
      <c r="V1225" s="18">
        <v>1.2230000000000001</v>
      </c>
      <c r="W1225" s="20">
        <f t="shared" si="71"/>
        <v>0.1863444671082421</v>
      </c>
      <c r="X1225" s="20">
        <f t="shared" si="72"/>
        <v>0.17066468797631976</v>
      </c>
      <c r="Y1225" s="20">
        <f t="shared" si="73"/>
        <v>0.70313422966459171</v>
      </c>
    </row>
    <row r="1226" spans="22:25" x14ac:dyDescent="0.2">
      <c r="V1226" s="18">
        <v>1.224</v>
      </c>
      <c r="W1226" s="20">
        <f t="shared" si="71"/>
        <v>0.18651548340557067</v>
      </c>
      <c r="X1226" s="20">
        <f t="shared" si="72"/>
        <v>0.17136794828035765</v>
      </c>
      <c r="Y1226" s="20">
        <f t="shared" si="73"/>
        <v>0.70338382651335163</v>
      </c>
    </row>
    <row r="1227" spans="22:25" x14ac:dyDescent="0.2">
      <c r="V1227" s="18">
        <v>1.2250000000000001</v>
      </c>
      <c r="W1227" s="20">
        <f t="shared" si="71"/>
        <v>0.1866872030854459</v>
      </c>
      <c r="X1227" s="20">
        <f t="shared" si="72"/>
        <v>0.17207145051159103</v>
      </c>
      <c r="Y1227" s="20">
        <f t="shared" si="73"/>
        <v>0.70361807009282185</v>
      </c>
    </row>
    <row r="1228" spans="22:25" x14ac:dyDescent="0.2">
      <c r="V1228" s="18">
        <v>1.226</v>
      </c>
      <c r="W1228" s="20">
        <f t="shared" si="71"/>
        <v>0.18685962638210613</v>
      </c>
      <c r="X1228" s="20">
        <f t="shared" si="72"/>
        <v>0.17277517927485589</v>
      </c>
      <c r="Y1228" s="20">
        <f t="shared" si="73"/>
        <v>0.70383687660473448</v>
      </c>
    </row>
    <row r="1229" spans="22:25" x14ac:dyDescent="0.2">
      <c r="V1229" s="18">
        <v>1.2270000000000001</v>
      </c>
      <c r="W1229" s="20">
        <f t="shared" si="71"/>
        <v>0.18703275351434823</v>
      </c>
      <c r="X1229" s="20">
        <f t="shared" si="72"/>
        <v>0.17347911909112237</v>
      </c>
      <c r="Y1229" s="20">
        <f t="shared" si="73"/>
        <v>0.70404016208980202</v>
      </c>
    </row>
    <row r="1230" spans="22:25" x14ac:dyDescent="0.2">
      <c r="V1230" s="18">
        <v>1.228</v>
      </c>
      <c r="W1230" s="20">
        <f t="shared" si="71"/>
        <v>0.18720658468545229</v>
      </c>
      <c r="X1230" s="20">
        <f t="shared" si="72"/>
        <v>0.17418325439732088</v>
      </c>
      <c r="Y1230" s="20">
        <f t="shared" si="73"/>
        <v>0.70422784242779191</v>
      </c>
    </row>
    <row r="1231" spans="22:25" x14ac:dyDescent="0.2">
      <c r="V1231" s="18">
        <v>1.2290000000000001</v>
      </c>
      <c r="W1231" s="20">
        <f t="shared" si="71"/>
        <v>0.18738112008309116</v>
      </c>
      <c r="X1231" s="20">
        <f t="shared" si="72"/>
        <v>0.17488756954617371</v>
      </c>
      <c r="Y1231" s="20">
        <f t="shared" si="73"/>
        <v>0.70439983333751233</v>
      </c>
    </row>
    <row r="1232" spans="22:25" x14ac:dyDescent="0.2">
      <c r="V1232" s="18">
        <v>1.23</v>
      </c>
      <c r="W1232" s="20">
        <f t="shared" si="71"/>
        <v>0.18755635987924954</v>
      </c>
      <c r="X1232" s="20">
        <f t="shared" si="72"/>
        <v>0.17559204880604121</v>
      </c>
      <c r="Y1232" s="20">
        <f t="shared" si="73"/>
        <v>0.70455605037678382</v>
      </c>
    </row>
    <row r="1233" spans="22:25" x14ac:dyDescent="0.2">
      <c r="V1233" s="18">
        <v>1.2310000000000001</v>
      </c>
      <c r="W1233" s="20">
        <f t="shared" si="71"/>
        <v>0.18773230423013615</v>
      </c>
      <c r="X1233" s="20">
        <f t="shared" si="72"/>
        <v>0.17629667636076943</v>
      </c>
      <c r="Y1233" s="20">
        <f t="shared" si="73"/>
        <v>0.70469640894248187</v>
      </c>
    </row>
    <row r="1234" spans="22:25" x14ac:dyDescent="0.2">
      <c r="V1234" s="18">
        <v>1.232</v>
      </c>
      <c r="W1234" s="20">
        <f t="shared" si="71"/>
        <v>0.18790895327610294</v>
      </c>
      <c r="X1234" s="20">
        <f t="shared" si="72"/>
        <v>0.17700143630951795</v>
      </c>
      <c r="Y1234" s="20">
        <f t="shared" si="73"/>
        <v>0.70482082427046944</v>
      </c>
    </row>
    <row r="1235" spans="22:25" x14ac:dyDescent="0.2">
      <c r="V1235" s="18">
        <v>1.2330000000000001</v>
      </c>
      <c r="W1235" s="20">
        <f t="shared" si="71"/>
        <v>0.18808630714155841</v>
      </c>
      <c r="X1235" s="20">
        <f t="shared" si="72"/>
        <v>0.17770631266659379</v>
      </c>
      <c r="Y1235" s="20">
        <f t="shared" si="73"/>
        <v>0.70492921143569998</v>
      </c>
    </row>
    <row r="1236" spans="22:25" x14ac:dyDescent="0.2">
      <c r="V1236" s="18">
        <v>1.234</v>
      </c>
      <c r="W1236" s="20">
        <f t="shared" si="71"/>
        <v>0.18826436593488316</v>
      </c>
      <c r="X1236" s="20">
        <f t="shared" si="72"/>
        <v>0.17841128936130482</v>
      </c>
      <c r="Y1236" s="20">
        <f t="shared" si="73"/>
        <v>0.70502148535211795</v>
      </c>
    </row>
    <row r="1237" spans="22:25" x14ac:dyDescent="0.2">
      <c r="V1237" s="18">
        <v>1.2350000000000001</v>
      </c>
      <c r="W1237" s="20">
        <f t="shared" si="71"/>
        <v>0.18844312974834262</v>
      </c>
      <c r="X1237" s="20">
        <f t="shared" si="72"/>
        <v>0.17911635023779995</v>
      </c>
      <c r="Y1237" s="20">
        <f t="shared" si="73"/>
        <v>0.70509756077270858</v>
      </c>
    </row>
    <row r="1238" spans="22:25" x14ac:dyDescent="0.2">
      <c r="V1238" s="18">
        <v>1.236</v>
      </c>
      <c r="W1238" s="20">
        <f t="shared" si="71"/>
        <v>0.18862259865800662</v>
      </c>
      <c r="X1238" s="20">
        <f t="shared" si="72"/>
        <v>0.17982147905488524</v>
      </c>
      <c r="Y1238" s="20">
        <f t="shared" si="73"/>
        <v>0.70515735228949072</v>
      </c>
    </row>
    <row r="1239" spans="22:25" x14ac:dyDescent="0.2">
      <c r="V1239" s="18">
        <v>1.2370000000000001</v>
      </c>
      <c r="W1239" s="20">
        <f t="shared" si="71"/>
        <v>0.188802772723658</v>
      </c>
      <c r="X1239" s="20">
        <f t="shared" si="72"/>
        <v>0.18052665948588889</v>
      </c>
      <c r="Y1239" s="20">
        <f t="shared" si="73"/>
        <v>0.70520077433351691</v>
      </c>
    </row>
    <row r="1240" spans="22:25" x14ac:dyDescent="0.2">
      <c r="V1240" s="18">
        <v>1.238</v>
      </c>
      <c r="W1240" s="20">
        <f t="shared" si="71"/>
        <v>0.18898365198871309</v>
      </c>
      <c r="X1240" s="20">
        <f t="shared" si="72"/>
        <v>0.1812318751184864</v>
      </c>
      <c r="Y1240" s="20">
        <f t="shared" si="73"/>
        <v>0.7052277411748733</v>
      </c>
    </row>
    <row r="1241" spans="22:25" x14ac:dyDescent="0.2">
      <c r="V1241" s="18">
        <v>1.2390000000000001</v>
      </c>
      <c r="W1241" s="20">
        <f t="shared" si="71"/>
        <v>0.18916523648013087</v>
      </c>
      <c r="X1241" s="20">
        <f t="shared" si="72"/>
        <v>0.18193710945454203</v>
      </c>
      <c r="Y1241" s="20">
        <f t="shared" si="73"/>
        <v>0.70523816692267971</v>
      </c>
    </row>
    <row r="1242" spans="22:25" x14ac:dyDescent="0.2">
      <c r="V1242" s="18">
        <v>1.24</v>
      </c>
      <c r="W1242" s="20">
        <f t="shared" si="71"/>
        <v>0.18934752620832945</v>
      </c>
      <c r="X1242" s="20">
        <f t="shared" si="72"/>
        <v>0.18264234590995224</v>
      </c>
      <c r="Y1242" s="20">
        <f t="shared" si="73"/>
        <v>0.70523196552506828</v>
      </c>
    </row>
    <row r="1243" spans="22:25" x14ac:dyDescent="0.2">
      <c r="V1243" s="18">
        <v>1.2410000000000001</v>
      </c>
      <c r="W1243" s="20">
        <f t="shared" si="71"/>
        <v>0.18953052116710101</v>
      </c>
      <c r="X1243" s="20">
        <f t="shared" si="72"/>
        <v>0.18334756781447739</v>
      </c>
      <c r="Y1243" s="20">
        <f t="shared" si="73"/>
        <v>0.70520905076922258</v>
      </c>
    </row>
    <row r="1244" spans="22:25" x14ac:dyDescent="0.2">
      <c r="V1244" s="18">
        <v>1.242</v>
      </c>
      <c r="W1244" s="20">
        <f t="shared" si="71"/>
        <v>0.18971422133352378</v>
      </c>
      <c r="X1244" s="20">
        <f t="shared" si="72"/>
        <v>0.18405275841158378</v>
      </c>
      <c r="Y1244" s="20">
        <f t="shared" si="73"/>
        <v>0.70516933628134915</v>
      </c>
    </row>
    <row r="1245" spans="22:25" x14ac:dyDescent="0.2">
      <c r="V1245" s="18">
        <v>1.2430000000000001</v>
      </c>
      <c r="W1245" s="20">
        <f t="shared" si="71"/>
        <v>0.18989862666787477</v>
      </c>
      <c r="X1245" s="20">
        <f t="shared" si="72"/>
        <v>0.18475790085828728</v>
      </c>
      <c r="Y1245" s="20">
        <f t="shared" si="73"/>
        <v>0.70511273552669174</v>
      </c>
    </row>
    <row r="1246" spans="22:25" x14ac:dyDescent="0.2">
      <c r="V1246" s="18">
        <v>1.244</v>
      </c>
      <c r="W1246" s="20">
        <f t="shared" si="71"/>
        <v>0.19008373711354762</v>
      </c>
      <c r="X1246" s="20">
        <f t="shared" si="72"/>
        <v>0.18546297822498373</v>
      </c>
      <c r="Y1246" s="20">
        <f t="shared" si="73"/>
        <v>0.7050391618095313</v>
      </c>
    </row>
    <row r="1247" spans="22:25" x14ac:dyDescent="0.2">
      <c r="V1247" s="18">
        <v>1.2450000000000001</v>
      </c>
      <c r="W1247" s="20">
        <f t="shared" si="71"/>
        <v>0.19026955259696049</v>
      </c>
      <c r="X1247" s="20">
        <f t="shared" si="72"/>
        <v>0.1861679734952997</v>
      </c>
      <c r="Y1247" s="20">
        <f t="shared" si="73"/>
        <v>0.70494852827315757</v>
      </c>
    </row>
    <row r="1248" spans="22:25" x14ac:dyDescent="0.2">
      <c r="V1248" s="18">
        <v>1.246</v>
      </c>
      <c r="W1248" s="20">
        <f t="shared" si="71"/>
        <v>0.19045607302747306</v>
      </c>
      <c r="X1248" s="20">
        <f t="shared" si="72"/>
        <v>0.18687286956591856</v>
      </c>
      <c r="Y1248" s="20">
        <f t="shared" si="73"/>
        <v>0.70484074789992235</v>
      </c>
    </row>
    <row r="1249" spans="22:25" x14ac:dyDescent="0.2">
      <c r="V1249" s="18">
        <v>1.2470000000000001</v>
      </c>
      <c r="W1249" s="20">
        <f t="shared" si="71"/>
        <v>0.19064329829729659</v>
      </c>
      <c r="X1249" s="20">
        <f t="shared" si="72"/>
        <v>0.18757764924642809</v>
      </c>
      <c r="Y1249" s="20">
        <f t="shared" si="73"/>
        <v>0.70471573351117911</v>
      </c>
    </row>
    <row r="1250" spans="22:25" x14ac:dyDescent="0.2">
      <c r="V1250" s="21">
        <v>1.248</v>
      </c>
      <c r="W1250" s="22">
        <f t="shared" si="71"/>
        <v>0.190831228281411</v>
      </c>
      <c r="X1250" s="22">
        <f t="shared" si="72"/>
        <v>0.18828229525915777</v>
      </c>
      <c r="Y1250" s="22">
        <f t="shared" si="73"/>
        <v>0.70457339776733985</v>
      </c>
    </row>
    <row r="1251" spans="22:25" x14ac:dyDescent="0.2">
      <c r="V1251" s="18">
        <v>1.2490000000000001</v>
      </c>
      <c r="W1251" s="20">
        <f t="shared" si="71"/>
        <v>0.19101986283747135</v>
      </c>
      <c r="X1251" s="20">
        <f t="shared" si="72"/>
        <v>0.18898679023901402</v>
      </c>
      <c r="Y1251" s="20">
        <f t="shared" si="73"/>
        <v>0.70441365316781823</v>
      </c>
    </row>
    <row r="1252" spans="22:25" x14ac:dyDescent="0.2">
      <c r="V1252" s="18">
        <v>1.25</v>
      </c>
      <c r="W1252" s="20">
        <f t="shared" si="71"/>
        <v>0.19120920180572776</v>
      </c>
      <c r="X1252" s="20">
        <f t="shared" si="72"/>
        <v>0.1896911167333222</v>
      </c>
      <c r="Y1252" s="20">
        <f t="shared" si="73"/>
        <v>0.7042364120510971</v>
      </c>
    </row>
    <row r="1253" spans="22:25" x14ac:dyDescent="0.2">
      <c r="V1253" s="18">
        <v>1.2509999999999999</v>
      </c>
      <c r="W1253" s="20">
        <f t="shared" si="71"/>
        <v>0.19139924500893091</v>
      </c>
      <c r="X1253" s="20">
        <f t="shared" si="72"/>
        <v>0.19039525720166953</v>
      </c>
      <c r="Y1253" s="20">
        <f t="shared" si="73"/>
        <v>0.70404158659465654</v>
      </c>
    </row>
    <row r="1254" spans="22:25" x14ac:dyDescent="0.2">
      <c r="V1254" s="18">
        <v>1.252</v>
      </c>
      <c r="W1254" s="20">
        <f t="shared" si="71"/>
        <v>0.19158999225224721</v>
      </c>
      <c r="X1254" s="20">
        <f t="shared" si="72"/>
        <v>0.19109919401574108</v>
      </c>
      <c r="Y1254" s="20">
        <f t="shared" si="73"/>
        <v>0.70382908881502804</v>
      </c>
    </row>
    <row r="1255" spans="22:25" x14ac:dyDescent="0.2">
      <c r="V1255" s="18">
        <v>1.2529999999999999</v>
      </c>
      <c r="W1255" s="20">
        <f t="shared" si="71"/>
        <v>0.19178144332317296</v>
      </c>
      <c r="X1255" s="20">
        <f t="shared" si="72"/>
        <v>0.19180290945914694</v>
      </c>
      <c r="Y1255" s="20">
        <f t="shared" si="73"/>
        <v>0.70359883056778116</v>
      </c>
    </row>
    <row r="1256" spans="22:25" x14ac:dyDescent="0.2">
      <c r="V1256" s="18">
        <v>1.254</v>
      </c>
      <c r="W1256" s="20">
        <f t="shared" si="71"/>
        <v>0.19197359799144137</v>
      </c>
      <c r="X1256" s="20">
        <f t="shared" si="72"/>
        <v>0.19250638572728465</v>
      </c>
      <c r="Y1256" s="20">
        <f t="shared" si="73"/>
        <v>0.70335072354748362</v>
      </c>
    </row>
    <row r="1257" spans="22:25" x14ac:dyDescent="0.2">
      <c r="V1257" s="18">
        <v>1.2549999999999999</v>
      </c>
      <c r="W1257" s="20">
        <f t="shared" si="71"/>
        <v>0.19216645600893881</v>
      </c>
      <c r="X1257" s="20">
        <f t="shared" si="72"/>
        <v>0.19320960492716346</v>
      </c>
      <c r="Y1257" s="20">
        <f t="shared" si="73"/>
        <v>0.70308467928777585</v>
      </c>
    </row>
    <row r="1258" spans="22:25" x14ac:dyDescent="0.2">
      <c r="V1258" s="18">
        <v>1.256</v>
      </c>
      <c r="W1258" s="20">
        <f t="shared" si="71"/>
        <v>0.1923600171096137</v>
      </c>
      <c r="X1258" s="20">
        <f t="shared" si="72"/>
        <v>0.19391254907724134</v>
      </c>
      <c r="Y1258" s="20">
        <f t="shared" si="73"/>
        <v>0.70280060916129994</v>
      </c>
    </row>
    <row r="1259" spans="22:25" x14ac:dyDescent="0.2">
      <c r="V1259" s="18">
        <v>1.2569999999999999</v>
      </c>
      <c r="W1259" s="20">
        <f t="shared" si="71"/>
        <v>0.19255428100938768</v>
      </c>
      <c r="X1259" s="20">
        <f t="shared" si="72"/>
        <v>0.19461520010726932</v>
      </c>
      <c r="Y1259" s="20">
        <f t="shared" si="73"/>
        <v>0.70249842437974941</v>
      </c>
    </row>
    <row r="1260" spans="22:25" x14ac:dyDescent="0.2">
      <c r="V1260" s="18">
        <v>1.258</v>
      </c>
      <c r="W1260" s="20">
        <f t="shared" si="71"/>
        <v>0.19274924740606925</v>
      </c>
      <c r="X1260" s="20">
        <f t="shared" si="72"/>
        <v>0.19531753985813563</v>
      </c>
      <c r="Y1260" s="20">
        <f t="shared" si="73"/>
        <v>0.702178035993823</v>
      </c>
    </row>
    <row r="1261" spans="22:25" x14ac:dyDescent="0.2">
      <c r="V1261" s="18">
        <v>1.2589999999999999</v>
      </c>
      <c r="W1261" s="20">
        <f t="shared" si="71"/>
        <v>0.19294491597926261</v>
      </c>
      <c r="X1261" s="20">
        <f t="shared" si="72"/>
        <v>0.19601955008168817</v>
      </c>
      <c r="Y1261" s="20">
        <f t="shared" si="73"/>
        <v>0.70183935489329219</v>
      </c>
    </row>
    <row r="1262" spans="22:25" x14ac:dyDescent="0.2">
      <c r="V1262" s="18">
        <v>1.26</v>
      </c>
      <c r="W1262" s="20">
        <f t="shared" si="71"/>
        <v>0.19314128639027842</v>
      </c>
      <c r="X1262" s="20">
        <f t="shared" si="72"/>
        <v>0.19672121244059329</v>
      </c>
      <c r="Y1262" s="20">
        <f t="shared" si="73"/>
        <v>0.70148229180692656</v>
      </c>
    </row>
    <row r="1263" spans="22:25" x14ac:dyDescent="0.2">
      <c r="V1263" s="18">
        <v>1.2609999999999999</v>
      </c>
      <c r="W1263" s="20">
        <f t="shared" si="71"/>
        <v>0.19333835828204798</v>
      </c>
      <c r="X1263" s="20">
        <f t="shared" si="72"/>
        <v>0.19742250850816259</v>
      </c>
      <c r="Y1263" s="20">
        <f t="shared" si="73"/>
        <v>0.70110675730252936</v>
      </c>
    </row>
    <row r="1264" spans="22:25" x14ac:dyDescent="0.2">
      <c r="V1264" s="18">
        <v>1.262</v>
      </c>
      <c r="W1264" s="20">
        <f t="shared" si="71"/>
        <v>0.19353613127902744</v>
      </c>
      <c r="X1264" s="20">
        <f t="shared" si="72"/>
        <v>0.1981234197681975</v>
      </c>
      <c r="Y1264" s="20">
        <f t="shared" si="73"/>
        <v>0.70071266178695879</v>
      </c>
    </row>
    <row r="1265" spans="22:25" x14ac:dyDescent="0.2">
      <c r="V1265" s="18">
        <v>1.2629999999999999</v>
      </c>
      <c r="W1265" s="20">
        <f t="shared" si="71"/>
        <v>0.19373460498711409</v>
      </c>
      <c r="X1265" s="20">
        <f t="shared" si="72"/>
        <v>0.19882392761481707</v>
      </c>
      <c r="Y1265" s="20">
        <f t="shared" si="73"/>
        <v>0.70029991550608184</v>
      </c>
    </row>
    <row r="1266" spans="22:25" x14ac:dyDescent="0.2">
      <c r="V1266" s="18">
        <v>1.264</v>
      </c>
      <c r="W1266" s="20">
        <f t="shared" si="71"/>
        <v>0.1939337789935551</v>
      </c>
      <c r="X1266" s="20">
        <f t="shared" si="72"/>
        <v>0.19952401335231632</v>
      </c>
      <c r="Y1266" s="20">
        <f t="shared" si="73"/>
        <v>0.6998684285448098</v>
      </c>
    </row>
    <row r="1267" spans="22:25" x14ac:dyDescent="0.2">
      <c r="V1267" s="18">
        <v>1.2649999999999999</v>
      </c>
      <c r="W1267" s="20">
        <f t="shared" si="71"/>
        <v>0.19413365286685486</v>
      </c>
      <c r="X1267" s="20">
        <f t="shared" si="72"/>
        <v>0.20022365819499013</v>
      </c>
      <c r="Y1267" s="20">
        <f t="shared" si="73"/>
        <v>0.69941811082706629</v>
      </c>
    </row>
    <row r="1268" spans="22:25" x14ac:dyDescent="0.2">
      <c r="V1268" s="18">
        <v>1.266</v>
      </c>
      <c r="W1268" s="20">
        <f t="shared" si="71"/>
        <v>0.19433422615668877</v>
      </c>
      <c r="X1268" s="20">
        <f t="shared" si="72"/>
        <v>0.20092284326697388</v>
      </c>
      <c r="Y1268" s="20">
        <f t="shared" si="73"/>
        <v>0.69894887211583701</v>
      </c>
    </row>
    <row r="1269" spans="22:25" x14ac:dyDescent="0.2">
      <c r="V1269" s="18">
        <v>1.2669999999999999</v>
      </c>
      <c r="W1269" s="20">
        <f t="shared" si="71"/>
        <v>0.19453549839381012</v>
      </c>
      <c r="X1269" s="20">
        <f t="shared" si="72"/>
        <v>0.20162154960209336</v>
      </c>
      <c r="Y1269" s="20">
        <f t="shared" si="73"/>
        <v>0.69846062201311643</v>
      </c>
    </row>
    <row r="1270" spans="22:25" x14ac:dyDescent="0.2">
      <c r="V1270" s="18">
        <v>1.268</v>
      </c>
      <c r="W1270" s="20">
        <f t="shared" si="71"/>
        <v>0.19473746908996259</v>
      </c>
      <c r="X1270" s="20">
        <f t="shared" si="72"/>
        <v>0.20231975814368811</v>
      </c>
      <c r="Y1270" s="20">
        <f t="shared" si="73"/>
        <v>0.69795326995994689</v>
      </c>
    </row>
    <row r="1271" spans="22:25" x14ac:dyDescent="0.2">
      <c r="V1271" s="18">
        <v>1.2689999999999999</v>
      </c>
      <c r="W1271" s="20">
        <f t="shared" si="71"/>
        <v>0.19494013773778548</v>
      </c>
      <c r="X1271" s="20">
        <f t="shared" si="72"/>
        <v>0.20301744974445859</v>
      </c>
      <c r="Y1271" s="20">
        <f t="shared" si="73"/>
        <v>0.69742672523639015</v>
      </c>
    </row>
    <row r="1272" spans="22:25" x14ac:dyDescent="0.2">
      <c r="V1272" s="18">
        <v>1.27</v>
      </c>
      <c r="W1272" s="20">
        <f t="shared" si="71"/>
        <v>0.19514350381072632</v>
      </c>
      <c r="X1272" s="20">
        <f t="shared" si="72"/>
        <v>0.20371460516631171</v>
      </c>
      <c r="Y1272" s="20">
        <f t="shared" si="73"/>
        <v>0.69688089696152744</v>
      </c>
    </row>
    <row r="1273" spans="22:25" x14ac:dyDescent="0.2">
      <c r="V1273" s="18">
        <v>1.2709999999999999</v>
      </c>
      <c r="W1273" s="20">
        <f t="shared" si="71"/>
        <v>0.19534756676295065</v>
      </c>
      <c r="X1273" s="20">
        <f t="shared" si="72"/>
        <v>0.20441120508018576</v>
      </c>
      <c r="Y1273" s="20">
        <f t="shared" si="73"/>
        <v>0.69631569409351624</v>
      </c>
    </row>
    <row r="1274" spans="22:25" x14ac:dyDescent="0.2">
      <c r="V1274" s="18">
        <v>1.272</v>
      </c>
      <c r="W1274" s="20">
        <f t="shared" si="71"/>
        <v>0.1955523260292456</v>
      </c>
      <c r="X1274" s="20">
        <f t="shared" si="72"/>
        <v>0.20510723006590129</v>
      </c>
      <c r="Y1274" s="20">
        <f t="shared" si="73"/>
        <v>0.69573102542948373</v>
      </c>
    </row>
    <row r="1275" spans="22:25" x14ac:dyDescent="0.2">
      <c r="V1275" s="18">
        <v>1.2729999999999999</v>
      </c>
      <c r="W1275" s="20">
        <f t="shared" si="71"/>
        <v>0.19575778102493599</v>
      </c>
      <c r="X1275" s="20">
        <f t="shared" si="72"/>
        <v>0.20580266061199062</v>
      </c>
      <c r="Y1275" s="20">
        <f t="shared" si="73"/>
        <v>0.69512679960565826</v>
      </c>
    </row>
    <row r="1276" spans="22:25" x14ac:dyDescent="0.2">
      <c r="V1276" s="18">
        <v>1.274</v>
      </c>
      <c r="W1276" s="20">
        <f t="shared" si="71"/>
        <v>0.19596393114578958</v>
      </c>
      <c r="X1276" s="20">
        <f t="shared" si="72"/>
        <v>0.2064974771155518</v>
      </c>
      <c r="Y1276" s="20">
        <f t="shared" si="73"/>
        <v>0.69450292509722722</v>
      </c>
    </row>
    <row r="1277" spans="22:25" x14ac:dyDescent="0.2">
      <c r="V1277" s="18">
        <v>1.2749999999999999</v>
      </c>
      <c r="W1277" s="20">
        <f t="shared" si="71"/>
        <v>0.19617077576792241</v>
      </c>
      <c r="X1277" s="20">
        <f t="shared" si="72"/>
        <v>0.20719165988206537</v>
      </c>
      <c r="Y1277" s="20">
        <f t="shared" si="73"/>
        <v>0.69385931021846492</v>
      </c>
    </row>
    <row r="1278" spans="22:25" x14ac:dyDescent="0.2">
      <c r="V1278" s="18">
        <v>1.276</v>
      </c>
      <c r="W1278" s="20">
        <f t="shared" si="71"/>
        <v>0.19637831424771315</v>
      </c>
      <c r="X1278" s="20">
        <f t="shared" si="72"/>
        <v>0.20788518912525358</v>
      </c>
      <c r="Y1278" s="20">
        <f t="shared" si="73"/>
        <v>0.69319586312265447</v>
      </c>
    </row>
    <row r="1279" spans="22:25" x14ac:dyDescent="0.2">
      <c r="V1279" s="18">
        <v>1.2769999999999999</v>
      </c>
      <c r="W1279" s="20">
        <f t="shared" si="71"/>
        <v>0.19658654592170649</v>
      </c>
      <c r="X1279" s="20">
        <f t="shared" si="72"/>
        <v>0.2085780449669056</v>
      </c>
      <c r="Y1279" s="20">
        <f t="shared" si="73"/>
        <v>0.69251249180211971</v>
      </c>
    </row>
    <row r="1280" spans="22:25" x14ac:dyDescent="0.2">
      <c r="V1280" s="18">
        <v>1.278</v>
      </c>
      <c r="W1280" s="20">
        <f t="shared" si="71"/>
        <v>0.1967954701065244</v>
      </c>
      <c r="X1280" s="20">
        <f t="shared" si="72"/>
        <v>0.20927020743672733</v>
      </c>
      <c r="Y1280" s="20">
        <f t="shared" si="73"/>
        <v>0.6918091040882075</v>
      </c>
    </row>
    <row r="1281" spans="22:25" x14ac:dyDescent="0.2">
      <c r="V1281" s="18">
        <v>1.2789999999999999</v>
      </c>
      <c r="W1281" s="20">
        <f t="shared" si="71"/>
        <v>0.19700508609876966</v>
      </c>
      <c r="X1281" s="20">
        <f t="shared" si="72"/>
        <v>0.20996165647217538</v>
      </c>
      <c r="Y1281" s="20">
        <f t="shared" si="73"/>
        <v>0.691085607651309</v>
      </c>
    </row>
    <row r="1282" spans="22:25" x14ac:dyDescent="0.2">
      <c r="V1282" s="18">
        <v>1.28</v>
      </c>
      <c r="W1282" s="20">
        <f t="shared" si="71"/>
        <v>0.19721539317494005</v>
      </c>
      <c r="X1282" s="20">
        <f t="shared" si="72"/>
        <v>0.21065237191829536</v>
      </c>
      <c r="Y1282" s="20">
        <f t="shared" si="73"/>
        <v>0.69034191000082057</v>
      </c>
    </row>
    <row r="1283" spans="22:25" x14ac:dyDescent="0.2">
      <c r="V1283" s="18">
        <v>1.2809999999999999</v>
      </c>
      <c r="W1283" s="20">
        <f t="shared" ref="W1283:W1346" si="74" xml:space="preserve"> -0.223567093536985*V1283^6 + 0.944228289125022*V1283^5 - 1.39425331473467*V1283^4 + 0.919786041369661*V1283^3 - 0.280641903613287*V1283^2 + 0.0398143416441599*V1283 + 0.158710616051081</f>
        <v>0.1974263905913286</v>
      </c>
      <c r="X1283" s="20">
        <f t="shared" ref="X1283:X1346" si="75" xml:space="preserve"> 6*-0.223567093536985*V1283^5 + 5*0.944228289125022*V1283^4 - 4*1.39425331473467*V1283^3 + 3*0.919786041369661*V1283^2 - 2*0.280641903613287*V1283^1 + 0.0398143416441599</f>
        <v>0.21134233352755774</v>
      </c>
      <c r="Y1283" s="20">
        <f t="shared" ref="Y1283:Y1346" si="76" xml:space="preserve"> 5*6*-0.223567093536985*V1283^4 + 4*5*0.944228289125022*V1283^3 - 3*4*1.39425331473467*V1283^2 + 2*3*0.919786041369661*V1283^1 - 2*0.280641903613287</f>
        <v>0.68957791848518912</v>
      </c>
    </row>
    <row r="1284" spans="22:25" x14ac:dyDescent="0.2">
      <c r="V1284" s="18">
        <v>1.282</v>
      </c>
      <c r="W1284" s="20">
        <f t="shared" si="74"/>
        <v>0.19763807758393659</v>
      </c>
      <c r="X1284" s="20">
        <f t="shared" si="75"/>
        <v>0.21203152095970904</v>
      </c>
      <c r="Y1284" s="20">
        <f t="shared" si="76"/>
        <v>0.68879354029190587</v>
      </c>
    </row>
    <row r="1285" spans="22:25" x14ac:dyDescent="0.2">
      <c r="V1285" s="18">
        <v>1.2829999999999999</v>
      </c>
      <c r="W1285" s="20">
        <f t="shared" si="74"/>
        <v>0.19785045336837881</v>
      </c>
      <c r="X1285" s="20">
        <f t="shared" si="75"/>
        <v>0.21271991378159397</v>
      </c>
      <c r="Y1285" s="20">
        <f t="shared" si="76"/>
        <v>0.68798868244746458</v>
      </c>
    </row>
    <row r="1286" spans="22:25" x14ac:dyDescent="0.2">
      <c r="V1286" s="18">
        <v>1.284</v>
      </c>
      <c r="W1286" s="20">
        <f t="shared" si="74"/>
        <v>0.19806351713978854</v>
      </c>
      <c r="X1286" s="20">
        <f t="shared" si="75"/>
        <v>0.21340749146700935</v>
      </c>
      <c r="Y1286" s="20">
        <f t="shared" si="76"/>
        <v>0.687163251817414</v>
      </c>
    </row>
    <row r="1287" spans="22:25" x14ac:dyDescent="0.2">
      <c r="V1287" s="18">
        <v>1.2849999999999999</v>
      </c>
      <c r="W1287" s="20">
        <f t="shared" si="74"/>
        <v>0.19827726807272875</v>
      </c>
      <c r="X1287" s="20">
        <f t="shared" si="75"/>
        <v>0.21409423339653724</v>
      </c>
      <c r="Y1287" s="20">
        <f t="shared" si="76"/>
        <v>0.68631715510634006</v>
      </c>
    </row>
    <row r="1288" spans="22:25" x14ac:dyDescent="0.2">
      <c r="V1288" s="18">
        <v>1.286</v>
      </c>
      <c r="W1288" s="20">
        <f t="shared" si="74"/>
        <v>0.198491705321093</v>
      </c>
      <c r="X1288" s="20">
        <f t="shared" si="75"/>
        <v>0.21478011885737705</v>
      </c>
      <c r="Y1288" s="20">
        <f t="shared" si="76"/>
        <v>0.68545029885781972</v>
      </c>
    </row>
    <row r="1289" spans="22:25" x14ac:dyDescent="0.2">
      <c r="V1289" s="18">
        <v>1.2869999999999999</v>
      </c>
      <c r="W1289" s="20">
        <f t="shared" si="74"/>
        <v>0.19870682801801934</v>
      </c>
      <c r="X1289" s="20">
        <f t="shared" si="75"/>
        <v>0.21546512704320167</v>
      </c>
      <c r="Y1289" s="20">
        <f t="shared" si="76"/>
        <v>0.68456258945450266</v>
      </c>
    </row>
    <row r="1290" spans="22:25" x14ac:dyDescent="0.2">
      <c r="V1290" s="18">
        <v>1.288</v>
      </c>
      <c r="W1290" s="20">
        <f t="shared" si="74"/>
        <v>0.19892263527578924</v>
      </c>
      <c r="X1290" s="20">
        <f t="shared" si="75"/>
        <v>0.21614923705397807</v>
      </c>
      <c r="Y1290" s="20">
        <f t="shared" si="76"/>
        <v>0.68365393311806155</v>
      </c>
    </row>
    <row r="1291" spans="22:25" x14ac:dyDescent="0.2">
      <c r="V1291" s="18">
        <v>1.2889999999999999</v>
      </c>
      <c r="W1291" s="20">
        <f t="shared" si="74"/>
        <v>0.19913912618573956</v>
      </c>
      <c r="X1291" s="20">
        <f t="shared" si="75"/>
        <v>0.2168324278958145</v>
      </c>
      <c r="Y1291" s="20">
        <f t="shared" si="76"/>
        <v>0.68272423590918851</v>
      </c>
    </row>
    <row r="1292" spans="22:25" x14ac:dyDescent="0.2">
      <c r="V1292" s="18">
        <v>1.29</v>
      </c>
      <c r="W1292" s="20">
        <f t="shared" si="74"/>
        <v>0.19935629981816355</v>
      </c>
      <c r="X1292" s="20">
        <f t="shared" si="75"/>
        <v>0.217514678480806</v>
      </c>
      <c r="Y1292" s="20">
        <f t="shared" si="76"/>
        <v>0.68177340372760575</v>
      </c>
    </row>
    <row r="1293" spans="22:25" x14ac:dyDescent="0.2">
      <c r="V1293" s="18">
        <v>1.2909999999999999</v>
      </c>
      <c r="W1293" s="20">
        <f t="shared" si="74"/>
        <v>0.19957415522222199</v>
      </c>
      <c r="X1293" s="20">
        <f t="shared" si="75"/>
        <v>0.21819596762686036</v>
      </c>
      <c r="Y1293" s="20">
        <f t="shared" si="76"/>
        <v>0.68080134231208689</v>
      </c>
    </row>
    <row r="1294" spans="22:25" x14ac:dyDescent="0.2">
      <c r="V1294" s="18">
        <v>1.292</v>
      </c>
      <c r="W1294" s="20">
        <f t="shared" si="74"/>
        <v>0.19979269142584563</v>
      </c>
      <c r="X1294" s="20">
        <f t="shared" si="75"/>
        <v>0.21887627405754498</v>
      </c>
      <c r="Y1294" s="20">
        <f t="shared" si="76"/>
        <v>0.67980795724042498</v>
      </c>
    </row>
    <row r="1295" spans="22:25" x14ac:dyDescent="0.2">
      <c r="V1295" s="18">
        <v>1.2929999999999999</v>
      </c>
      <c r="W1295" s="20">
        <f t="shared" si="74"/>
        <v>0.20001190743564251</v>
      </c>
      <c r="X1295" s="20">
        <f t="shared" si="75"/>
        <v>0.21955557640193027</v>
      </c>
      <c r="Y1295" s="20">
        <f t="shared" si="76"/>
        <v>0.67879315392943962</v>
      </c>
    </row>
    <row r="1296" spans="22:25" x14ac:dyDescent="0.2">
      <c r="V1296" s="18">
        <v>1.294</v>
      </c>
      <c r="W1296" s="20">
        <f t="shared" si="74"/>
        <v>0.2002318022368004</v>
      </c>
      <c r="X1296" s="20">
        <f t="shared" si="75"/>
        <v>0.22023385319441427</v>
      </c>
      <c r="Y1296" s="20">
        <f t="shared" si="76"/>
        <v>0.67775683763500183</v>
      </c>
    </row>
    <row r="1297" spans="22:25" x14ac:dyDescent="0.2">
      <c r="V1297" s="18">
        <v>1.2949999999999999</v>
      </c>
      <c r="W1297" s="20">
        <f t="shared" si="74"/>
        <v>0.20045237479299488</v>
      </c>
      <c r="X1297" s="20">
        <f t="shared" si="75"/>
        <v>0.22091108287457176</v>
      </c>
      <c r="Y1297" s="20">
        <f t="shared" si="76"/>
        <v>0.67669891345197719</v>
      </c>
    </row>
    <row r="1298" spans="22:25" x14ac:dyDescent="0.2">
      <c r="V1298" s="18">
        <v>1.296</v>
      </c>
      <c r="W1298" s="20">
        <f t="shared" si="74"/>
        <v>0.20067362404629538</v>
      </c>
      <c r="X1298" s="20">
        <f t="shared" si="75"/>
        <v>0.2215872437869997</v>
      </c>
      <c r="Y1298" s="20">
        <f t="shared" si="76"/>
        <v>0.67561928631431467</v>
      </c>
    </row>
    <row r="1299" spans="22:25" x14ac:dyDescent="0.2">
      <c r="V1299" s="18">
        <v>1.2969999999999999</v>
      </c>
      <c r="W1299" s="20">
        <f t="shared" si="74"/>
        <v>0.20089554891706352</v>
      </c>
      <c r="X1299" s="20">
        <f t="shared" si="75"/>
        <v>0.22226231418114231</v>
      </c>
      <c r="Y1299" s="20">
        <f t="shared" si="76"/>
        <v>0.67451786099494715</v>
      </c>
    </row>
    <row r="1300" spans="22:25" x14ac:dyDescent="0.2">
      <c r="V1300" s="18">
        <v>1.298</v>
      </c>
      <c r="W1300" s="20">
        <f t="shared" si="74"/>
        <v>0.20111814830386937</v>
      </c>
      <c r="X1300" s="20">
        <f t="shared" si="75"/>
        <v>0.22293627221113735</v>
      </c>
      <c r="Y1300" s="20">
        <f t="shared" si="76"/>
        <v>0.67339454210585803</v>
      </c>
    </row>
    <row r="1301" spans="22:25" x14ac:dyDescent="0.2">
      <c r="V1301" s="18">
        <v>1.2989999999999999</v>
      </c>
      <c r="W1301" s="20">
        <f t="shared" si="74"/>
        <v>0.20134142108338521</v>
      </c>
      <c r="X1301" s="20">
        <f t="shared" si="75"/>
        <v>0.22360909593565106</v>
      </c>
      <c r="Y1301" s="20">
        <f t="shared" si="76"/>
        <v>0.67224923409808213</v>
      </c>
    </row>
    <row r="1302" spans="22:25" x14ac:dyDescent="0.2">
      <c r="V1302" s="18">
        <v>1.3</v>
      </c>
      <c r="W1302" s="20">
        <f t="shared" si="74"/>
        <v>0.20156536611029441</v>
      </c>
      <c r="X1302" s="20">
        <f t="shared" si="75"/>
        <v>0.22428076331772409</v>
      </c>
      <c r="Y1302" s="20">
        <f t="shared" si="76"/>
        <v>0.67108184126165327</v>
      </c>
    </row>
    <row r="1303" spans="22:25" x14ac:dyDescent="0.2">
      <c r="V1303" s="18">
        <v>1.3009999999999999</v>
      </c>
      <c r="W1303" s="20">
        <f t="shared" si="74"/>
        <v>0.20178998221719649</v>
      </c>
      <c r="X1303" s="20">
        <f t="shared" si="75"/>
        <v>0.22495125222460868</v>
      </c>
      <c r="Y1303" s="20">
        <f t="shared" si="76"/>
        <v>0.66989226772564248</v>
      </c>
    </row>
    <row r="1304" spans="22:25" x14ac:dyDescent="0.2">
      <c r="V1304" s="18">
        <v>1.302</v>
      </c>
      <c r="W1304" s="20">
        <f t="shared" si="74"/>
        <v>0.20201526821451055</v>
      </c>
      <c r="X1304" s="20">
        <f t="shared" si="75"/>
        <v>0.22562054042759952</v>
      </c>
      <c r="Y1304" s="20">
        <f t="shared" si="76"/>
        <v>0.66868041745818285</v>
      </c>
    </row>
    <row r="1305" spans="22:25" x14ac:dyDescent="0.2">
      <c r="V1305" s="18">
        <v>1.3029999999999999</v>
      </c>
      <c r="W1305" s="20">
        <f t="shared" si="74"/>
        <v>0.20224122289037708</v>
      </c>
      <c r="X1305" s="20">
        <f t="shared" si="75"/>
        <v>0.22628860560188638</v>
      </c>
      <c r="Y1305" s="20">
        <f t="shared" si="76"/>
        <v>0.66744619426640206</v>
      </c>
    </row>
    <row r="1306" spans="22:25" x14ac:dyDescent="0.2">
      <c r="V1306" s="18">
        <v>1.304</v>
      </c>
      <c r="W1306" s="20">
        <f t="shared" si="74"/>
        <v>0.20246784501056525</v>
      </c>
      <c r="X1306" s="20">
        <f t="shared" si="75"/>
        <v>0.22695542532637561</v>
      </c>
      <c r="Y1306" s="20">
        <f t="shared" si="76"/>
        <v>0.66618950179646497</v>
      </c>
    </row>
    <row r="1307" spans="22:25" x14ac:dyDescent="0.2">
      <c r="V1307" s="18">
        <v>1.3049999999999999</v>
      </c>
      <c r="W1307" s="20">
        <f t="shared" si="74"/>
        <v>0.20269513331837488</v>
      </c>
      <c r="X1307" s="20">
        <f t="shared" si="75"/>
        <v>0.22762097708354803</v>
      </c>
      <c r="Y1307" s="20">
        <f t="shared" si="76"/>
        <v>0.66491024353360562</v>
      </c>
    </row>
    <row r="1308" spans="22:25" x14ac:dyDescent="0.2">
      <c r="V1308" s="18">
        <v>1.306</v>
      </c>
      <c r="W1308" s="20">
        <f t="shared" si="74"/>
        <v>0.20292308653453961</v>
      </c>
      <c r="X1308" s="20">
        <f t="shared" si="75"/>
        <v>0.22828523825929017</v>
      </c>
      <c r="Y1308" s="20">
        <f t="shared" si="76"/>
        <v>0.66360832280203841</v>
      </c>
    </row>
    <row r="1309" spans="22:25" x14ac:dyDescent="0.2">
      <c r="V1309" s="18">
        <v>1.3069999999999999</v>
      </c>
      <c r="W1309" s="20">
        <f t="shared" si="74"/>
        <v>0.20315170335713045</v>
      </c>
      <c r="X1309" s="20">
        <f t="shared" si="75"/>
        <v>0.22894818614272019</v>
      </c>
      <c r="Y1309" s="20">
        <f t="shared" si="76"/>
        <v>0.66228364276503982</v>
      </c>
    </row>
    <row r="1310" spans="22:25" x14ac:dyDescent="0.2">
      <c r="V1310" s="18">
        <v>1.3080000000000001</v>
      </c>
      <c r="W1310" s="20">
        <f t="shared" si="74"/>
        <v>0.20338098246145928</v>
      </c>
      <c r="X1310" s="20">
        <f t="shared" si="75"/>
        <v>0.2296097979260511</v>
      </c>
      <c r="Y1310" s="20">
        <f t="shared" si="76"/>
        <v>0.66093610642492351</v>
      </c>
    </row>
    <row r="1311" spans="22:25" x14ac:dyDescent="0.2">
      <c r="V1311" s="18">
        <v>1.3089999999999999</v>
      </c>
      <c r="W1311" s="20">
        <f t="shared" si="74"/>
        <v>0.20361092249998253</v>
      </c>
      <c r="X1311" s="20">
        <f t="shared" si="75"/>
        <v>0.23027005070441767</v>
      </c>
      <c r="Y1311" s="20">
        <f t="shared" si="76"/>
        <v>0.65956561662299062</v>
      </c>
    </row>
    <row r="1312" spans="22:25" x14ac:dyDescent="0.2">
      <c r="V1312" s="18">
        <v>1.31</v>
      </c>
      <c r="W1312" s="20">
        <f t="shared" si="74"/>
        <v>0.20384152210220055</v>
      </c>
      <c r="X1312" s="20">
        <f t="shared" si="75"/>
        <v>0.23092892147570368</v>
      </c>
      <c r="Y1312" s="20">
        <f t="shared" si="76"/>
        <v>0.6581720760396399</v>
      </c>
    </row>
    <row r="1313" spans="22:25" x14ac:dyDescent="0.2">
      <c r="V1313" s="18">
        <v>1.3109999999999999</v>
      </c>
      <c r="W1313" s="20">
        <f t="shared" si="74"/>
        <v>0.20407277987456623</v>
      </c>
      <c r="X1313" s="20">
        <f t="shared" si="75"/>
        <v>0.23158638714040938</v>
      </c>
      <c r="Y1313" s="20">
        <f t="shared" si="76"/>
        <v>0.65675538719425042</v>
      </c>
    </row>
    <row r="1314" spans="22:25" x14ac:dyDescent="0.2">
      <c r="V1314" s="18">
        <v>1.3120000000000001</v>
      </c>
      <c r="W1314" s="20">
        <f t="shared" si="74"/>
        <v>0.20430469440038138</v>
      </c>
      <c r="X1314" s="20">
        <f t="shared" si="75"/>
        <v>0.23224242450146096</v>
      </c>
      <c r="Y1314" s="20">
        <f t="shared" si="76"/>
        <v>0.65531545244524914</v>
      </c>
    </row>
    <row r="1315" spans="22:25" x14ac:dyDescent="0.2">
      <c r="V1315" s="18">
        <v>1.3129999999999999</v>
      </c>
      <c r="W1315" s="20">
        <f t="shared" si="74"/>
        <v>0.20453726423970431</v>
      </c>
      <c r="X1315" s="20">
        <f t="shared" si="75"/>
        <v>0.23289701026406853</v>
      </c>
      <c r="Y1315" s="20">
        <f t="shared" si="76"/>
        <v>0.65385217399010731</v>
      </c>
    </row>
    <row r="1316" spans="22:25" x14ac:dyDescent="0.2">
      <c r="V1316" s="18">
        <v>1.3140000000000001</v>
      </c>
      <c r="W1316" s="20">
        <f t="shared" si="74"/>
        <v>0.20477048792924618</v>
      </c>
      <c r="X1316" s="20">
        <f t="shared" si="75"/>
        <v>0.23355012103555564</v>
      </c>
      <c r="Y1316" s="20">
        <f t="shared" si="76"/>
        <v>0.65236545386529432</v>
      </c>
    </row>
    <row r="1317" spans="22:25" x14ac:dyDescent="0.2">
      <c r="V1317" s="18">
        <v>1.3149999999999999</v>
      </c>
      <c r="W1317" s="20">
        <f t="shared" si="74"/>
        <v>0.20500436398228189</v>
      </c>
      <c r="X1317" s="20">
        <f t="shared" si="75"/>
        <v>0.23420173332520203</v>
      </c>
      <c r="Y1317" s="20">
        <f t="shared" si="76"/>
        <v>0.65085519394636293</v>
      </c>
    </row>
    <row r="1318" spans="22:25" x14ac:dyDescent="0.2">
      <c r="V1318" s="18">
        <v>1.3160000000000001</v>
      </c>
      <c r="W1318" s="20">
        <f t="shared" si="74"/>
        <v>0.20523889088854136</v>
      </c>
      <c r="X1318" s="20">
        <f t="shared" si="75"/>
        <v>0.23485182354408821</v>
      </c>
      <c r="Y1318" s="20">
        <f t="shared" si="76"/>
        <v>0.64932129594783916</v>
      </c>
    </row>
    <row r="1319" spans="22:25" x14ac:dyDescent="0.2">
      <c r="V1319" s="18">
        <v>1.3169999999999999</v>
      </c>
      <c r="W1319" s="20">
        <f t="shared" si="74"/>
        <v>0.20547406711411853</v>
      </c>
      <c r="X1319" s="20">
        <f t="shared" si="75"/>
        <v>0.23550036800492682</v>
      </c>
      <c r="Y1319" s="20">
        <f t="shared" si="76"/>
        <v>0.64776366142332531</v>
      </c>
    </row>
    <row r="1320" spans="22:25" x14ac:dyDescent="0.2">
      <c r="V1320" s="18">
        <v>1.3180000000000001</v>
      </c>
      <c r="W1320" s="20">
        <f t="shared" si="74"/>
        <v>0.20570989110137045</v>
      </c>
      <c r="X1320" s="20">
        <f t="shared" si="75"/>
        <v>0.23614734292189257</v>
      </c>
      <c r="Y1320" s="20">
        <f t="shared" si="76"/>
        <v>0.64618219176543956</v>
      </c>
    </row>
    <row r="1321" spans="22:25" x14ac:dyDescent="0.2">
      <c r="V1321" s="18">
        <v>1.319</v>
      </c>
      <c r="W1321" s="20">
        <f t="shared" si="74"/>
        <v>0.2059463612688204</v>
      </c>
      <c r="X1321" s="20">
        <f t="shared" si="75"/>
        <v>0.23679272441048874</v>
      </c>
      <c r="Y1321" s="20">
        <f t="shared" si="76"/>
        <v>0.6445767882058302</v>
      </c>
    </row>
    <row r="1322" spans="22:25" x14ac:dyDescent="0.2">
      <c r="V1322" s="18">
        <v>1.32</v>
      </c>
      <c r="W1322" s="20">
        <f t="shared" si="74"/>
        <v>0.20618347601105597</v>
      </c>
      <c r="X1322" s="20">
        <f t="shared" si="75"/>
        <v>0.23743648848736201</v>
      </c>
      <c r="Y1322" s="20">
        <f t="shared" si="76"/>
        <v>0.64294735181517559</v>
      </c>
    </row>
    <row r="1323" spans="22:25" x14ac:dyDescent="0.2">
      <c r="V1323" s="18">
        <v>1.321</v>
      </c>
      <c r="W1323" s="20">
        <f t="shared" si="74"/>
        <v>0.20642123369863116</v>
      </c>
      <c r="X1323" s="20">
        <f t="shared" si="75"/>
        <v>0.23807861107014897</v>
      </c>
      <c r="Y1323" s="20">
        <f t="shared" si="76"/>
        <v>0.64129378350318778</v>
      </c>
    </row>
    <row r="1324" spans="22:25" x14ac:dyDescent="0.2">
      <c r="V1324" s="18">
        <v>1.3220000000000001</v>
      </c>
      <c r="W1324" s="20">
        <f t="shared" si="74"/>
        <v>0.20665963267797133</v>
      </c>
      <c r="X1324" s="20">
        <f t="shared" si="75"/>
        <v>0.23871906797731438</v>
      </c>
      <c r="Y1324" s="20">
        <f t="shared" si="76"/>
        <v>0.63961598401862307</v>
      </c>
    </row>
    <row r="1325" spans="22:25" x14ac:dyDescent="0.2">
      <c r="V1325" s="18">
        <v>1.323</v>
      </c>
      <c r="W1325" s="20">
        <f t="shared" si="74"/>
        <v>0.20689867127126885</v>
      </c>
      <c r="X1325" s="20">
        <f t="shared" si="75"/>
        <v>0.23935783492799226</v>
      </c>
      <c r="Y1325" s="20">
        <f t="shared" si="76"/>
        <v>0.63791385394923594</v>
      </c>
    </row>
    <row r="1326" spans="22:25" x14ac:dyDescent="0.2">
      <c r="V1326" s="18">
        <v>1.3240000000000001</v>
      </c>
      <c r="W1326" s="20">
        <f t="shared" si="74"/>
        <v>0.20713834777638399</v>
      </c>
      <c r="X1326" s="20">
        <f t="shared" si="75"/>
        <v>0.23999488754182599</v>
      </c>
      <c r="Y1326" s="20">
        <f t="shared" si="76"/>
        <v>0.63618729372185712</v>
      </c>
    </row>
    <row r="1327" spans="22:25" x14ac:dyDescent="0.2">
      <c r="V1327" s="18">
        <v>1.325</v>
      </c>
      <c r="W1327" s="20">
        <f t="shared" si="74"/>
        <v>0.20737866046674747</v>
      </c>
      <c r="X1327" s="20">
        <f t="shared" si="75"/>
        <v>0.24063020133880933</v>
      </c>
      <c r="Y1327" s="20">
        <f t="shared" si="76"/>
        <v>0.63443620360230835</v>
      </c>
    </row>
    <row r="1328" spans="22:25" x14ac:dyDescent="0.2">
      <c r="V1328" s="18">
        <v>1.3260000000000001</v>
      </c>
      <c r="W1328" s="20">
        <f t="shared" si="74"/>
        <v>0.20761960759126294</v>
      </c>
      <c r="X1328" s="20">
        <f t="shared" si="75"/>
        <v>0.24126375173910433</v>
      </c>
      <c r="Y1328" s="20">
        <f t="shared" si="76"/>
        <v>0.63266048369547701</v>
      </c>
    </row>
    <row r="1329" spans="22:25" x14ac:dyDescent="0.2">
      <c r="V1329" s="18">
        <v>1.327</v>
      </c>
      <c r="W1329" s="20">
        <f t="shared" si="74"/>
        <v>0.20786118737420084</v>
      </c>
      <c r="X1329" s="20">
        <f t="shared" si="75"/>
        <v>0.24189551406291979</v>
      </c>
      <c r="Y1329" s="20">
        <f t="shared" si="76"/>
        <v>0.63086003394525569</v>
      </c>
    </row>
    <row r="1330" spans="22:25" x14ac:dyDescent="0.2">
      <c r="V1330" s="18">
        <v>1.3280000000000001</v>
      </c>
      <c r="W1330" s="20">
        <f t="shared" si="74"/>
        <v>0.20810339801510461</v>
      </c>
      <c r="X1330" s="20">
        <f t="shared" si="75"/>
        <v>0.24252546353031004</v>
      </c>
      <c r="Y1330" s="20">
        <f t="shared" si="76"/>
        <v>0.62903475413459198</v>
      </c>
    </row>
    <row r="1331" spans="22:25" x14ac:dyDescent="0.2">
      <c r="V1331" s="18">
        <v>1.329</v>
      </c>
      <c r="W1331" s="20">
        <f t="shared" si="74"/>
        <v>0.20834623768868366</v>
      </c>
      <c r="X1331" s="20">
        <f t="shared" si="75"/>
        <v>0.24315357526104334</v>
      </c>
      <c r="Y1331" s="20">
        <f t="shared" si="76"/>
        <v>0.6271845438854351</v>
      </c>
    </row>
    <row r="1332" spans="22:25" x14ac:dyDescent="0.2">
      <c r="V1332" s="18">
        <v>1.33</v>
      </c>
      <c r="W1332" s="20">
        <f t="shared" si="74"/>
        <v>0.20858970454472206</v>
      </c>
      <c r="X1332" s="20">
        <f t="shared" si="75"/>
        <v>0.24377982427442371</v>
      </c>
      <c r="Y1332" s="20">
        <f t="shared" si="76"/>
        <v>0.62530930265878926</v>
      </c>
    </row>
    <row r="1333" spans="22:25" x14ac:dyDescent="0.2">
      <c r="V1333" s="18">
        <v>1.331</v>
      </c>
      <c r="W1333" s="20">
        <f t="shared" si="74"/>
        <v>0.20883379670796853</v>
      </c>
      <c r="X1333" s="20">
        <f t="shared" si="75"/>
        <v>0.24440418548913836</v>
      </c>
      <c r="Y1333" s="20">
        <f t="shared" si="76"/>
        <v>0.62340892975469586</v>
      </c>
    </row>
    <row r="1334" spans="22:25" x14ac:dyDescent="0.2">
      <c r="V1334" s="18">
        <v>1.3320000000000001</v>
      </c>
      <c r="W1334" s="20">
        <f t="shared" si="74"/>
        <v>0.20907851227804175</v>
      </c>
      <c r="X1334" s="20">
        <f t="shared" si="75"/>
        <v>0.24502663372308711</v>
      </c>
      <c r="Y1334" s="20">
        <f t="shared" si="76"/>
        <v>0.6214833243122051</v>
      </c>
    </row>
    <row r="1335" spans="22:25" x14ac:dyDescent="0.2">
      <c r="V1335" s="18">
        <v>1.333</v>
      </c>
      <c r="W1335" s="20">
        <f t="shared" si="74"/>
        <v>0.20932384932932757</v>
      </c>
      <c r="X1335" s="20">
        <f t="shared" si="75"/>
        <v>0.24564714369324472</v>
      </c>
      <c r="Y1335" s="20">
        <f t="shared" si="76"/>
        <v>0.61953238530941146</v>
      </c>
    </row>
    <row r="1336" spans="22:25" x14ac:dyDescent="0.2">
      <c r="V1336" s="18">
        <v>1.3340000000000001</v>
      </c>
      <c r="W1336" s="20">
        <f t="shared" si="74"/>
        <v>0.20956980591087876</v>
      </c>
      <c r="X1336" s="20">
        <f t="shared" si="75"/>
        <v>0.24626569001546197</v>
      </c>
      <c r="Y1336" s="20">
        <f t="shared" si="76"/>
        <v>0.61755601156345374</v>
      </c>
    </row>
    <row r="1337" spans="22:25" x14ac:dyDescent="0.2">
      <c r="V1337" s="18">
        <v>1.335</v>
      </c>
      <c r="W1337" s="20">
        <f t="shared" si="74"/>
        <v>0.20981638004631473</v>
      </c>
      <c r="X1337" s="20">
        <f t="shared" si="75"/>
        <v>0.2468822472043414</v>
      </c>
      <c r="Y1337" s="20">
        <f t="shared" si="76"/>
        <v>0.61555410173046177</v>
      </c>
    </row>
    <row r="1338" spans="22:25" x14ac:dyDescent="0.2">
      <c r="V1338" s="18">
        <v>1.3360000000000001</v>
      </c>
      <c r="W1338" s="20">
        <f t="shared" si="74"/>
        <v>0.21006356973371576</v>
      </c>
      <c r="X1338" s="20">
        <f t="shared" si="75"/>
        <v>0.24749678967305924</v>
      </c>
      <c r="Y1338" s="20">
        <f t="shared" si="76"/>
        <v>0.61352655430564162</v>
      </c>
    </row>
    <row r="1339" spans="22:25" x14ac:dyDescent="0.2">
      <c r="V1339" s="18">
        <v>1.337</v>
      </c>
      <c r="W1339" s="20">
        <f t="shared" si="74"/>
        <v>0.21031137294552618</v>
      </c>
      <c r="X1339" s="20">
        <f t="shared" si="75"/>
        <v>0.24810929173320176</v>
      </c>
      <c r="Y1339" s="20">
        <f t="shared" si="76"/>
        <v>0.61147326762321885</v>
      </c>
    </row>
    <row r="1340" spans="22:25" x14ac:dyDescent="0.2">
      <c r="V1340" s="18">
        <v>1.3380000000000001</v>
      </c>
      <c r="W1340" s="20">
        <f t="shared" si="74"/>
        <v>0.21055978762845001</v>
      </c>
      <c r="X1340" s="20">
        <f t="shared" si="75"/>
        <v>0.24871972759461561</v>
      </c>
      <c r="Y1340" s="20">
        <f t="shared" si="76"/>
        <v>0.60939413985643487</v>
      </c>
    </row>
    <row r="1341" spans="22:25" x14ac:dyDescent="0.2">
      <c r="V1341" s="18">
        <v>1.339</v>
      </c>
      <c r="W1341" s="20">
        <f t="shared" si="74"/>
        <v>0.21080881170335228</v>
      </c>
      <c r="X1341" s="20">
        <f t="shared" si="75"/>
        <v>0.24932807136522764</v>
      </c>
      <c r="Y1341" s="20">
        <f t="shared" si="76"/>
        <v>0.6072890690175754</v>
      </c>
    </row>
    <row r="1342" spans="22:25" x14ac:dyDescent="0.2">
      <c r="V1342" s="18">
        <v>1.34</v>
      </c>
      <c r="W1342" s="20">
        <f t="shared" si="74"/>
        <v>0.2110584430651532</v>
      </c>
      <c r="X1342" s="20">
        <f t="shared" si="75"/>
        <v>0.24993429705091344</v>
      </c>
      <c r="Y1342" s="20">
        <f t="shared" si="76"/>
        <v>0.60515795295795982</v>
      </c>
    </row>
    <row r="1343" spans="22:25" x14ac:dyDescent="0.2">
      <c r="V1343" s="18">
        <v>1.341</v>
      </c>
      <c r="W1343" s="20">
        <f t="shared" si="74"/>
        <v>0.21130867958272853</v>
      </c>
      <c r="X1343" s="20">
        <f t="shared" si="75"/>
        <v>0.25053837855530375</v>
      </c>
      <c r="Y1343" s="20">
        <f t="shared" si="76"/>
        <v>0.60300068936792339</v>
      </c>
    </row>
    <row r="1344" spans="22:25" x14ac:dyDescent="0.2">
      <c r="V1344" s="18">
        <v>1.3420000000000001</v>
      </c>
      <c r="W1344" s="20">
        <f t="shared" si="74"/>
        <v>0.21155951909880652</v>
      </c>
      <c r="X1344" s="20">
        <f t="shared" si="75"/>
        <v>0.2511402896796458</v>
      </c>
      <c r="Y1344" s="20">
        <f t="shared" si="76"/>
        <v>0.60081717577686344</v>
      </c>
    </row>
    <row r="1345" spans="22:25" x14ac:dyDescent="0.2">
      <c r="V1345" s="18">
        <v>1.343</v>
      </c>
      <c r="W1345" s="20">
        <f t="shared" si="74"/>
        <v>0.21181095942986217</v>
      </c>
      <c r="X1345" s="20">
        <f t="shared" si="75"/>
        <v>0.25174000412264447</v>
      </c>
      <c r="Y1345" s="20">
        <f t="shared" si="76"/>
        <v>0.59860730955318608</v>
      </c>
    </row>
    <row r="1346" spans="22:25" x14ac:dyDescent="0.2">
      <c r="V1346" s="18">
        <v>1.3440000000000001</v>
      </c>
      <c r="W1346" s="20">
        <f t="shared" si="74"/>
        <v>0.21206299836602474</v>
      </c>
      <c r="X1346" s="20">
        <f t="shared" si="75"/>
        <v>0.252337495480281</v>
      </c>
      <c r="Y1346" s="20">
        <f t="shared" si="76"/>
        <v>0.59637098790431331</v>
      </c>
    </row>
    <row r="1347" spans="22:25" x14ac:dyDescent="0.2">
      <c r="V1347" s="18">
        <v>1.345</v>
      </c>
      <c r="W1347" s="20">
        <f t="shared" ref="W1347:W1410" si="77" xml:space="preserve"> -0.223567093536985*V1347^6 + 0.944228289125022*V1347^5 - 1.39425331473467*V1347^4 + 0.919786041369661*V1347^3 - 0.280641903613287*V1347^2 + 0.0398143416441599*V1347 + 0.158710616051081</f>
        <v>0.21231563367096068</v>
      </c>
      <c r="X1347" s="20">
        <f t="shared" ref="X1347:X1410" si="78" xml:space="preserve"> 6*-0.223567093536985*V1347^5 + 5*0.944228289125022*V1347^4 - 4*1.39425331473467*V1347^3 + 3*0.919786041369661*V1347^2 - 2*0.280641903613287*V1347^1 + 0.0398143416441599</f>
        <v>0.25293273724566129</v>
      </c>
      <c r="Y1347" s="20">
        <f t="shared" ref="Y1347:Y1410" si="79" xml:space="preserve"> 5*6*-0.223567093536985*V1347^4 + 4*5*0.944228289125022*V1347^3 - 3*4*1.39425331473467*V1347^2 + 2*3*0.919786041369661*V1347^1 - 2*0.280641903613287</f>
        <v>0.59410810787673629</v>
      </c>
    </row>
    <row r="1348" spans="22:25" x14ac:dyDescent="0.2">
      <c r="V1348" s="18">
        <v>1.3460000000000001</v>
      </c>
      <c r="W1348" s="20">
        <f t="shared" si="77"/>
        <v>0.21256886308178233</v>
      </c>
      <c r="X1348" s="20">
        <f t="shared" si="78"/>
        <v>0.2535257028088706</v>
      </c>
      <c r="Y1348" s="20">
        <f t="shared" si="79"/>
        <v>0.59181856635596208</v>
      </c>
    </row>
    <row r="1349" spans="22:25" x14ac:dyDescent="0.2">
      <c r="V1349" s="18">
        <v>1.347</v>
      </c>
      <c r="W1349" s="20">
        <f t="shared" si="77"/>
        <v>0.21282268430893914</v>
      </c>
      <c r="X1349" s="20">
        <f t="shared" si="78"/>
        <v>0.25411636545678778</v>
      </c>
      <c r="Y1349" s="20">
        <f t="shared" si="79"/>
        <v>0.58950226006651718</v>
      </c>
    </row>
    <row r="1350" spans="22:25" x14ac:dyDescent="0.2">
      <c r="V1350" s="18">
        <v>1.3480000000000001</v>
      </c>
      <c r="W1350" s="20">
        <f t="shared" si="77"/>
        <v>0.21307709503611899</v>
      </c>
      <c r="X1350" s="20">
        <f t="shared" si="78"/>
        <v>0.25470469837293913</v>
      </c>
      <c r="Y1350" s="20">
        <f t="shared" si="79"/>
        <v>0.58715908557197594</v>
      </c>
    </row>
    <row r="1351" spans="22:25" x14ac:dyDescent="0.2">
      <c r="V1351" s="18">
        <v>1.349</v>
      </c>
      <c r="W1351" s="20">
        <f t="shared" si="77"/>
        <v>0.21333209292013605</v>
      </c>
      <c r="X1351" s="20">
        <f t="shared" si="78"/>
        <v>0.25529067463733418</v>
      </c>
      <c r="Y1351" s="20">
        <f t="shared" si="79"/>
        <v>0.5847889392749428</v>
      </c>
    </row>
    <row r="1352" spans="22:25" x14ac:dyDescent="0.2">
      <c r="V1352" s="18">
        <v>1.35</v>
      </c>
      <c r="W1352" s="20">
        <f t="shared" si="77"/>
        <v>0.2135876755908368</v>
      </c>
      <c r="X1352" s="20">
        <f t="shared" si="78"/>
        <v>0.25587426722630408</v>
      </c>
      <c r="Y1352" s="20">
        <f t="shared" si="79"/>
        <v>0.58239171741705587</v>
      </c>
    </row>
    <row r="1353" spans="22:25" x14ac:dyDescent="0.2">
      <c r="V1353" s="18">
        <v>1.351</v>
      </c>
      <c r="W1353" s="20">
        <f t="shared" si="77"/>
        <v>0.21384384065099052</v>
      </c>
      <c r="X1353" s="20">
        <f t="shared" si="78"/>
        <v>0.25645544901233991</v>
      </c>
      <c r="Y1353" s="20">
        <f t="shared" si="79"/>
        <v>0.57996731607896557</v>
      </c>
    </row>
    <row r="1354" spans="22:25" x14ac:dyDescent="0.2">
      <c r="V1354" s="18">
        <v>1.3520000000000001</v>
      </c>
      <c r="W1354" s="20">
        <f t="shared" si="77"/>
        <v>0.21410058567618523</v>
      </c>
      <c r="X1354" s="20">
        <f t="shared" si="78"/>
        <v>0.25703419276393996</v>
      </c>
      <c r="Y1354" s="20">
        <f t="shared" si="79"/>
        <v>0.57751563118035953</v>
      </c>
    </row>
    <row r="1355" spans="22:25" x14ac:dyDescent="0.2">
      <c r="V1355" s="18">
        <v>1.353</v>
      </c>
      <c r="W1355" s="20">
        <f t="shared" si="77"/>
        <v>0.21435790821472886</v>
      </c>
      <c r="X1355" s="20">
        <f t="shared" si="78"/>
        <v>0.25761047114543573</v>
      </c>
      <c r="Y1355" s="20">
        <f t="shared" si="79"/>
        <v>0.57503655847998747</v>
      </c>
    </row>
    <row r="1356" spans="22:25" x14ac:dyDescent="0.2">
      <c r="V1356" s="18">
        <v>1.3540000000000001</v>
      </c>
      <c r="W1356" s="20">
        <f t="shared" si="77"/>
        <v>0.21461580578754091</v>
      </c>
      <c r="X1356" s="20">
        <f t="shared" si="78"/>
        <v>0.25818425671683515</v>
      </c>
      <c r="Y1356" s="20">
        <f t="shared" si="79"/>
        <v>0.5725299935755972</v>
      </c>
    </row>
    <row r="1357" spans="22:25" x14ac:dyDescent="0.2">
      <c r="V1357" s="18">
        <v>1.355</v>
      </c>
      <c r="W1357" s="20">
        <f t="shared" si="77"/>
        <v>0.21487427588804556</v>
      </c>
      <c r="X1357" s="20">
        <f t="shared" si="78"/>
        <v>0.25875552193366697</v>
      </c>
      <c r="Y1357" s="20">
        <f t="shared" si="79"/>
        <v>0.5699958319039844</v>
      </c>
    </row>
    <row r="1358" spans="22:25" x14ac:dyDescent="0.2">
      <c r="V1358" s="18">
        <v>1.3560000000000001</v>
      </c>
      <c r="W1358" s="20">
        <f t="shared" si="77"/>
        <v>0.21513331598207425</v>
      </c>
      <c r="X1358" s="20">
        <f t="shared" si="78"/>
        <v>0.25932423914681507</v>
      </c>
      <c r="Y1358" s="20">
        <f t="shared" si="79"/>
        <v>0.56743396874096419</v>
      </c>
    </row>
    <row r="1359" spans="22:25" x14ac:dyDescent="0.2">
      <c r="V1359" s="18">
        <v>1.357</v>
      </c>
      <c r="W1359" s="20">
        <f t="shared" si="77"/>
        <v>0.21539292350775385</v>
      </c>
      <c r="X1359" s="20">
        <f t="shared" si="78"/>
        <v>0.25989038060235964</v>
      </c>
      <c r="Y1359" s="20">
        <f t="shared" si="79"/>
        <v>0.56484429920138535</v>
      </c>
    </row>
    <row r="1360" spans="22:25" x14ac:dyDescent="0.2">
      <c r="V1360" s="18">
        <v>1.3580000000000001</v>
      </c>
      <c r="W1360" s="20">
        <f t="shared" si="77"/>
        <v>0.21565309587540751</v>
      </c>
      <c r="X1360" s="20">
        <f t="shared" si="78"/>
        <v>0.26045391844141547</v>
      </c>
      <c r="Y1360" s="20">
        <f t="shared" si="79"/>
        <v>0.5622267182391516</v>
      </c>
    </row>
    <row r="1361" spans="22:25" x14ac:dyDescent="0.2">
      <c r="V1361" s="18">
        <v>1.359</v>
      </c>
      <c r="W1361" s="20">
        <f t="shared" si="77"/>
        <v>0.21591383046744467</v>
      </c>
      <c r="X1361" s="20">
        <f t="shared" si="78"/>
        <v>0.26101482469996679</v>
      </c>
      <c r="Y1361" s="20">
        <f t="shared" si="79"/>
        <v>0.55958112064716481</v>
      </c>
    </row>
    <row r="1362" spans="22:25" x14ac:dyDescent="0.2">
      <c r="V1362" s="18">
        <v>1.36</v>
      </c>
      <c r="W1362" s="20">
        <f t="shared" si="77"/>
        <v>0.21617512463825936</v>
      </c>
      <c r="X1362" s="20">
        <f t="shared" si="78"/>
        <v>0.26157307130870916</v>
      </c>
      <c r="Y1362" s="20">
        <f t="shared" si="79"/>
        <v>0.55690740105739245</v>
      </c>
    </row>
    <row r="1363" spans="22:25" x14ac:dyDescent="0.2">
      <c r="V1363" s="18">
        <v>1.361</v>
      </c>
      <c r="W1363" s="20">
        <f t="shared" si="77"/>
        <v>0.21643697571412235</v>
      </c>
      <c r="X1363" s="20">
        <f t="shared" si="78"/>
        <v>0.26212863009290116</v>
      </c>
      <c r="Y1363" s="20">
        <f t="shared" si="79"/>
        <v>0.55420545394079657</v>
      </c>
    </row>
    <row r="1364" spans="22:25" x14ac:dyDescent="0.2">
      <c r="V1364" s="18">
        <v>1.3620000000000001</v>
      </c>
      <c r="W1364" s="20">
        <f t="shared" si="77"/>
        <v>0.21669938099307665</v>
      </c>
      <c r="X1364" s="20">
        <f t="shared" si="78"/>
        <v>0.26268147277218673</v>
      </c>
      <c r="Y1364" s="20">
        <f t="shared" si="79"/>
        <v>0.55147517360739418</v>
      </c>
    </row>
    <row r="1365" spans="22:25" x14ac:dyDescent="0.2">
      <c r="V1365" s="18">
        <v>1.363</v>
      </c>
      <c r="W1365" s="20">
        <f t="shared" si="77"/>
        <v>0.21696233774483714</v>
      </c>
      <c r="X1365" s="20">
        <f t="shared" si="78"/>
        <v>0.26323157096043009</v>
      </c>
      <c r="Y1365" s="20">
        <f t="shared" si="79"/>
        <v>0.54871645420623594</v>
      </c>
    </row>
    <row r="1366" spans="22:25" x14ac:dyDescent="0.2">
      <c r="V1366" s="18">
        <v>1.3640000000000001</v>
      </c>
      <c r="W1366" s="20">
        <f t="shared" si="77"/>
        <v>0.21722584321067218</v>
      </c>
      <c r="X1366" s="20">
        <f t="shared" si="78"/>
        <v>0.26377889616557587</v>
      </c>
      <c r="Y1366" s="20">
        <f t="shared" si="79"/>
        <v>0.54592918972539195</v>
      </c>
    </row>
    <row r="1367" spans="22:25" x14ac:dyDescent="0.2">
      <c r="V1367" s="18">
        <v>1.365</v>
      </c>
      <c r="W1367" s="20">
        <f t="shared" si="77"/>
        <v>0.21748989460330914</v>
      </c>
      <c r="X1367" s="20">
        <f t="shared" si="78"/>
        <v>0.26432341978946322</v>
      </c>
      <c r="Y1367" s="20">
        <f t="shared" si="79"/>
        <v>0.54311327399197662</v>
      </c>
    </row>
    <row r="1368" spans="22:25" x14ac:dyDescent="0.2">
      <c r="V1368" s="18">
        <v>1.3660000000000001</v>
      </c>
      <c r="W1368" s="20">
        <f t="shared" si="77"/>
        <v>0.21775448910682288</v>
      </c>
      <c r="X1368" s="20">
        <f t="shared" si="78"/>
        <v>0.26486511312769928</v>
      </c>
      <c r="Y1368" s="20">
        <f t="shared" si="79"/>
        <v>0.54026860067212024</v>
      </c>
    </row>
    <row r="1369" spans="22:25" x14ac:dyDescent="0.2">
      <c r="V1369" s="18">
        <v>1.367</v>
      </c>
      <c r="W1369" s="20">
        <f t="shared" si="77"/>
        <v>0.21801962387653326</v>
      </c>
      <c r="X1369" s="20">
        <f t="shared" si="78"/>
        <v>0.26540394736945322</v>
      </c>
      <c r="Y1369" s="20">
        <f t="shared" si="79"/>
        <v>0.53739506327099029</v>
      </c>
    </row>
    <row r="1370" spans="22:25" x14ac:dyDescent="0.2">
      <c r="V1370" s="18">
        <v>1.3680000000000001</v>
      </c>
      <c r="W1370" s="20">
        <f t="shared" si="77"/>
        <v>0.2182852960388918</v>
      </c>
      <c r="X1370" s="20">
        <f t="shared" si="78"/>
        <v>0.26593989359732745</v>
      </c>
      <c r="Y1370" s="20">
        <f t="shared" si="79"/>
        <v>0.53449255513280569</v>
      </c>
    </row>
    <row r="1371" spans="22:25" x14ac:dyDescent="0.2">
      <c r="V1371" s="18">
        <v>1.369</v>
      </c>
      <c r="W1371" s="20">
        <f t="shared" si="77"/>
        <v>0.21855150269138238</v>
      </c>
      <c r="X1371" s="20">
        <f t="shared" si="78"/>
        <v>0.26647292278720042</v>
      </c>
      <c r="Y1371" s="20">
        <f t="shared" si="79"/>
        <v>0.53156096944079056</v>
      </c>
    </row>
    <row r="1372" spans="22:25" x14ac:dyDescent="0.2">
      <c r="V1372" s="18">
        <v>1.37</v>
      </c>
      <c r="W1372" s="20">
        <f t="shared" si="77"/>
        <v>0.21881824090241159</v>
      </c>
      <c r="X1372" s="20">
        <f t="shared" si="78"/>
        <v>0.2670030058080321</v>
      </c>
      <c r="Y1372" s="20">
        <f t="shared" si="79"/>
        <v>0.5286001992172169</v>
      </c>
    </row>
    <row r="1373" spans="22:25" x14ac:dyDescent="0.2">
      <c r="V1373" s="18">
        <v>1.371</v>
      </c>
      <c r="W1373" s="20">
        <f t="shared" si="77"/>
        <v>0.21908550771119781</v>
      </c>
      <c r="X1373" s="20">
        <f t="shared" si="78"/>
        <v>0.26753011342174599</v>
      </c>
      <c r="Y1373" s="20">
        <f t="shared" si="79"/>
        <v>0.52561013732337258</v>
      </c>
    </row>
    <row r="1374" spans="22:25" x14ac:dyDescent="0.2">
      <c r="V1374" s="18">
        <v>1.3720000000000001</v>
      </c>
      <c r="W1374" s="20">
        <f t="shared" si="77"/>
        <v>0.21935330012767162</v>
      </c>
      <c r="X1374" s="20">
        <f t="shared" si="78"/>
        <v>0.26805421628302967</v>
      </c>
      <c r="Y1374" s="20">
        <f t="shared" si="79"/>
        <v>0.52259067645958979</v>
      </c>
    </row>
    <row r="1375" spans="22:25" x14ac:dyDescent="0.2">
      <c r="V1375" s="18">
        <v>1.373</v>
      </c>
      <c r="W1375" s="20">
        <f t="shared" si="77"/>
        <v>0.2196216151323635</v>
      </c>
      <c r="X1375" s="20">
        <f t="shared" si="78"/>
        <v>0.26857528493919164</v>
      </c>
      <c r="Y1375" s="20">
        <f t="shared" si="79"/>
        <v>0.51954170916524145</v>
      </c>
    </row>
    <row r="1376" spans="22:25" x14ac:dyDescent="0.2">
      <c r="V1376" s="18">
        <v>1.3740000000000001</v>
      </c>
      <c r="W1376" s="20">
        <f t="shared" si="77"/>
        <v>0.21989044967629587</v>
      </c>
      <c r="X1376" s="20">
        <f t="shared" si="78"/>
        <v>0.26909328983000896</v>
      </c>
      <c r="Y1376" s="20">
        <f t="shared" si="79"/>
        <v>0.51646312781870929</v>
      </c>
    </row>
    <row r="1377" spans="22:25" x14ac:dyDescent="0.2">
      <c r="V1377" s="18">
        <v>1.375</v>
      </c>
      <c r="W1377" s="20">
        <f t="shared" si="77"/>
        <v>0.22015980068087926</v>
      </c>
      <c r="X1377" s="20">
        <f t="shared" si="78"/>
        <v>0.26960820128755242</v>
      </c>
      <c r="Y1377" s="20">
        <f t="shared" si="79"/>
        <v>0.51335482463741844</v>
      </c>
    </row>
    <row r="1378" spans="22:25" x14ac:dyDescent="0.2">
      <c r="V1378" s="18">
        <v>1.3759999999999999</v>
      </c>
      <c r="W1378" s="20">
        <f t="shared" si="77"/>
        <v>0.22042966503780317</v>
      </c>
      <c r="X1378" s="20">
        <f t="shared" si="78"/>
        <v>0.27011998953602762</v>
      </c>
      <c r="Y1378" s="20">
        <f t="shared" si="79"/>
        <v>0.51021669167782591</v>
      </c>
    </row>
    <row r="1379" spans="22:25" x14ac:dyDescent="0.2">
      <c r="V1379" s="18">
        <v>1.377</v>
      </c>
      <c r="W1379" s="20">
        <f t="shared" si="77"/>
        <v>0.22070003960892365</v>
      </c>
      <c r="X1379" s="20">
        <f t="shared" si="78"/>
        <v>0.2706286246916137</v>
      </c>
      <c r="Y1379" s="20">
        <f t="shared" si="79"/>
        <v>0.50704862083541968</v>
      </c>
    </row>
    <row r="1380" spans="22:25" x14ac:dyDescent="0.2">
      <c r="V1380" s="18">
        <v>1.3779999999999999</v>
      </c>
      <c r="W1380" s="20">
        <f t="shared" si="77"/>
        <v>0.22097092122615944</v>
      </c>
      <c r="X1380" s="20">
        <f t="shared" si="78"/>
        <v>0.27113407676231532</v>
      </c>
      <c r="Y1380" s="20">
        <f t="shared" si="79"/>
        <v>0.50385050384472319</v>
      </c>
    </row>
    <row r="1381" spans="22:25" x14ac:dyDescent="0.2">
      <c r="V1381" s="18">
        <v>1.379</v>
      </c>
      <c r="W1381" s="20">
        <f t="shared" si="77"/>
        <v>0.22124230669138623</v>
      </c>
      <c r="X1381" s="20">
        <f t="shared" si="78"/>
        <v>0.27163631564777985</v>
      </c>
      <c r="Y1381" s="20">
        <f t="shared" si="79"/>
        <v>0.50062223227928992</v>
      </c>
    </row>
    <row r="1382" spans="22:25" x14ac:dyDescent="0.2">
      <c r="V1382" s="18">
        <v>1.38</v>
      </c>
      <c r="W1382" s="20">
        <f t="shared" si="77"/>
        <v>0.22151419277632425</v>
      </c>
      <c r="X1382" s="20">
        <f t="shared" si="78"/>
        <v>0.27213531113915529</v>
      </c>
      <c r="Y1382" s="20">
        <f t="shared" si="79"/>
        <v>0.49736369755169285</v>
      </c>
    </row>
    <row r="1383" spans="22:25" x14ac:dyDescent="0.2">
      <c r="V1383" s="18">
        <v>1.381</v>
      </c>
      <c r="W1383" s="20">
        <f t="shared" si="77"/>
        <v>0.22178657622242842</v>
      </c>
      <c r="X1383" s="20">
        <f t="shared" si="78"/>
        <v>0.27263103291891849</v>
      </c>
      <c r="Y1383" s="20">
        <f t="shared" si="79"/>
        <v>0.49407479091354212</v>
      </c>
    </row>
    <row r="1384" spans="22:25" x14ac:dyDescent="0.2">
      <c r="V1384" s="18">
        <v>1.3819999999999999</v>
      </c>
      <c r="W1384" s="20">
        <f t="shared" si="77"/>
        <v>0.22205945374078417</v>
      </c>
      <c r="X1384" s="20">
        <f t="shared" si="78"/>
        <v>0.27312345056071058</v>
      </c>
      <c r="Y1384" s="20">
        <f t="shared" si="79"/>
        <v>0.49075540345550284</v>
      </c>
    </row>
    <row r="1385" spans="22:25" x14ac:dyDescent="0.2">
      <c r="V1385" s="18">
        <v>1.383</v>
      </c>
      <c r="W1385" s="20">
        <f t="shared" si="77"/>
        <v>0.22233282201199325</v>
      </c>
      <c r="X1385" s="20">
        <f t="shared" si="78"/>
        <v>0.27361253352919795</v>
      </c>
      <c r="Y1385" s="20">
        <f t="shared" si="79"/>
        <v>0.48740542610724891</v>
      </c>
    </row>
    <row r="1386" spans="22:25" x14ac:dyDescent="0.2">
      <c r="V1386" s="18">
        <v>1.3839999999999999</v>
      </c>
      <c r="W1386" s="20">
        <f t="shared" si="77"/>
        <v>0.22260667768607151</v>
      </c>
      <c r="X1386" s="20">
        <f t="shared" si="78"/>
        <v>0.27409825117988768</v>
      </c>
      <c r="Y1386" s="20">
        <f t="shared" si="79"/>
        <v>0.48402474963748432</v>
      </c>
    </row>
    <row r="1387" spans="22:25" x14ac:dyDescent="0.2">
      <c r="V1387" s="18">
        <v>1.385</v>
      </c>
      <c r="W1387" s="20">
        <f t="shared" si="77"/>
        <v>0.22288101738233176</v>
      </c>
      <c r="X1387" s="20">
        <f t="shared" si="78"/>
        <v>0.27458057275897202</v>
      </c>
      <c r="Y1387" s="20">
        <f t="shared" si="79"/>
        <v>0.48061326465394671</v>
      </c>
    </row>
    <row r="1388" spans="22:25" x14ac:dyDescent="0.2">
      <c r="V1388" s="18">
        <v>1.3859999999999999</v>
      </c>
      <c r="W1388" s="20">
        <f t="shared" si="77"/>
        <v>0.22315583768927916</v>
      </c>
      <c r="X1388" s="20">
        <f t="shared" si="78"/>
        <v>0.27505946740317394</v>
      </c>
      <c r="Y1388" s="20">
        <f t="shared" si="79"/>
        <v>0.47717086160341093</v>
      </c>
    </row>
    <row r="1389" spans="22:25" x14ac:dyDescent="0.2">
      <c r="V1389" s="18">
        <v>1.387</v>
      </c>
      <c r="W1389" s="20">
        <f t="shared" si="77"/>
        <v>0.22343113516450255</v>
      </c>
      <c r="X1389" s="20">
        <f t="shared" si="78"/>
        <v>0.27553490413958631</v>
      </c>
      <c r="Y1389" s="20">
        <f t="shared" si="79"/>
        <v>0.47369743077169257</v>
      </c>
    </row>
    <row r="1390" spans="22:25" x14ac:dyDescent="0.2">
      <c r="V1390" s="18">
        <v>1.3879999999999999</v>
      </c>
      <c r="W1390" s="20">
        <f t="shared" si="77"/>
        <v>0.22370690633456253</v>
      </c>
      <c r="X1390" s="20">
        <f t="shared" si="78"/>
        <v>0.27600685188550417</v>
      </c>
      <c r="Y1390" s="20">
        <f t="shared" si="79"/>
        <v>0.47019286228361246</v>
      </c>
    </row>
    <row r="1391" spans="22:25" x14ac:dyDescent="0.2">
      <c r="V1391" s="18">
        <v>1.389</v>
      </c>
      <c r="W1391" s="20">
        <f t="shared" si="77"/>
        <v>0.22398314769487915</v>
      </c>
      <c r="X1391" s="20">
        <f t="shared" si="78"/>
        <v>0.27647527944825639</v>
      </c>
      <c r="Y1391" s="20">
        <f t="shared" si="79"/>
        <v>0.46665704610305347</v>
      </c>
    </row>
    <row r="1392" spans="22:25" x14ac:dyDescent="0.2">
      <c r="V1392" s="18">
        <v>1.39</v>
      </c>
      <c r="W1392" s="20">
        <f t="shared" si="77"/>
        <v>0.22425985570963114</v>
      </c>
      <c r="X1392" s="20">
        <f t="shared" si="78"/>
        <v>0.27694015552508205</v>
      </c>
      <c r="Y1392" s="20">
        <f t="shared" si="79"/>
        <v>0.46308987203291796</v>
      </c>
    </row>
    <row r="1393" spans="22:25" x14ac:dyDescent="0.2">
      <c r="V1393" s="18">
        <v>1.391</v>
      </c>
      <c r="W1393" s="20">
        <f t="shared" si="77"/>
        <v>0.22453702681163229</v>
      </c>
      <c r="X1393" s="20">
        <f t="shared" si="78"/>
        <v>0.27740144870290878</v>
      </c>
      <c r="Y1393" s="20">
        <f t="shared" si="79"/>
        <v>0.45949122971510992</v>
      </c>
    </row>
    <row r="1394" spans="22:25" x14ac:dyDescent="0.2">
      <c r="V1394" s="18">
        <v>1.3919999999999999</v>
      </c>
      <c r="W1394" s="20">
        <f t="shared" si="77"/>
        <v>0.22481465740223147</v>
      </c>
      <c r="X1394" s="20">
        <f t="shared" si="78"/>
        <v>0.27785912745825608</v>
      </c>
      <c r="Y1394" s="20">
        <f t="shared" si="79"/>
        <v>0.45586100863060963</v>
      </c>
    </row>
    <row r="1395" spans="22:25" x14ac:dyDescent="0.2">
      <c r="V1395" s="18">
        <v>1.393</v>
      </c>
      <c r="W1395" s="20">
        <f t="shared" si="77"/>
        <v>0.22509274385119749</v>
      </c>
      <c r="X1395" s="20">
        <f t="shared" si="78"/>
        <v>0.27831316015702751</v>
      </c>
      <c r="Y1395" s="20">
        <f t="shared" si="79"/>
        <v>0.45219909809942749</v>
      </c>
    </row>
    <row r="1396" spans="22:25" x14ac:dyDescent="0.2">
      <c r="V1396" s="18">
        <v>1.3939999999999999</v>
      </c>
      <c r="W1396" s="20">
        <f t="shared" si="77"/>
        <v>0.22537128249661245</v>
      </c>
      <c r="X1396" s="20">
        <f t="shared" si="78"/>
        <v>0.27876351505435965</v>
      </c>
      <c r="Y1396" s="20">
        <f t="shared" si="79"/>
        <v>0.44850538728058265</v>
      </c>
    </row>
    <row r="1397" spans="22:25" x14ac:dyDescent="0.2">
      <c r="V1397" s="18">
        <v>1.395</v>
      </c>
      <c r="W1397" s="20">
        <f t="shared" si="77"/>
        <v>0.22565026964475493</v>
      </c>
      <c r="X1397" s="20">
        <f t="shared" si="78"/>
        <v>0.27921016029448892</v>
      </c>
      <c r="Y1397" s="20">
        <f t="shared" si="79"/>
        <v>0.4447797651721066</v>
      </c>
    </row>
    <row r="1398" spans="22:25" x14ac:dyDescent="0.2">
      <c r="V1398" s="18">
        <v>1.3959999999999999</v>
      </c>
      <c r="W1398" s="20">
        <f t="shared" si="77"/>
        <v>0.22592970156999567</v>
      </c>
      <c r="X1398" s="20">
        <f t="shared" si="78"/>
        <v>0.27965306391055528</v>
      </c>
      <c r="Y1398" s="20">
        <f t="shared" si="79"/>
        <v>0.44102212061112844</v>
      </c>
    </row>
    <row r="1399" spans="22:25" x14ac:dyDescent="0.2">
      <c r="V1399" s="18">
        <v>1.397</v>
      </c>
      <c r="W1399" s="20">
        <f t="shared" si="77"/>
        <v>0.22620957451467727</v>
      </c>
      <c r="X1399" s="20">
        <f t="shared" si="78"/>
        <v>0.28009219382445744</v>
      </c>
      <c r="Y1399" s="20">
        <f t="shared" si="79"/>
        <v>0.43723234227373986</v>
      </c>
    </row>
    <row r="1400" spans="22:25" x14ac:dyDescent="0.2">
      <c r="V1400" s="18">
        <v>1.3979999999999999</v>
      </c>
      <c r="W1400" s="20">
        <f t="shared" si="77"/>
        <v>0.22648988468901404</v>
      </c>
      <c r="X1400" s="20">
        <f t="shared" si="78"/>
        <v>0.28052751784668778</v>
      </c>
      <c r="Y1400" s="20">
        <f t="shared" si="79"/>
        <v>0.43341031867511237</v>
      </c>
    </row>
    <row r="1401" spans="22:25" x14ac:dyDescent="0.2">
      <c r="V1401" s="18">
        <v>1.399</v>
      </c>
      <c r="W1401" s="20">
        <f t="shared" si="77"/>
        <v>0.22677062827097402</v>
      </c>
      <c r="X1401" s="20">
        <f t="shared" si="78"/>
        <v>0.28095900367617205</v>
      </c>
      <c r="Y1401" s="20">
        <f t="shared" si="79"/>
        <v>0.42955593816942628</v>
      </c>
    </row>
    <row r="1402" spans="22:25" x14ac:dyDescent="0.2">
      <c r="V1402" s="18">
        <v>1.4</v>
      </c>
      <c r="W1402" s="20">
        <f t="shared" si="77"/>
        <v>0.22705180140616632</v>
      </c>
      <c r="X1402" s="20">
        <f t="shared" si="78"/>
        <v>0.2813866189001199</v>
      </c>
      <c r="Y1402" s="20">
        <f t="shared" si="79"/>
        <v>0.42566908894989197</v>
      </c>
    </row>
    <row r="1403" spans="22:25" x14ac:dyDescent="0.2">
      <c r="V1403" s="18">
        <v>1.401</v>
      </c>
      <c r="W1403" s="20">
        <f t="shared" si="77"/>
        <v>0.22733340020773288</v>
      </c>
      <c r="X1403" s="20">
        <f t="shared" si="78"/>
        <v>0.28181033099384772</v>
      </c>
      <c r="Y1403" s="20">
        <f t="shared" si="79"/>
        <v>0.42174965904876771</v>
      </c>
    </row>
    <row r="1404" spans="22:25" x14ac:dyDescent="0.2">
      <c r="V1404" s="18">
        <v>1.4019999999999999</v>
      </c>
      <c r="W1404" s="20">
        <f t="shared" si="77"/>
        <v>0.22761542075623148</v>
      </c>
      <c r="X1404" s="20">
        <f t="shared" si="78"/>
        <v>0.28223010732061443</v>
      </c>
      <c r="Y1404" s="20">
        <f t="shared" si="79"/>
        <v>0.41779753633733119</v>
      </c>
    </row>
    <row r="1405" spans="22:25" x14ac:dyDescent="0.2">
      <c r="V1405" s="18">
        <v>1.403</v>
      </c>
      <c r="W1405" s="20">
        <f t="shared" si="77"/>
        <v>0.22789785909953539</v>
      </c>
      <c r="X1405" s="20">
        <f t="shared" si="78"/>
        <v>0.28264591513148735</v>
      </c>
      <c r="Y1405" s="20">
        <f t="shared" si="79"/>
        <v>0.41381260852588664</v>
      </c>
    </row>
    <row r="1406" spans="22:25" x14ac:dyDescent="0.2">
      <c r="V1406" s="18">
        <v>1.4039999999999999</v>
      </c>
      <c r="W1406" s="20">
        <f t="shared" si="77"/>
        <v>0.22818071125270434</v>
      </c>
      <c r="X1406" s="20">
        <f t="shared" si="78"/>
        <v>0.28305772156515568</v>
      </c>
      <c r="Y1406" s="20">
        <f t="shared" si="79"/>
        <v>0.40979476316377905</v>
      </c>
    </row>
    <row r="1407" spans="22:25" x14ac:dyDescent="0.2">
      <c r="V1407" s="18">
        <v>1.405</v>
      </c>
      <c r="W1407" s="20">
        <f t="shared" si="77"/>
        <v>0.22846397319788353</v>
      </c>
      <c r="X1407" s="20">
        <f t="shared" si="78"/>
        <v>0.2834654936477618</v>
      </c>
      <c r="Y1407" s="20">
        <f t="shared" si="79"/>
        <v>0.40574388763939773</v>
      </c>
    </row>
    <row r="1408" spans="22:25" x14ac:dyDescent="0.2">
      <c r="V1408" s="18">
        <v>1.4059999999999999</v>
      </c>
      <c r="W1408" s="20">
        <f t="shared" si="77"/>
        <v>0.2287476408841877</v>
      </c>
      <c r="X1408" s="20">
        <f t="shared" si="78"/>
        <v>0.28386919829279028</v>
      </c>
      <c r="Y1408" s="20">
        <f t="shared" si="79"/>
        <v>0.40165986918014784</v>
      </c>
    </row>
    <row r="1409" spans="22:25" x14ac:dyDescent="0.2">
      <c r="V1409" s="18">
        <v>1.407</v>
      </c>
      <c r="W1409" s="20">
        <f t="shared" si="77"/>
        <v>0.22903171022759239</v>
      </c>
      <c r="X1409" s="20">
        <f t="shared" si="78"/>
        <v>0.28426880230083568</v>
      </c>
      <c r="Y1409" s="20">
        <f t="shared" si="79"/>
        <v>0.39754259485244692</v>
      </c>
    </row>
    <row r="1410" spans="22:25" x14ac:dyDescent="0.2">
      <c r="V1410" s="18">
        <v>1.4079999999999999</v>
      </c>
      <c r="W1410" s="20">
        <f t="shared" si="77"/>
        <v>0.22931617711080865</v>
      </c>
      <c r="X1410" s="20">
        <f t="shared" si="78"/>
        <v>0.28466427235950725</v>
      </c>
      <c r="Y1410" s="20">
        <f t="shared" si="79"/>
        <v>0.39339195156178519</v>
      </c>
    </row>
    <row r="1411" spans="22:25" x14ac:dyDescent="0.2">
      <c r="V1411" s="18">
        <v>1.409</v>
      </c>
      <c r="W1411" s="20">
        <f t="shared" ref="W1411:W1474" si="80" xml:space="preserve"> -0.223567093536985*V1411^6 + 0.944228289125022*V1411^5 - 1.39425331473467*V1411^4 + 0.919786041369661*V1411^3 - 0.280641903613287*V1411^2 + 0.0398143416441599*V1411 + 0.158710616051081</f>
        <v>0.22960103738318721</v>
      </c>
      <c r="X1411" s="20">
        <f t="shared" ref="X1411:X1474" si="81" xml:space="preserve"> 6*-0.223567093536985*V1411^5 + 5*0.944228289125022*V1411^4 - 4*1.39425331473467*V1411^3 + 3*0.919786041369661*V1411^2 - 2*0.280641903613287*V1411^1 + 0.0398143416441599</f>
        <v>0.28505557504322249</v>
      </c>
      <c r="Y1411" s="20">
        <f t="shared" ref="Y1411:Y1474" si="82" xml:space="preserve"> 5*6*-0.223567093536985*V1411^4 + 4*5*0.944228289125022*V1411^3 - 3*4*1.39425331473467*V1411^2 + 2*3*0.919786041369661*V1411^1 - 2*0.280641903613287</f>
        <v>0.38920782605264748</v>
      </c>
    </row>
    <row r="1412" spans="22:25" x14ac:dyDescent="0.2">
      <c r="V1412" s="18">
        <v>1.41</v>
      </c>
      <c r="W1412" s="20">
        <f t="shared" si="80"/>
        <v>0.22988628686059162</v>
      </c>
      <c r="X1412" s="20">
        <f t="shared" si="81"/>
        <v>0.2854426768130704</v>
      </c>
      <c r="Y1412" s="20">
        <f t="shared" si="82"/>
        <v>0.38499010490858065</v>
      </c>
    </row>
    <row r="1413" spans="22:25" x14ac:dyDescent="0.2">
      <c r="V1413" s="18">
        <v>1.411</v>
      </c>
      <c r="W1413" s="20">
        <f t="shared" si="80"/>
        <v>0.23017192132529152</v>
      </c>
      <c r="X1413" s="20">
        <f t="shared" si="81"/>
        <v>0.28582554401663834</v>
      </c>
      <c r="Y1413" s="20">
        <f t="shared" si="82"/>
        <v>0.3807386745521617</v>
      </c>
    </row>
    <row r="1414" spans="22:25" x14ac:dyDescent="0.2">
      <c r="V1414" s="18">
        <v>1.4119999999999999</v>
      </c>
      <c r="W1414" s="20">
        <f t="shared" si="80"/>
        <v>0.23045793652584881</v>
      </c>
      <c r="X1414" s="20">
        <f t="shared" si="81"/>
        <v>0.28620414288785928</v>
      </c>
      <c r="Y1414" s="20">
        <f t="shared" si="82"/>
        <v>0.37645342124496928</v>
      </c>
    </row>
    <row r="1415" spans="22:25" x14ac:dyDescent="0.2">
      <c r="V1415" s="18">
        <v>1.413</v>
      </c>
      <c r="W1415" s="20">
        <f t="shared" si="80"/>
        <v>0.23074432817699814</v>
      </c>
      <c r="X1415" s="20">
        <f t="shared" si="81"/>
        <v>0.28657843954684475</v>
      </c>
      <c r="Y1415" s="20">
        <f t="shared" si="82"/>
        <v>0.37213423108764054</v>
      </c>
    </row>
    <row r="1416" spans="22:25" x14ac:dyDescent="0.2">
      <c r="V1416" s="18">
        <v>1.4139999999999999</v>
      </c>
      <c r="W1416" s="20">
        <f t="shared" si="80"/>
        <v>0.23103109195954205</v>
      </c>
      <c r="X1416" s="20">
        <f t="shared" si="81"/>
        <v>0.28694839999973393</v>
      </c>
      <c r="Y1416" s="20">
        <f t="shared" si="82"/>
        <v>0.36778099001982145</v>
      </c>
    </row>
    <row r="1417" spans="22:25" x14ac:dyDescent="0.2">
      <c r="V1417" s="18">
        <v>1.415</v>
      </c>
      <c r="W1417" s="20">
        <f t="shared" si="80"/>
        <v>0.23131822352022713</v>
      </c>
      <c r="X1417" s="20">
        <f t="shared" si="81"/>
        <v>0.28731399013851239</v>
      </c>
      <c r="Y1417" s="20">
        <f t="shared" si="82"/>
        <v>0.36339358382022713</v>
      </c>
    </row>
    <row r="1418" spans="22:25" x14ac:dyDescent="0.2">
      <c r="V1418" s="18">
        <v>1.4159999999999999</v>
      </c>
      <c r="W1418" s="20">
        <f t="shared" si="80"/>
        <v>0.23160571847164141</v>
      </c>
      <c r="X1418" s="20">
        <f t="shared" si="81"/>
        <v>0.28767517574086748</v>
      </c>
      <c r="Y1418" s="20">
        <f t="shared" si="82"/>
        <v>0.35897189810656371</v>
      </c>
    </row>
    <row r="1419" spans="22:25" x14ac:dyDescent="0.2">
      <c r="V1419" s="18">
        <v>1.417</v>
      </c>
      <c r="W1419" s="20">
        <f t="shared" si="80"/>
        <v>0.23189357239208661</v>
      </c>
      <c r="X1419" s="20">
        <f t="shared" si="81"/>
        <v>0.28803192247003689</v>
      </c>
      <c r="Y1419" s="20">
        <f t="shared" si="82"/>
        <v>0.35451581833558876</v>
      </c>
    </row>
    <row r="1420" spans="22:25" x14ac:dyDescent="0.2">
      <c r="V1420" s="18">
        <v>1.4179999999999999</v>
      </c>
      <c r="W1420" s="20">
        <f t="shared" si="80"/>
        <v>0.23218178082547336</v>
      </c>
      <c r="X1420" s="20">
        <f t="shared" si="81"/>
        <v>0.28838419587462544</v>
      </c>
      <c r="Y1420" s="20">
        <f t="shared" si="82"/>
        <v>0.35002522980309703</v>
      </c>
    </row>
    <row r="1421" spans="22:25" x14ac:dyDescent="0.2">
      <c r="V1421" s="18">
        <v>1.419</v>
      </c>
      <c r="W1421" s="20">
        <f t="shared" si="80"/>
        <v>0.23247033928120545</v>
      </c>
      <c r="X1421" s="20">
        <f t="shared" si="81"/>
        <v>0.28873196138843765</v>
      </c>
      <c r="Y1421" s="20">
        <f t="shared" si="82"/>
        <v>0.34550001764391691</v>
      </c>
    </row>
    <row r="1422" spans="22:25" x14ac:dyDescent="0.2">
      <c r="V1422" s="18">
        <v>1.42</v>
      </c>
      <c r="W1422" s="20">
        <f t="shared" si="80"/>
        <v>0.23275924323406166</v>
      </c>
      <c r="X1422" s="20">
        <f t="shared" si="81"/>
        <v>0.28907518433035978</v>
      </c>
      <c r="Y1422" s="20">
        <f t="shared" si="82"/>
        <v>0.34094006683187139</v>
      </c>
    </row>
    <row r="1423" spans="22:25" x14ac:dyDescent="0.2">
      <c r="V1423" s="18">
        <v>1.421</v>
      </c>
      <c r="W1423" s="20">
        <f t="shared" si="80"/>
        <v>0.23304848812407927</v>
      </c>
      <c r="X1423" s="20">
        <f t="shared" si="81"/>
        <v>0.28941382990415637</v>
      </c>
      <c r="Y1423" s="20">
        <f t="shared" si="82"/>
        <v>0.33634526217986327</v>
      </c>
    </row>
    <row r="1424" spans="22:25" x14ac:dyDescent="0.2">
      <c r="V1424" s="18">
        <v>1.4219999999999999</v>
      </c>
      <c r="W1424" s="20">
        <f t="shared" si="80"/>
        <v>0.23333806935644352</v>
      </c>
      <c r="X1424" s="20">
        <f t="shared" si="81"/>
        <v>0.28974786319833173</v>
      </c>
      <c r="Y1424" s="20">
        <f t="shared" si="82"/>
        <v>0.33171548833979703</v>
      </c>
    </row>
    <row r="1425" spans="22:25" x14ac:dyDescent="0.2">
      <c r="V1425" s="18">
        <v>1.423</v>
      </c>
      <c r="W1425" s="20">
        <f t="shared" si="80"/>
        <v>0.23362798230137499</v>
      </c>
      <c r="X1425" s="20">
        <f t="shared" si="81"/>
        <v>0.29007724918593986</v>
      </c>
      <c r="Y1425" s="20">
        <f t="shared" si="82"/>
        <v>0.32705062980262856</v>
      </c>
    </row>
    <row r="1426" spans="22:25" x14ac:dyDescent="0.2">
      <c r="V1426" s="18">
        <v>1.4239999999999999</v>
      </c>
      <c r="W1426" s="20">
        <f t="shared" si="80"/>
        <v>0.23391822229400122</v>
      </c>
      <c r="X1426" s="20">
        <f t="shared" si="81"/>
        <v>0.29040195272447705</v>
      </c>
      <c r="Y1426" s="20">
        <f t="shared" si="82"/>
        <v>0.32235057089833319</v>
      </c>
    </row>
    <row r="1427" spans="22:25" x14ac:dyDescent="0.2">
      <c r="V1427" s="18">
        <v>1.425</v>
      </c>
      <c r="W1427" s="20">
        <f t="shared" si="80"/>
        <v>0.23420878463425598</v>
      </c>
      <c r="X1427" s="20">
        <f t="shared" si="81"/>
        <v>0.29072193855566925</v>
      </c>
      <c r="Y1427" s="20">
        <f t="shared" si="82"/>
        <v>0.31761519579590924</v>
      </c>
    </row>
    <row r="1428" spans="22:25" x14ac:dyDescent="0.2">
      <c r="V1428" s="18">
        <v>1.4259999999999999</v>
      </c>
      <c r="W1428" s="20">
        <f t="shared" si="80"/>
        <v>0.23449966458675434</v>
      </c>
      <c r="X1428" s="20">
        <f t="shared" si="81"/>
        <v>0.29103717130533763</v>
      </c>
      <c r="Y1428" s="20">
        <f t="shared" si="82"/>
        <v>0.31284438850341711</v>
      </c>
    </row>
    <row r="1429" spans="22:25" x14ac:dyDescent="0.2">
      <c r="V1429" s="18">
        <v>1.427</v>
      </c>
      <c r="W1429" s="20">
        <f t="shared" si="80"/>
        <v>0.2347908573806779</v>
      </c>
      <c r="X1429" s="20">
        <f t="shared" si="81"/>
        <v>0.29134761548323124</v>
      </c>
      <c r="Y1429" s="20">
        <f t="shared" si="82"/>
        <v>0.30803803286790465</v>
      </c>
    </row>
    <row r="1430" spans="22:25" x14ac:dyDescent="0.2">
      <c r="V1430" s="18">
        <v>1.4279999999999999</v>
      </c>
      <c r="W1430" s="20">
        <f t="shared" si="80"/>
        <v>0.23508235820966203</v>
      </c>
      <c r="X1430" s="20">
        <f t="shared" si="81"/>
        <v>0.29165323548286187</v>
      </c>
      <c r="Y1430" s="20">
        <f t="shared" si="82"/>
        <v>0.30319601257549955</v>
      </c>
    </row>
    <row r="1431" spans="22:25" x14ac:dyDescent="0.2">
      <c r="V1431" s="18">
        <v>1.429</v>
      </c>
      <c r="W1431" s="20">
        <f t="shared" si="80"/>
        <v>0.23537416223167851</v>
      </c>
      <c r="X1431" s="20">
        <f t="shared" si="81"/>
        <v>0.29195399558133978</v>
      </c>
      <c r="Y1431" s="20">
        <f t="shared" si="82"/>
        <v>0.29831821115131696</v>
      </c>
    </row>
    <row r="1432" spans="22:25" x14ac:dyDescent="0.2">
      <c r="V1432" s="18">
        <v>1.43</v>
      </c>
      <c r="W1432" s="20">
        <f t="shared" si="80"/>
        <v>0.23566626456891251</v>
      </c>
      <c r="X1432" s="20">
        <f t="shared" si="81"/>
        <v>0.2922498599392413</v>
      </c>
      <c r="Y1432" s="20">
        <f t="shared" si="82"/>
        <v>0.29340451195953765</v>
      </c>
    </row>
    <row r="1433" spans="22:25" x14ac:dyDescent="0.2">
      <c r="V1433" s="18">
        <v>1.431</v>
      </c>
      <c r="W1433" s="20">
        <f t="shared" si="80"/>
        <v>0.23595866030765938</v>
      </c>
      <c r="X1433" s="20">
        <f t="shared" si="81"/>
        <v>0.29254079260040727</v>
      </c>
      <c r="Y1433" s="20">
        <f t="shared" si="82"/>
        <v>0.28845479820336184</v>
      </c>
    </row>
    <row r="1434" spans="22:25" x14ac:dyDescent="0.2">
      <c r="V1434" s="18">
        <v>1.4319999999999999</v>
      </c>
      <c r="W1434" s="20">
        <f t="shared" si="80"/>
        <v>0.23625134449819118</v>
      </c>
      <c r="X1434" s="20">
        <f t="shared" si="81"/>
        <v>0.29282675749180981</v>
      </c>
      <c r="Y1434" s="20">
        <f t="shared" si="82"/>
        <v>0.28346895292500562</v>
      </c>
    </row>
    <row r="1435" spans="22:25" x14ac:dyDescent="0.2">
      <c r="V1435" s="18">
        <v>1.4330000000000001</v>
      </c>
      <c r="W1435" s="20">
        <f t="shared" si="80"/>
        <v>0.23654431215465602</v>
      </c>
      <c r="X1435" s="20">
        <f t="shared" si="81"/>
        <v>0.29310771842337996</v>
      </c>
      <c r="Y1435" s="20">
        <f t="shared" si="82"/>
        <v>0.27844685900574362</v>
      </c>
    </row>
    <row r="1436" spans="22:25" x14ac:dyDescent="0.2">
      <c r="V1436" s="18">
        <v>1.4339999999999999</v>
      </c>
      <c r="W1436" s="20">
        <f t="shared" si="80"/>
        <v>0.23683755825495117</v>
      </c>
      <c r="X1436" s="20">
        <f t="shared" si="81"/>
        <v>0.29338363908784887</v>
      </c>
      <c r="Y1436" s="20">
        <f t="shared" si="82"/>
        <v>0.27338839916589119</v>
      </c>
    </row>
    <row r="1437" spans="22:25" x14ac:dyDescent="0.2">
      <c r="V1437" s="18">
        <v>1.4350000000000001</v>
      </c>
      <c r="W1437" s="20">
        <f t="shared" si="80"/>
        <v>0.23713107774060313</v>
      </c>
      <c r="X1437" s="20">
        <f t="shared" si="81"/>
        <v>0.29365448306059544</v>
      </c>
      <c r="Y1437" s="20">
        <f t="shared" si="82"/>
        <v>0.26829345596472987</v>
      </c>
    </row>
    <row r="1438" spans="22:25" x14ac:dyDescent="0.2">
      <c r="V1438" s="18">
        <v>1.4359999999999999</v>
      </c>
      <c r="W1438" s="20">
        <f t="shared" si="80"/>
        <v>0.23742486551666142</v>
      </c>
      <c r="X1438" s="20">
        <f t="shared" si="81"/>
        <v>0.29392021379946492</v>
      </c>
      <c r="Y1438" s="20">
        <f t="shared" si="82"/>
        <v>0.2631619118006423</v>
      </c>
    </row>
    <row r="1439" spans="22:25" x14ac:dyDescent="0.2">
      <c r="V1439" s="18">
        <v>1.4370000000000001</v>
      </c>
      <c r="W1439" s="20">
        <f t="shared" si="80"/>
        <v>0.23771891645157231</v>
      </c>
      <c r="X1439" s="20">
        <f t="shared" si="81"/>
        <v>0.29418079464461483</v>
      </c>
      <c r="Y1439" s="20">
        <f t="shared" si="82"/>
        <v>0.25799364891104126</v>
      </c>
    </row>
    <row r="1440" spans="22:25" x14ac:dyDescent="0.2">
      <c r="V1440" s="18">
        <v>1.4379999999999999</v>
      </c>
      <c r="W1440" s="20">
        <f t="shared" si="80"/>
        <v>0.23801322537706088</v>
      </c>
      <c r="X1440" s="20">
        <f t="shared" si="81"/>
        <v>0.29443618881839956</v>
      </c>
      <c r="Y1440" s="20">
        <f t="shared" si="82"/>
        <v>0.25278854937229145</v>
      </c>
    </row>
    <row r="1441" spans="22:25" x14ac:dyDescent="0.2">
      <c r="V1441" s="18">
        <v>1.4390000000000001</v>
      </c>
      <c r="W1441" s="20">
        <f t="shared" si="80"/>
        <v>0.23830778708802114</v>
      </c>
      <c r="X1441" s="20">
        <f t="shared" si="81"/>
        <v>0.29468635942512172</v>
      </c>
      <c r="Y1441" s="20">
        <f t="shared" si="82"/>
        <v>0.24754649509988713</v>
      </c>
    </row>
    <row r="1442" spans="22:25" x14ac:dyDescent="0.2">
      <c r="V1442" s="18">
        <v>1.44</v>
      </c>
      <c r="W1442" s="20">
        <f t="shared" si="80"/>
        <v>0.23860259634238667</v>
      </c>
      <c r="X1442" s="20">
        <f t="shared" si="81"/>
        <v>0.29493126945094333</v>
      </c>
      <c r="Y1442" s="20">
        <f t="shared" si="82"/>
        <v>0.2422673678483136</v>
      </c>
    </row>
    <row r="1443" spans="22:25" x14ac:dyDescent="0.2">
      <c r="V1443" s="18">
        <v>1.4410000000000001</v>
      </c>
      <c r="W1443" s="20">
        <f t="shared" si="80"/>
        <v>0.23889764786102047</v>
      </c>
      <c r="X1443" s="20">
        <f t="shared" si="81"/>
        <v>0.29517088176369216</v>
      </c>
      <c r="Y1443" s="20">
        <f t="shared" si="82"/>
        <v>0.23695104921106136</v>
      </c>
    </row>
    <row r="1444" spans="22:25" x14ac:dyDescent="0.2">
      <c r="V1444" s="18">
        <v>1.4419999999999999</v>
      </c>
      <c r="W1444" s="20">
        <f t="shared" si="80"/>
        <v>0.23919293632759361</v>
      </c>
      <c r="X1444" s="20">
        <f t="shared" si="81"/>
        <v>0.2954051591127162</v>
      </c>
      <c r="Y1444" s="20">
        <f t="shared" si="82"/>
        <v>0.23159742062070432</v>
      </c>
    </row>
    <row r="1445" spans="22:25" x14ac:dyDescent="0.2">
      <c r="V1445" s="18">
        <v>1.4430000000000001</v>
      </c>
      <c r="W1445" s="20">
        <f t="shared" si="80"/>
        <v>0.23948845638847027</v>
      </c>
      <c r="X1445" s="20">
        <f t="shared" si="81"/>
        <v>0.29563406412870469</v>
      </c>
      <c r="Y1445" s="20">
        <f t="shared" si="82"/>
        <v>0.22620636334880739</v>
      </c>
    </row>
    <row r="1446" spans="22:25" x14ac:dyDescent="0.2">
      <c r="V1446" s="18">
        <v>1.444</v>
      </c>
      <c r="W1446" s="20">
        <f t="shared" si="80"/>
        <v>0.23978420265257963</v>
      </c>
      <c r="X1446" s="20">
        <f t="shared" si="81"/>
        <v>0.29585755932355556</v>
      </c>
      <c r="Y1446" s="20">
        <f t="shared" si="82"/>
        <v>0.2207777585059798</v>
      </c>
    </row>
    <row r="1447" spans="22:25" x14ac:dyDescent="0.2">
      <c r="V1447" s="18">
        <v>1.4450000000000001</v>
      </c>
      <c r="W1447" s="20">
        <f t="shared" si="80"/>
        <v>0.24008016969130824</v>
      </c>
      <c r="X1447" s="20">
        <f t="shared" si="81"/>
        <v>0.2960756070901796</v>
      </c>
      <c r="Y1447" s="20">
        <f t="shared" si="82"/>
        <v>0.21531148704187508</v>
      </c>
    </row>
    <row r="1448" spans="22:25" x14ac:dyDescent="0.2">
      <c r="V1448" s="18">
        <v>1.446</v>
      </c>
      <c r="W1448" s="20">
        <f t="shared" si="80"/>
        <v>0.24037635203837579</v>
      </c>
      <c r="X1448" s="20">
        <f t="shared" si="81"/>
        <v>0.29628816970236466</v>
      </c>
      <c r="Y1448" s="20">
        <f t="shared" si="82"/>
        <v>0.2098074297451662</v>
      </c>
    </row>
    <row r="1449" spans="22:25" x14ac:dyDescent="0.2">
      <c r="V1449" s="18">
        <v>1.4470000000000001</v>
      </c>
      <c r="W1449" s="20">
        <f t="shared" si="80"/>
        <v>0.24067274418971396</v>
      </c>
      <c r="X1449" s="20">
        <f t="shared" si="81"/>
        <v>0.29649520931460599</v>
      </c>
      <c r="Y1449" s="20">
        <f t="shared" si="82"/>
        <v>0.204265467243542</v>
      </c>
    </row>
    <row r="1450" spans="22:25" x14ac:dyDescent="0.2">
      <c r="V1450" s="18">
        <v>1.448</v>
      </c>
      <c r="W1450" s="20">
        <f t="shared" si="80"/>
        <v>0.24096934060335146</v>
      </c>
      <c r="X1450" s="20">
        <f t="shared" si="81"/>
        <v>0.29669668796194199</v>
      </c>
      <c r="Y1450" s="20">
        <f t="shared" si="82"/>
        <v>0.19868548000377828</v>
      </c>
    </row>
    <row r="1451" spans="22:25" x14ac:dyDescent="0.2">
      <c r="V1451" s="18">
        <v>1.4490000000000001</v>
      </c>
      <c r="W1451" s="20">
        <f t="shared" si="80"/>
        <v>0.24126613569928854</v>
      </c>
      <c r="X1451" s="20">
        <f t="shared" si="81"/>
        <v>0.29689256755980581</v>
      </c>
      <c r="Y1451" s="20">
        <f t="shared" si="82"/>
        <v>0.19306734833159922</v>
      </c>
    </row>
    <row r="1452" spans="22:25" x14ac:dyDescent="0.2">
      <c r="V1452" s="18">
        <v>1.45</v>
      </c>
      <c r="W1452" s="20">
        <f t="shared" si="80"/>
        <v>0.24156312385938705</v>
      </c>
      <c r="X1452" s="20">
        <f t="shared" si="81"/>
        <v>0.29708280990384689</v>
      </c>
      <c r="Y1452" s="20">
        <f t="shared" si="82"/>
        <v>0.18741095237184435</v>
      </c>
    </row>
    <row r="1453" spans="22:25" x14ac:dyDescent="0.2">
      <c r="V1453" s="18">
        <v>1.4510000000000001</v>
      </c>
      <c r="W1453" s="20">
        <f t="shared" si="80"/>
        <v>0.24186029942723944</v>
      </c>
      <c r="X1453" s="20">
        <f t="shared" si="81"/>
        <v>0.29726737666978081</v>
      </c>
      <c r="Y1453" s="20">
        <f t="shared" si="82"/>
        <v>0.18171617210833713</v>
      </c>
    </row>
    <row r="1454" spans="22:25" x14ac:dyDescent="0.2">
      <c r="V1454" s="18">
        <v>1.452</v>
      </c>
      <c r="W1454" s="20">
        <f t="shared" si="80"/>
        <v>0.24215765670805328</v>
      </c>
      <c r="X1454" s="20">
        <f t="shared" si="81"/>
        <v>0.29744622941323579</v>
      </c>
      <c r="Y1454" s="20">
        <f t="shared" si="82"/>
        <v>0.17598288736391243</v>
      </c>
    </row>
    <row r="1455" spans="22:25" x14ac:dyDescent="0.2">
      <c r="V1455" s="18">
        <v>1.4530000000000001</v>
      </c>
      <c r="W1455" s="20">
        <f t="shared" si="80"/>
        <v>0.24245518996853796</v>
      </c>
      <c r="X1455" s="20">
        <f t="shared" si="81"/>
        <v>0.29761932956957277</v>
      </c>
      <c r="Y1455" s="20">
        <f t="shared" si="82"/>
        <v>0.17021097780050898</v>
      </c>
    </row>
    <row r="1456" spans="22:25" x14ac:dyDescent="0.2">
      <c r="V1456" s="18">
        <v>1.454</v>
      </c>
      <c r="W1456" s="20">
        <f t="shared" si="80"/>
        <v>0.24275289343677142</v>
      </c>
      <c r="X1456" s="20">
        <f t="shared" si="81"/>
        <v>0.29778663845372894</v>
      </c>
      <c r="Y1456" s="20">
        <f t="shared" si="82"/>
        <v>0.16440032291903695</v>
      </c>
    </row>
    <row r="1457" spans="22:25" x14ac:dyDescent="0.2">
      <c r="V1457" s="18">
        <v>1.4550000000000001</v>
      </c>
      <c r="W1457" s="20">
        <f t="shared" si="80"/>
        <v>0.24305076130208741</v>
      </c>
      <c r="X1457" s="20">
        <f t="shared" si="81"/>
        <v>0.2979481172600858</v>
      </c>
      <c r="Y1457" s="20">
        <f t="shared" si="82"/>
        <v>0.15855080205944905</v>
      </c>
    </row>
    <row r="1458" spans="22:25" x14ac:dyDescent="0.2">
      <c r="V1458" s="18">
        <v>1.456</v>
      </c>
      <c r="W1458" s="20">
        <f t="shared" si="80"/>
        <v>0.24334878771495677</v>
      </c>
      <c r="X1458" s="20">
        <f t="shared" si="81"/>
        <v>0.29810372706225613</v>
      </c>
      <c r="Y1458" s="20">
        <f t="shared" si="82"/>
        <v>0.15266229440074408</v>
      </c>
    </row>
    <row r="1459" spans="22:25" x14ac:dyDescent="0.2">
      <c r="V1459" s="18">
        <v>1.4570000000000001</v>
      </c>
      <c r="W1459" s="20">
        <f t="shared" si="80"/>
        <v>0.24364696678686348</v>
      </c>
      <c r="X1459" s="20">
        <f t="shared" si="81"/>
        <v>0.29825342881296318</v>
      </c>
      <c r="Y1459" s="20">
        <f t="shared" si="82"/>
        <v>0.14673467896095271</v>
      </c>
    </row>
    <row r="1460" spans="22:25" x14ac:dyDescent="0.2">
      <c r="V1460" s="18">
        <v>1.458</v>
      </c>
      <c r="W1460" s="20">
        <f t="shared" si="80"/>
        <v>0.24394529259017864</v>
      </c>
      <c r="X1460" s="20">
        <f t="shared" si="81"/>
        <v>0.2983971833438675</v>
      </c>
      <c r="Y1460" s="20">
        <f t="shared" si="82"/>
        <v>0.14076783459711972</v>
      </c>
    </row>
    <row r="1461" spans="22:25" x14ac:dyDescent="0.2">
      <c r="V1461" s="18">
        <v>1.4590000000000001</v>
      </c>
      <c r="W1461" s="20">
        <f t="shared" si="80"/>
        <v>0.24424375915805013</v>
      </c>
      <c r="X1461" s="20">
        <f t="shared" si="81"/>
        <v>0.29853495136541414</v>
      </c>
      <c r="Y1461" s="20">
        <f t="shared" si="82"/>
        <v>0.13476164000534308</v>
      </c>
    </row>
    <row r="1462" spans="22:25" x14ac:dyDescent="0.2">
      <c r="V1462" s="18">
        <v>1.46</v>
      </c>
      <c r="W1462" s="20">
        <f t="shared" si="80"/>
        <v>0.24454236048427055</v>
      </c>
      <c r="X1462" s="20">
        <f t="shared" si="81"/>
        <v>0.2986666934666507</v>
      </c>
      <c r="Y1462" s="20">
        <f t="shared" si="82"/>
        <v>0.12871597372073129</v>
      </c>
    </row>
    <row r="1463" spans="22:25" x14ac:dyDescent="0.2">
      <c r="V1463" s="18">
        <v>1.4610000000000001</v>
      </c>
      <c r="W1463" s="20">
        <f t="shared" si="80"/>
        <v>0.24484109052316616</v>
      </c>
      <c r="X1463" s="20">
        <f t="shared" si="81"/>
        <v>0.29879237011508392</v>
      </c>
      <c r="Y1463" s="20">
        <f t="shared" si="82"/>
        <v>0.12263071411742121</v>
      </c>
    </row>
    <row r="1464" spans="22:25" x14ac:dyDescent="0.2">
      <c r="V1464" s="18">
        <v>1.462</v>
      </c>
      <c r="W1464" s="20">
        <f t="shared" si="80"/>
        <v>0.24513994318946589</v>
      </c>
      <c r="X1464" s="20">
        <f t="shared" si="81"/>
        <v>0.29891194165651952</v>
      </c>
      <c r="Y1464" s="20">
        <f t="shared" si="82"/>
        <v>0.11650573940863129</v>
      </c>
    </row>
    <row r="1465" spans="22:25" x14ac:dyDescent="0.2">
      <c r="V1465" s="18">
        <v>1.4630000000000001</v>
      </c>
      <c r="W1465" s="20">
        <f t="shared" si="80"/>
        <v>0.24543891235818588</v>
      </c>
      <c r="X1465" s="20">
        <f t="shared" si="81"/>
        <v>0.29902536831488685</v>
      </c>
      <c r="Y1465" s="20">
        <f t="shared" si="82"/>
        <v>0.11034092764653725</v>
      </c>
    </row>
    <row r="1466" spans="22:25" x14ac:dyDescent="0.2">
      <c r="V1466" s="18">
        <v>1.464</v>
      </c>
      <c r="W1466" s="20">
        <f t="shared" si="80"/>
        <v>0.24573799186450218</v>
      </c>
      <c r="X1466" s="20">
        <f t="shared" si="81"/>
        <v>0.29913261019209775</v>
      </c>
      <c r="Y1466" s="20">
        <f t="shared" si="82"/>
        <v>0.1041361567223964</v>
      </c>
    </row>
    <row r="1467" spans="22:25" x14ac:dyDescent="0.2">
      <c r="V1467" s="18">
        <v>1.4650000000000001</v>
      </c>
      <c r="W1467" s="20">
        <f t="shared" si="80"/>
        <v>0.24603717550363904</v>
      </c>
      <c r="X1467" s="20">
        <f t="shared" si="81"/>
        <v>0.2992336272678538</v>
      </c>
      <c r="Y1467" s="20">
        <f t="shared" si="82"/>
        <v>9.7891304366508614E-2</v>
      </c>
    </row>
    <row r="1468" spans="22:25" x14ac:dyDescent="0.2">
      <c r="V1468" s="18">
        <v>1.466</v>
      </c>
      <c r="W1468" s="20">
        <f t="shared" si="80"/>
        <v>0.24633645703072521</v>
      </c>
      <c r="X1468" s="20">
        <f t="shared" si="81"/>
        <v>0.29932837939954066</v>
      </c>
      <c r="Y1468" s="20">
        <f t="shared" si="82"/>
        <v>9.1606248148152325E-2</v>
      </c>
    </row>
    <row r="1469" spans="22:25" x14ac:dyDescent="0.2">
      <c r="V1469" s="18">
        <v>1.4670000000000001</v>
      </c>
      <c r="W1469" s="20">
        <f t="shared" si="80"/>
        <v>0.24663583016070031</v>
      </c>
      <c r="X1469" s="20">
        <f t="shared" si="81"/>
        <v>0.29941682632200423</v>
      </c>
      <c r="Y1469" s="20">
        <f t="shared" si="82"/>
        <v>8.5280865475680478E-2</v>
      </c>
    </row>
    <row r="1470" spans="22:25" x14ac:dyDescent="0.2">
      <c r="V1470" s="18">
        <v>1.468</v>
      </c>
      <c r="W1470" s="20">
        <f t="shared" si="80"/>
        <v>0.24693528856817182</v>
      </c>
      <c r="X1470" s="20">
        <f t="shared" si="81"/>
        <v>0.29949892764742098</v>
      </c>
      <c r="Y1470" s="20">
        <f t="shared" si="82"/>
        <v>7.891503359646368E-2</v>
      </c>
    </row>
    <row r="1471" spans="22:25" x14ac:dyDescent="0.2">
      <c r="V1471" s="18">
        <v>1.4690000000000001</v>
      </c>
      <c r="W1471" s="20">
        <f t="shared" si="80"/>
        <v>0.24723482588729576</v>
      </c>
      <c r="X1471" s="20">
        <f t="shared" si="81"/>
        <v>0.29957464286515584</v>
      </c>
      <c r="Y1471" s="20">
        <f t="shared" si="82"/>
        <v>7.2508629596907959E-2</v>
      </c>
    </row>
    <row r="1472" spans="22:25" x14ac:dyDescent="0.2">
      <c r="V1472" s="18">
        <v>1.47</v>
      </c>
      <c r="W1472" s="20">
        <f t="shared" si="80"/>
        <v>0.24753443571165795</v>
      </c>
      <c r="X1472" s="20">
        <f t="shared" si="81"/>
        <v>0.29964393134155359</v>
      </c>
      <c r="Y1472" s="20">
        <f t="shared" si="82"/>
        <v>6.6061530402451218E-2</v>
      </c>
    </row>
    <row r="1473" spans="22:25" x14ac:dyDescent="0.2">
      <c r="V1473" s="18">
        <v>1.4710000000000001</v>
      </c>
      <c r="W1473" s="20">
        <f t="shared" si="80"/>
        <v>0.24783411159414748</v>
      </c>
      <c r="X1473" s="20">
        <f t="shared" si="81"/>
        <v>0.29970675231981941</v>
      </c>
      <c r="Y1473" s="20">
        <f t="shared" si="82"/>
        <v>5.9573612777549023E-2</v>
      </c>
    </row>
    <row r="1474" spans="22:25" x14ac:dyDescent="0.2">
      <c r="V1474" s="18">
        <v>1.472</v>
      </c>
      <c r="W1474" s="20">
        <f t="shared" si="80"/>
        <v>0.24813384704683861</v>
      </c>
      <c r="X1474" s="20">
        <f t="shared" si="81"/>
        <v>0.29976306491983656</v>
      </c>
      <c r="Y1474" s="20">
        <f t="shared" si="82"/>
        <v>5.304475332570302E-2</v>
      </c>
    </row>
    <row r="1475" spans="22:25" x14ac:dyDescent="0.2">
      <c r="V1475" s="18">
        <v>1.4730000000000001</v>
      </c>
      <c r="W1475" s="20">
        <f t="shared" ref="W1475:W1538" si="83" xml:space="preserve"> -0.223567093536985*V1475^6 + 0.944228289125022*V1475^5 - 1.39425331473467*V1475^4 + 0.919786041369661*V1475^3 - 0.280641903613287*V1475^2 + 0.0398143416441599*V1475 + 0.158710616051081</f>
        <v>0.24843363554086112</v>
      </c>
      <c r="X1475" s="20">
        <f t="shared" ref="X1475:X1538" si="84" xml:space="preserve"> 6*-0.223567093536985*V1475^5 + 5*0.944228289125022*V1475^4 - 4*1.39425331473467*V1475^3 + 3*0.919786041369661*V1475^2 - 2*0.280641903613287*V1475^1 + 0.0398143416441599</f>
        <v>0.29981282813801319</v>
      </c>
      <c r="Y1475" s="20">
        <f t="shared" ref="Y1475:Y1538" si="85" xml:space="preserve"> 5*6*-0.223567093536985*V1475^4 + 4*5*0.944228289125022*V1475^3 - 3*4*1.39425331473467*V1475^2 + 2*3*0.919786041369661*V1475^1 - 2*0.280641903613287</f>
        <v>4.6474828489450282E-2</v>
      </c>
    </row>
    <row r="1476" spans="22:25" x14ac:dyDescent="0.2">
      <c r="V1476" s="18">
        <v>1.474</v>
      </c>
      <c r="W1476" s="20">
        <f t="shared" si="83"/>
        <v>0.24873347050627956</v>
      </c>
      <c r="X1476" s="20">
        <f t="shared" si="84"/>
        <v>0.29985600084711989</v>
      </c>
      <c r="Y1476" s="20">
        <f t="shared" si="85"/>
        <v>3.9863714550352647E-2</v>
      </c>
    </row>
    <row r="1477" spans="22:25" x14ac:dyDescent="0.2">
      <c r="V1477" s="18">
        <v>1.4750000000000001</v>
      </c>
      <c r="W1477" s="20">
        <f t="shared" si="83"/>
        <v>0.24903334533196975</v>
      </c>
      <c r="X1477" s="20">
        <f t="shared" si="84"/>
        <v>0.29989254179612274</v>
      </c>
      <c r="Y1477" s="20">
        <f t="shared" si="85"/>
        <v>3.3211287629010933E-2</v>
      </c>
    </row>
    <row r="1478" spans="22:25" x14ac:dyDescent="0.2">
      <c r="V1478" s="18">
        <v>1.476</v>
      </c>
      <c r="W1478" s="20">
        <f t="shared" si="83"/>
        <v>0.24933325336549442</v>
      </c>
      <c r="X1478" s="20">
        <f t="shared" si="84"/>
        <v>0.29992240961003674</v>
      </c>
      <c r="Y1478" s="20">
        <f t="shared" si="85"/>
        <v>2.6517423685029406E-2</v>
      </c>
    </row>
    <row r="1479" spans="22:25" x14ac:dyDescent="0.2">
      <c r="V1479" s="18">
        <v>1.4770000000000001</v>
      </c>
      <c r="W1479" s="20">
        <f t="shared" si="83"/>
        <v>0.24963318791298045</v>
      </c>
      <c r="X1479" s="20">
        <f t="shared" si="84"/>
        <v>0.29994556278975354</v>
      </c>
      <c r="Y1479" s="20">
        <f t="shared" si="85"/>
        <v>1.9781998517079735E-2</v>
      </c>
    </row>
    <row r="1480" spans="22:25" x14ac:dyDescent="0.2">
      <c r="V1480" s="18">
        <v>1.478</v>
      </c>
      <c r="W1480" s="20">
        <f t="shared" si="83"/>
        <v>0.24993314223898963</v>
      </c>
      <c r="X1480" s="20">
        <f t="shared" si="84"/>
        <v>0.29996195971187894</v>
      </c>
      <c r="Y1480" s="20">
        <f t="shared" si="85"/>
        <v>1.3004887762851247E-2</v>
      </c>
    </row>
    <row r="1481" spans="22:25" x14ac:dyDescent="0.2">
      <c r="V1481" s="18">
        <v>1.4790000000000001</v>
      </c>
      <c r="W1481" s="20">
        <f t="shared" si="83"/>
        <v>0.2502331095664041</v>
      </c>
      <c r="X1481" s="20">
        <f t="shared" si="84"/>
        <v>0.29997155862857089</v>
      </c>
      <c r="Y1481" s="20">
        <f t="shared" si="85"/>
        <v>6.185966899050932E-3</v>
      </c>
    </row>
    <row r="1482" spans="22:25" x14ac:dyDescent="0.2">
      <c r="V1482" s="18">
        <v>1.48</v>
      </c>
      <c r="W1482" s="20">
        <f t="shared" si="83"/>
        <v>0.25053308307628913</v>
      </c>
      <c r="X1482" s="20">
        <f t="shared" si="84"/>
        <v>0.29997431766741217</v>
      </c>
      <c r="Y1482" s="20">
        <f t="shared" si="85"/>
        <v>-6.7488875854326835E-4</v>
      </c>
    </row>
    <row r="1483" spans="22:25" x14ac:dyDescent="0.2">
      <c r="V1483" s="18">
        <v>1.4810000000000001</v>
      </c>
      <c r="W1483" s="20">
        <f t="shared" si="83"/>
        <v>0.25083305590778082</v>
      </c>
      <c r="X1483" s="20">
        <f t="shared" si="84"/>
        <v>0.29997019483118087</v>
      </c>
      <c r="Y1483" s="20">
        <f t="shared" si="85"/>
        <v>-7.5778040551712778E-3</v>
      </c>
    </row>
    <row r="1484" spans="22:25" x14ac:dyDescent="0.2">
      <c r="V1484" s="18">
        <v>1.482</v>
      </c>
      <c r="W1484" s="20">
        <f t="shared" si="83"/>
        <v>0.25113302115795411</v>
      </c>
      <c r="X1484" s="20">
        <f t="shared" si="84"/>
        <v>0.29995914799775542</v>
      </c>
      <c r="Y1484" s="20">
        <f t="shared" si="85"/>
        <v>-1.4522903997009173E-2</v>
      </c>
    </row>
    <row r="1485" spans="22:25" x14ac:dyDescent="0.2">
      <c r="V1485" s="18">
        <v>1.4830000000000001</v>
      </c>
      <c r="W1485" s="20">
        <f t="shared" si="83"/>
        <v>0.25143297188169678</v>
      </c>
      <c r="X1485" s="20">
        <f t="shared" si="84"/>
        <v>0.29994113491991564</v>
      </c>
      <c r="Y1485" s="20">
        <f t="shared" si="85"/>
        <v>-2.1510313751211818E-2</v>
      </c>
    </row>
    <row r="1486" spans="22:25" x14ac:dyDescent="0.2">
      <c r="V1486" s="18">
        <v>1.484</v>
      </c>
      <c r="W1486" s="20">
        <f t="shared" si="83"/>
        <v>0.25173290109158969</v>
      </c>
      <c r="X1486" s="20">
        <f t="shared" si="84"/>
        <v>0.29991611322520245</v>
      </c>
      <c r="Y1486" s="20">
        <f t="shared" si="85"/>
        <v>-2.8540158645887992E-2</v>
      </c>
    </row>
    <row r="1487" spans="22:25" x14ac:dyDescent="0.2">
      <c r="V1487" s="18">
        <v>1.4850000000000001</v>
      </c>
      <c r="W1487" s="20">
        <f t="shared" si="83"/>
        <v>0.25203280175777676</v>
      </c>
      <c r="X1487" s="20">
        <f t="shared" si="84"/>
        <v>0.29988404041574995</v>
      </c>
      <c r="Y1487" s="20">
        <f t="shared" si="85"/>
        <v>-3.5612564170143024E-2</v>
      </c>
    </row>
    <row r="1488" spans="22:25" x14ac:dyDescent="0.2">
      <c r="V1488" s="18">
        <v>1.486</v>
      </c>
      <c r="W1488" s="20">
        <f t="shared" si="83"/>
        <v>0.25233266680784272</v>
      </c>
      <c r="X1488" s="20">
        <f t="shared" si="84"/>
        <v>0.29984487386810604</v>
      </c>
      <c r="Y1488" s="20">
        <f t="shared" si="85"/>
        <v>-4.2727655974025502E-2</v>
      </c>
    </row>
    <row r="1489" spans="22:25" x14ac:dyDescent="0.2">
      <c r="V1489" s="18">
        <v>1.4870000000000001</v>
      </c>
      <c r="W1489" s="20">
        <f t="shared" si="83"/>
        <v>0.2526324891266844</v>
      </c>
      <c r="X1489" s="20">
        <f t="shared" si="84"/>
        <v>0.29979857083310629</v>
      </c>
      <c r="Y1489" s="20">
        <f t="shared" si="85"/>
        <v>-4.9885559868562801E-2</v>
      </c>
    </row>
    <row r="1490" spans="22:25" x14ac:dyDescent="0.2">
      <c r="V1490" s="18">
        <v>1.488</v>
      </c>
      <c r="W1490" s="20">
        <f t="shared" si="83"/>
        <v>0.25293226155638965</v>
      </c>
      <c r="X1490" s="20">
        <f t="shared" si="84"/>
        <v>0.29974508843568753</v>
      </c>
      <c r="Y1490" s="20">
        <f t="shared" si="85"/>
        <v>-5.7086401825757527E-2</v>
      </c>
    </row>
    <row r="1491" spans="22:25" x14ac:dyDescent="0.2">
      <c r="V1491" s="18">
        <v>1.4890000000000001</v>
      </c>
      <c r="W1491" s="20">
        <f t="shared" si="83"/>
        <v>0.25323197689610399</v>
      </c>
      <c r="X1491" s="20">
        <f t="shared" si="84"/>
        <v>0.29968438367472577</v>
      </c>
      <c r="Y1491" s="20">
        <f t="shared" si="85"/>
        <v>-6.4330307978551993E-2</v>
      </c>
    </row>
    <row r="1492" spans="22:25" x14ac:dyDescent="0.2">
      <c r="V1492" s="18">
        <v>1.49</v>
      </c>
      <c r="W1492" s="20">
        <f t="shared" si="83"/>
        <v>0.25353162790190975</v>
      </c>
      <c r="X1492" s="20">
        <f t="shared" si="84"/>
        <v>0.29961641342290007</v>
      </c>
      <c r="Y1492" s="20">
        <f t="shared" si="85"/>
        <v>-7.1617404620902825E-2</v>
      </c>
    </row>
    <row r="1493" spans="22:25" x14ac:dyDescent="0.2">
      <c r="V1493" s="18">
        <v>1.4910000000000001</v>
      </c>
      <c r="W1493" s="20">
        <f t="shared" si="83"/>
        <v>0.25383120728670289</v>
      </c>
      <c r="X1493" s="20">
        <f t="shared" si="84"/>
        <v>0.29954113442650471</v>
      </c>
      <c r="Y1493" s="20">
        <f t="shared" si="85"/>
        <v>-7.8947818207681486E-2</v>
      </c>
    </row>
    <row r="1494" spans="22:25" x14ac:dyDescent="0.2">
      <c r="V1494" s="18">
        <v>1.492</v>
      </c>
      <c r="W1494" s="20">
        <f t="shared" si="83"/>
        <v>0.25413070772005564</v>
      </c>
      <c r="X1494" s="20">
        <f t="shared" si="84"/>
        <v>0.29945850330529916</v>
      </c>
      <c r="Y1494" s="20">
        <f t="shared" si="85"/>
        <v>-8.6321675354791516E-2</v>
      </c>
    </row>
    <row r="1495" spans="22:25" x14ac:dyDescent="0.2">
      <c r="V1495" s="18">
        <v>1.4930000000000001</v>
      </c>
      <c r="W1495" s="20">
        <f t="shared" si="83"/>
        <v>0.25443012182810354</v>
      </c>
      <c r="X1495" s="20">
        <f t="shared" si="84"/>
        <v>0.29936847655235094</v>
      </c>
      <c r="Y1495" s="20">
        <f t="shared" si="85"/>
        <v>-9.3739102839026422E-2</v>
      </c>
    </row>
    <row r="1496" spans="22:25" x14ac:dyDescent="0.2">
      <c r="V1496" s="18">
        <v>1.494</v>
      </c>
      <c r="W1496" s="20">
        <f t="shared" si="83"/>
        <v>0.25472944219340721</v>
      </c>
      <c r="X1496" s="20">
        <f t="shared" si="84"/>
        <v>0.29927101053386856</v>
      </c>
      <c r="Y1496" s="20">
        <f t="shared" si="85"/>
        <v>-0.10120022759821534</v>
      </c>
    </row>
    <row r="1497" spans="22:25" x14ac:dyDescent="0.2">
      <c r="V1497" s="18">
        <v>1.4950000000000001</v>
      </c>
      <c r="W1497" s="20">
        <f t="shared" si="83"/>
        <v>0.25502866135483143</v>
      </c>
      <c r="X1497" s="20">
        <f t="shared" si="84"/>
        <v>0.29916606148903196</v>
      </c>
      <c r="Y1497" s="20">
        <f t="shared" si="85"/>
        <v>-0.10870517673113067</v>
      </c>
    </row>
    <row r="1498" spans="22:25" x14ac:dyDescent="0.2">
      <c r="V1498" s="18">
        <v>1.496</v>
      </c>
      <c r="W1498" s="20">
        <f t="shared" si="83"/>
        <v>0.25532777180741628</v>
      </c>
      <c r="X1498" s="20">
        <f t="shared" si="84"/>
        <v>0.29905358552985845</v>
      </c>
      <c r="Y1498" s="20">
        <f t="shared" si="85"/>
        <v>-0.11625407749749872</v>
      </c>
    </row>
    <row r="1499" spans="22:25" x14ac:dyDescent="0.2">
      <c r="V1499" s="18">
        <v>1.4970000000000001</v>
      </c>
      <c r="W1499" s="20">
        <f t="shared" si="83"/>
        <v>0.25562676600224787</v>
      </c>
      <c r="X1499" s="20">
        <f t="shared" si="84"/>
        <v>0.29893353864102107</v>
      </c>
      <c r="Y1499" s="20">
        <f t="shared" si="85"/>
        <v>-0.12384705731805656</v>
      </c>
    </row>
    <row r="1500" spans="22:25" x14ac:dyDescent="0.2">
      <c r="V1500" s="18">
        <v>1.498</v>
      </c>
      <c r="W1500" s="20">
        <f t="shared" si="83"/>
        <v>0.25592563634634197</v>
      </c>
      <c r="X1500" s="20">
        <f t="shared" si="84"/>
        <v>0.2988058766796779</v>
      </c>
      <c r="Y1500" s="20">
        <f t="shared" si="85"/>
        <v>-0.1314842437744419</v>
      </c>
    </row>
    <row r="1501" spans="22:25" x14ac:dyDescent="0.2">
      <c r="V1501" s="18">
        <v>1.4990000000000001</v>
      </c>
      <c r="W1501" s="20">
        <f t="shared" si="83"/>
        <v>0.25622437520249541</v>
      </c>
      <c r="X1501" s="20">
        <f t="shared" si="84"/>
        <v>0.29867055537534898</v>
      </c>
      <c r="Y1501" s="20">
        <f t="shared" si="85"/>
        <v>-0.13916576460934937</v>
      </c>
    </row>
    <row r="1502" spans="22:25" x14ac:dyDescent="0.2">
      <c r="V1502" s="18">
        <v>1.5</v>
      </c>
      <c r="W1502" s="20">
        <f t="shared" si="83"/>
        <v>0.25652297488917952</v>
      </c>
      <c r="X1502" s="20">
        <f t="shared" si="84"/>
        <v>0.29852753032970419</v>
      </c>
      <c r="Y1502" s="20">
        <f t="shared" si="85"/>
        <v>-0.14689174772633518</v>
      </c>
    </row>
    <row r="1503" spans="22:25" x14ac:dyDescent="0.2">
      <c r="V1503" s="18">
        <v>1.5009999999999999</v>
      </c>
      <c r="W1503" s="20">
        <f t="shared" si="83"/>
        <v>0.25682142768040039</v>
      </c>
      <c r="X1503" s="20">
        <f t="shared" si="84"/>
        <v>0.29837675701644434</v>
      </c>
      <c r="Y1503" s="20">
        <f t="shared" si="85"/>
        <v>-0.15466232119001777</v>
      </c>
    </row>
    <row r="1504" spans="22:25" x14ac:dyDescent="0.2">
      <c r="V1504" s="18">
        <v>1.502</v>
      </c>
      <c r="W1504" s="20">
        <f t="shared" si="83"/>
        <v>0.25711972580557402</v>
      </c>
      <c r="X1504" s="20">
        <f t="shared" si="84"/>
        <v>0.29821819078113715</v>
      </c>
      <c r="Y1504" s="20">
        <f t="shared" si="85"/>
        <v>-0.16247761322595355</v>
      </c>
    </row>
    <row r="1505" spans="22:25" x14ac:dyDescent="0.2">
      <c r="V1505" s="18">
        <v>1.5029999999999999</v>
      </c>
      <c r="W1505" s="20">
        <f t="shared" si="83"/>
        <v>0.25741786144939593</v>
      </c>
      <c r="X1505" s="20">
        <f t="shared" si="84"/>
        <v>0.29805178684101424</v>
      </c>
      <c r="Y1505" s="20">
        <f t="shared" si="85"/>
        <v>-0.1703377522206333</v>
      </c>
    </row>
    <row r="1506" spans="22:25" x14ac:dyDescent="0.2">
      <c r="V1506" s="18">
        <v>1.504</v>
      </c>
      <c r="W1506" s="20">
        <f t="shared" si="83"/>
        <v>0.25771582675171734</v>
      </c>
      <c r="X1506" s="20">
        <f t="shared" si="84"/>
        <v>0.29787750028485577</v>
      </c>
      <c r="Y1506" s="20">
        <f t="shared" si="85"/>
        <v>-0.17824286672156919</v>
      </c>
    </row>
    <row r="1507" spans="22:25" x14ac:dyDescent="0.2">
      <c r="V1507" s="18">
        <v>1.5049999999999999</v>
      </c>
      <c r="W1507" s="20">
        <f t="shared" si="83"/>
        <v>0.25801361380741472</v>
      </c>
      <c r="X1507" s="20">
        <f t="shared" si="84"/>
        <v>0.29769528607283152</v>
      </c>
      <c r="Y1507" s="20">
        <f t="shared" si="85"/>
        <v>-0.18619308543719892</v>
      </c>
    </row>
    <row r="1508" spans="22:25" x14ac:dyDescent="0.2">
      <c r="V1508" s="18">
        <v>1.506</v>
      </c>
      <c r="W1508" s="20">
        <f t="shared" si="83"/>
        <v>0.25831121466625723</v>
      </c>
      <c r="X1508" s="20">
        <f t="shared" si="84"/>
        <v>0.29750509903628825</v>
      </c>
      <c r="Y1508" s="20">
        <f t="shared" si="85"/>
        <v>-0.19418853723696383</v>
      </c>
    </row>
    <row r="1509" spans="22:25" x14ac:dyDescent="0.2">
      <c r="V1509" s="18">
        <v>1.5069999999999999</v>
      </c>
      <c r="W1509" s="20">
        <f t="shared" si="83"/>
        <v>0.25860862133278106</v>
      </c>
      <c r="X1509" s="20">
        <f t="shared" si="84"/>
        <v>0.29730689387765702</v>
      </c>
      <c r="Y1509" s="20">
        <f t="shared" si="85"/>
        <v>-0.20222935115124141</v>
      </c>
    </row>
    <row r="1510" spans="22:25" x14ac:dyDescent="0.2">
      <c r="V1510" s="18">
        <v>1.508</v>
      </c>
      <c r="W1510" s="20">
        <f t="shared" si="83"/>
        <v>0.25890582576616428</v>
      </c>
      <c r="X1510" s="20">
        <f t="shared" si="84"/>
        <v>0.29710062517022634</v>
      </c>
      <c r="Y1510" s="20">
        <f t="shared" si="85"/>
        <v>-0.21031565637139504</v>
      </c>
    </row>
    <row r="1511" spans="22:25" x14ac:dyDescent="0.2">
      <c r="V1511" s="18">
        <v>1.5089999999999999</v>
      </c>
      <c r="W1511" s="20">
        <f t="shared" si="83"/>
        <v>0.25920281988008748</v>
      </c>
      <c r="X1511" s="20">
        <f t="shared" si="84"/>
        <v>0.29688624735803032</v>
      </c>
      <c r="Y1511" s="20">
        <f t="shared" si="85"/>
        <v>-0.21844758224977046</v>
      </c>
    </row>
    <row r="1512" spans="22:25" x14ac:dyDescent="0.2">
      <c r="V1512" s="18">
        <v>1.51</v>
      </c>
      <c r="W1512" s="20">
        <f t="shared" si="83"/>
        <v>0.25949959554261837</v>
      </c>
      <c r="X1512" s="20">
        <f t="shared" si="84"/>
        <v>0.29666371475567016</v>
      </c>
      <c r="Y1512" s="20">
        <f t="shared" si="85"/>
        <v>-0.22662525829963887</v>
      </c>
    </row>
    <row r="1513" spans="22:25" x14ac:dyDescent="0.2">
      <c r="V1513" s="18">
        <v>1.5109999999999999</v>
      </c>
      <c r="W1513" s="20">
        <f t="shared" si="83"/>
        <v>0.25979614457606726</v>
      </c>
      <c r="X1513" s="20">
        <f t="shared" si="84"/>
        <v>0.29643298154814451</v>
      </c>
      <c r="Y1513" s="20">
        <f t="shared" si="85"/>
        <v>-0.23484881419526449</v>
      </c>
    </row>
    <row r="1514" spans="22:25" x14ac:dyDescent="0.2">
      <c r="V1514" s="18">
        <v>1.512</v>
      </c>
      <c r="W1514" s="20">
        <f t="shared" si="83"/>
        <v>0.26009245875686593</v>
      </c>
      <c r="X1514" s="20">
        <f t="shared" si="84"/>
        <v>0.29619400179071981</v>
      </c>
      <c r="Y1514" s="20">
        <f t="shared" si="85"/>
        <v>-0.24311837977190454</v>
      </c>
    </row>
    <row r="1515" spans="22:25" x14ac:dyDescent="0.2">
      <c r="V1515" s="18">
        <v>1.5129999999999999</v>
      </c>
      <c r="W1515" s="20">
        <f t="shared" si="83"/>
        <v>0.26038852981543964</v>
      </c>
      <c r="X1515" s="20">
        <f t="shared" si="84"/>
        <v>0.29594672940871097</v>
      </c>
      <c r="Y1515" s="20">
        <f t="shared" si="85"/>
        <v>-0.25143408502574172</v>
      </c>
    </row>
    <row r="1516" spans="22:25" x14ac:dyDescent="0.2">
      <c r="V1516" s="18">
        <v>1.514</v>
      </c>
      <c r="W1516" s="20">
        <f t="shared" si="83"/>
        <v>0.26068434943607488</v>
      </c>
      <c r="X1516" s="20">
        <f t="shared" si="84"/>
        <v>0.29569111819738775</v>
      </c>
      <c r="Y1516" s="20">
        <f t="shared" si="85"/>
        <v>-0.25979606011395528</v>
      </c>
    </row>
    <row r="1517" spans="22:25" x14ac:dyDescent="0.2">
      <c r="V1517" s="18">
        <v>1.5149999999999999</v>
      </c>
      <c r="W1517" s="20">
        <f t="shared" si="83"/>
        <v>0.26097990925678216</v>
      </c>
      <c r="X1517" s="20">
        <f t="shared" si="84"/>
        <v>0.29542712182176839</v>
      </c>
      <c r="Y1517" s="20">
        <f t="shared" si="85"/>
        <v>-0.26820443535468907</v>
      </c>
    </row>
    <row r="1518" spans="22:25" x14ac:dyDescent="0.2">
      <c r="V1518" s="18">
        <v>1.516</v>
      </c>
      <c r="W1518" s="20">
        <f t="shared" si="83"/>
        <v>0.26127520086917727</v>
      </c>
      <c r="X1518" s="20">
        <f t="shared" si="84"/>
        <v>0.29515469381647269</v>
      </c>
      <c r="Y1518" s="20">
        <f t="shared" si="85"/>
        <v>-0.27665934122703728</v>
      </c>
    </row>
    <row r="1519" spans="22:25" x14ac:dyDescent="0.2">
      <c r="V1519" s="18">
        <v>1.5169999999999999</v>
      </c>
      <c r="W1519" s="20">
        <f t="shared" si="83"/>
        <v>0.26157021581834117</v>
      </c>
      <c r="X1519" s="20">
        <f t="shared" si="84"/>
        <v>0.29487378758555954</v>
      </c>
      <c r="Y1519" s="20">
        <f t="shared" si="85"/>
        <v>-0.28516090837108354</v>
      </c>
    </row>
    <row r="1520" spans="22:25" x14ac:dyDescent="0.2">
      <c r="V1520" s="18">
        <v>1.518</v>
      </c>
      <c r="W1520" s="20">
        <f t="shared" si="83"/>
        <v>0.26186494560269946</v>
      </c>
      <c r="X1520" s="20">
        <f t="shared" si="84"/>
        <v>0.2945843564023724</v>
      </c>
      <c r="Y1520" s="20">
        <f t="shared" si="85"/>
        <v>-0.29370926758786542</v>
      </c>
    </row>
    <row r="1521" spans="22:25" x14ac:dyDescent="0.2">
      <c r="V1521" s="18">
        <v>1.5189999999999999</v>
      </c>
      <c r="W1521" s="20">
        <f t="shared" si="83"/>
        <v>0.26215938167387864</v>
      </c>
      <c r="X1521" s="20">
        <f t="shared" si="84"/>
        <v>0.29428635340937409</v>
      </c>
      <c r="Y1521" s="20">
        <f t="shared" si="85"/>
        <v>-0.30230454983939925</v>
      </c>
    </row>
    <row r="1522" spans="22:25" x14ac:dyDescent="0.2">
      <c r="V1522" s="18">
        <v>1.52</v>
      </c>
      <c r="W1522" s="20">
        <f t="shared" si="83"/>
        <v>0.26245351543658685</v>
      </c>
      <c r="X1522" s="20">
        <f t="shared" si="84"/>
        <v>0.29397973161797625</v>
      </c>
      <c r="Y1522" s="20">
        <f t="shared" si="85"/>
        <v>-0.31094688624865174</v>
      </c>
    </row>
    <row r="1523" spans="22:25" x14ac:dyDescent="0.2">
      <c r="V1523" s="18">
        <v>1.5209999999999999</v>
      </c>
      <c r="W1523" s="20">
        <f t="shared" si="83"/>
        <v>0.26274733824847685</v>
      </c>
      <c r="X1523" s="20">
        <f t="shared" si="84"/>
        <v>0.29366444390839813</v>
      </c>
      <c r="Y1523" s="20">
        <f t="shared" si="85"/>
        <v>-0.31963640809960037</v>
      </c>
    </row>
    <row r="1524" spans="22:25" x14ac:dyDescent="0.2">
      <c r="V1524" s="18">
        <v>1.522</v>
      </c>
      <c r="W1524" s="20">
        <f t="shared" si="83"/>
        <v>0.26304084142001449</v>
      </c>
      <c r="X1524" s="20">
        <f t="shared" si="84"/>
        <v>0.2933404430294872</v>
      </c>
      <c r="Y1524" s="20">
        <f t="shared" si="85"/>
        <v>-0.32837324683711966</v>
      </c>
    </row>
    <row r="1525" spans="22:25" x14ac:dyDescent="0.2">
      <c r="V1525" s="18">
        <v>1.5229999999999999</v>
      </c>
      <c r="W1525" s="20">
        <f t="shared" si="83"/>
        <v>0.26333401621435198</v>
      </c>
      <c r="X1525" s="20">
        <f t="shared" si="84"/>
        <v>0.29300768159856289</v>
      </c>
      <c r="Y1525" s="20">
        <f t="shared" si="85"/>
        <v>-0.33715753406714821</v>
      </c>
    </row>
    <row r="1526" spans="22:25" x14ac:dyDescent="0.2">
      <c r="V1526" s="18">
        <v>1.524</v>
      </c>
      <c r="W1526" s="20">
        <f t="shared" si="83"/>
        <v>0.26362685384719042</v>
      </c>
      <c r="X1526" s="20">
        <f t="shared" si="84"/>
        <v>0.29266611210126431</v>
      </c>
      <c r="Y1526" s="20">
        <f t="shared" si="85"/>
        <v>-0.34598940155648972</v>
      </c>
    </row>
    <row r="1527" spans="22:25" x14ac:dyDescent="0.2">
      <c r="V1527" s="18">
        <v>1.5249999999999999</v>
      </c>
      <c r="W1527" s="20">
        <f t="shared" si="83"/>
        <v>0.26391934548665297</v>
      </c>
      <c r="X1527" s="20">
        <f t="shared" si="84"/>
        <v>0.29231568689138926</v>
      </c>
      <c r="Y1527" s="20">
        <f t="shared" si="85"/>
        <v>-0.35486898123298705</v>
      </c>
    </row>
    <row r="1528" spans="22:25" x14ac:dyDescent="0.2">
      <c r="V1528" s="18">
        <v>1.526</v>
      </c>
      <c r="W1528" s="20">
        <f t="shared" si="83"/>
        <v>0.26421148225314539</v>
      </c>
      <c r="X1528" s="20">
        <f t="shared" si="84"/>
        <v>0.2919563581907117</v>
      </c>
      <c r="Y1528" s="20">
        <f t="shared" si="85"/>
        <v>-0.36379640518542988</v>
      </c>
    </row>
    <row r="1529" spans="22:25" x14ac:dyDescent="0.2">
      <c r="V1529" s="18">
        <v>1.5269999999999999</v>
      </c>
      <c r="W1529" s="20">
        <f t="shared" si="83"/>
        <v>0.26450325521923429</v>
      </c>
      <c r="X1529" s="20">
        <f t="shared" si="84"/>
        <v>0.29158807808884063</v>
      </c>
      <c r="Y1529" s="20">
        <f t="shared" si="85"/>
        <v>-0.3727718056635867</v>
      </c>
    </row>
    <row r="1530" spans="22:25" x14ac:dyDescent="0.2">
      <c r="V1530" s="18">
        <v>1.528</v>
      </c>
      <c r="W1530" s="20">
        <f t="shared" si="83"/>
        <v>0.2647946554095103</v>
      </c>
      <c r="X1530" s="20">
        <f t="shared" si="84"/>
        <v>0.29121079854306825</v>
      </c>
      <c r="Y1530" s="20">
        <f t="shared" si="85"/>
        <v>-0.38179531507815501</v>
      </c>
    </row>
    <row r="1531" spans="22:25" x14ac:dyDescent="0.2">
      <c r="V1531" s="18">
        <v>1.5289999999999999</v>
      </c>
      <c r="W1531" s="20">
        <f t="shared" si="83"/>
        <v>0.26508567380044878</v>
      </c>
      <c r="X1531" s="20">
        <f t="shared" si="84"/>
        <v>0.29082447137818607</v>
      </c>
      <c r="Y1531" s="20">
        <f t="shared" si="85"/>
        <v>-0.3908670660008573</v>
      </c>
    </row>
    <row r="1532" spans="22:25" x14ac:dyDescent="0.2">
      <c r="V1532" s="18">
        <v>1.53</v>
      </c>
      <c r="W1532" s="20">
        <f t="shared" si="83"/>
        <v>0.26537630132029227</v>
      </c>
      <c r="X1532" s="20">
        <f t="shared" si="84"/>
        <v>0.29042904828632415</v>
      </c>
      <c r="Y1532" s="20">
        <f t="shared" si="85"/>
        <v>-0.39998719116433445</v>
      </c>
    </row>
    <row r="1533" spans="22:25" x14ac:dyDescent="0.2">
      <c r="V1533" s="18">
        <v>1.5309999999999999</v>
      </c>
      <c r="W1533" s="20">
        <f t="shared" si="83"/>
        <v>0.26566652884890124</v>
      </c>
      <c r="X1533" s="20">
        <f t="shared" si="84"/>
        <v>0.29002448082681714</v>
      </c>
      <c r="Y1533" s="20">
        <f t="shared" si="85"/>
        <v>-0.40915582346225587</v>
      </c>
    </row>
    <row r="1534" spans="22:25" x14ac:dyDescent="0.2">
      <c r="V1534" s="18">
        <v>1.532</v>
      </c>
      <c r="W1534" s="20">
        <f t="shared" si="83"/>
        <v>0.26595634721763228</v>
      </c>
      <c r="X1534" s="20">
        <f t="shared" si="84"/>
        <v>0.28961072042600572</v>
      </c>
      <c r="Y1534" s="20">
        <f t="shared" si="85"/>
        <v>-0.41837309594917738</v>
      </c>
    </row>
    <row r="1535" spans="22:25" x14ac:dyDescent="0.2">
      <c r="V1535" s="18">
        <v>1.5329999999999999</v>
      </c>
      <c r="W1535" s="20">
        <f t="shared" si="83"/>
        <v>0.26624574720920546</v>
      </c>
      <c r="X1535" s="20">
        <f t="shared" si="84"/>
        <v>0.28918771837711915</v>
      </c>
      <c r="Y1535" s="20">
        <f t="shared" si="85"/>
        <v>-0.42763914184067975</v>
      </c>
    </row>
    <row r="1536" spans="22:25" x14ac:dyDescent="0.2">
      <c r="V1536" s="18">
        <v>1.534</v>
      </c>
      <c r="W1536" s="20">
        <f t="shared" si="83"/>
        <v>0.26653471955755909</v>
      </c>
      <c r="X1536" s="20">
        <f t="shared" si="84"/>
        <v>0.28875542584006791</v>
      </c>
      <c r="Y1536" s="20">
        <f t="shared" si="85"/>
        <v>-0.43695409451331901</v>
      </c>
    </row>
    <row r="1537" spans="22:25" x14ac:dyDescent="0.2">
      <c r="V1537" s="18">
        <v>1.5349999999999999</v>
      </c>
      <c r="W1537" s="20">
        <f t="shared" si="83"/>
        <v>0.26682325494773163</v>
      </c>
      <c r="X1537" s="20">
        <f t="shared" si="84"/>
        <v>0.28831379384132388</v>
      </c>
      <c r="Y1537" s="20">
        <f t="shared" si="85"/>
        <v>-0.44631808750456603</v>
      </c>
    </row>
    <row r="1538" spans="22:25" x14ac:dyDescent="0.2">
      <c r="V1538" s="18">
        <v>1.536</v>
      </c>
      <c r="W1538" s="20">
        <f t="shared" si="83"/>
        <v>0.2671113440157209</v>
      </c>
      <c r="X1538" s="20">
        <f t="shared" si="84"/>
        <v>0.2878627732737214</v>
      </c>
      <c r="Y1538" s="20">
        <f t="shared" si="85"/>
        <v>-0.45573125451292729</v>
      </c>
    </row>
    <row r="1539" spans="22:25" x14ac:dyDescent="0.2">
      <c r="V1539" s="18">
        <v>1.5369999999999999</v>
      </c>
      <c r="W1539" s="20">
        <f t="shared" ref="W1539:W1568" si="86" xml:space="preserve"> -0.223567093536985*V1539^6 + 0.944228289125022*V1539^5 - 1.39425331473467*V1539^4 + 0.919786041369661*V1539^3 - 0.280641903613287*V1539^2 + 0.0398143416441599*V1539 + 0.158710616051081</f>
        <v>0.26739897734834428</v>
      </c>
      <c r="X1539" s="20">
        <f t="shared" ref="X1539:X1568" si="87" xml:space="preserve"> 6*-0.223567093536985*V1539^5 + 5*0.944228289125022*V1539^4 - 4*1.39425331473467*V1539^3 + 3*0.919786041369661*V1539^2 - 2*0.280641903613287*V1539^1 + 0.0398143416441599</f>
        <v>0.28740231489633644</v>
      </c>
      <c r="Y1539" s="20">
        <f t="shared" ref="Y1539:Y1568" si="88" xml:space="preserve"> 5*6*-0.223567093536985*V1539^4 + 4*5*0.944228289125022*V1539^3 - 3*4*1.39425331473467*V1539^2 + 2*3*0.919786041369661*V1539^1 - 2*0.280641903613287</f>
        <v>-0.46519372939782055</v>
      </c>
    </row>
    <row r="1540" spans="22:25" x14ac:dyDescent="0.2">
      <c r="V1540" s="18">
        <v>1.538</v>
      </c>
      <c r="W1540" s="20">
        <f t="shared" si="86"/>
        <v>0.26768614548311936</v>
      </c>
      <c r="X1540" s="20">
        <f t="shared" si="87"/>
        <v>0.28693236933429306</v>
      </c>
      <c r="Y1540" s="20">
        <f t="shared" si="88"/>
        <v>-0.47470564617966726</v>
      </c>
    </row>
    <row r="1541" spans="22:25" x14ac:dyDescent="0.2">
      <c r="V1541" s="18">
        <v>1.5389999999999999</v>
      </c>
      <c r="W1541" s="20">
        <f t="shared" si="86"/>
        <v>0.26797283890811718</v>
      </c>
      <c r="X1541" s="20">
        <f t="shared" si="87"/>
        <v>0.28645288707862032</v>
      </c>
      <c r="Y1541" s="20">
        <f t="shared" si="88"/>
        <v>-0.48426713903984631</v>
      </c>
    </row>
    <row r="1542" spans="22:25" x14ac:dyDescent="0.2">
      <c r="V1542" s="18">
        <v>1.54</v>
      </c>
      <c r="W1542" s="20">
        <f t="shared" si="86"/>
        <v>0.26825904806183332</v>
      </c>
      <c r="X1542" s="20">
        <f t="shared" si="87"/>
        <v>0.2859638184860756</v>
      </c>
      <c r="Y1542" s="20">
        <f t="shared" si="88"/>
        <v>-0.49387834232069405</v>
      </c>
    </row>
    <row r="1543" spans="22:25" x14ac:dyDescent="0.2">
      <c r="V1543" s="18">
        <v>1.5409999999999999</v>
      </c>
      <c r="W1543" s="20">
        <f t="shared" si="86"/>
        <v>0.26854476333305216</v>
      </c>
      <c r="X1543" s="20">
        <f t="shared" si="87"/>
        <v>0.28546511377900879</v>
      </c>
      <c r="Y1543" s="20">
        <f t="shared" si="88"/>
        <v>-0.50353939052553631</v>
      </c>
    </row>
    <row r="1544" spans="22:25" x14ac:dyDescent="0.2">
      <c r="V1544" s="18">
        <v>1.542</v>
      </c>
      <c r="W1544" s="20">
        <f t="shared" si="86"/>
        <v>0.26882997506071804</v>
      </c>
      <c r="X1544" s="20">
        <f t="shared" si="87"/>
        <v>0.28495672304516201</v>
      </c>
      <c r="Y1544" s="20">
        <f t="shared" si="88"/>
        <v>-0.51325041831865281</v>
      </c>
    </row>
    <row r="1545" spans="22:25" x14ac:dyDescent="0.2">
      <c r="V1545" s="18">
        <v>1.5429999999999999</v>
      </c>
      <c r="W1545" s="20">
        <f t="shared" si="86"/>
        <v>0.26911467353378493</v>
      </c>
      <c r="X1545" s="20">
        <f t="shared" si="87"/>
        <v>0.28443859623756634</v>
      </c>
      <c r="Y1545" s="20">
        <f t="shared" si="88"/>
        <v>-0.52301156052528075</v>
      </c>
    </row>
    <row r="1546" spans="22:25" x14ac:dyDescent="0.2">
      <c r="V1546" s="18">
        <v>1.544</v>
      </c>
      <c r="W1546" s="20">
        <f t="shared" si="86"/>
        <v>0.26939884899110866</v>
      </c>
      <c r="X1546" s="20">
        <f t="shared" si="87"/>
        <v>0.28391068317431406</v>
      </c>
      <c r="Y1546" s="20">
        <f t="shared" si="88"/>
        <v>-0.53282295213167163</v>
      </c>
    </row>
    <row r="1547" spans="22:25" x14ac:dyDescent="0.2">
      <c r="V1547" s="18">
        <v>1.5449999999999999</v>
      </c>
      <c r="W1547" s="20">
        <f t="shared" si="86"/>
        <v>0.2696824916212785</v>
      </c>
      <c r="X1547" s="20">
        <f t="shared" si="87"/>
        <v>0.28337293353845389</v>
      </c>
      <c r="Y1547" s="20">
        <f t="shared" si="88"/>
        <v>-0.54268472828497405</v>
      </c>
    </row>
    <row r="1548" spans="22:25" x14ac:dyDescent="0.2">
      <c r="V1548" s="18">
        <v>1.546</v>
      </c>
      <c r="W1548" s="20">
        <f t="shared" si="86"/>
        <v>0.26996559156251254</v>
      </c>
      <c r="X1548" s="20">
        <f t="shared" si="87"/>
        <v>0.28282529687779473</v>
      </c>
      <c r="Y1548" s="20">
        <f t="shared" si="88"/>
        <v>-0.55259702429335444</v>
      </c>
    </row>
    <row r="1549" spans="22:25" x14ac:dyDescent="0.2">
      <c r="V1549" s="18">
        <v>1.5469999999999999</v>
      </c>
      <c r="W1549" s="20">
        <f t="shared" si="86"/>
        <v>0.27024813890249966</v>
      </c>
      <c r="X1549" s="20">
        <f t="shared" si="87"/>
        <v>0.28226772260476357</v>
      </c>
      <c r="Y1549" s="20">
        <f t="shared" si="88"/>
        <v>-0.56255997562595805</v>
      </c>
    </row>
    <row r="1550" spans="22:25" x14ac:dyDescent="0.2">
      <c r="V1550" s="18">
        <v>1.548</v>
      </c>
      <c r="W1550" s="20">
        <f t="shared" si="86"/>
        <v>0.27053012367827706</v>
      </c>
      <c r="X1550" s="20">
        <f t="shared" si="87"/>
        <v>0.28170015999622872</v>
      </c>
      <c r="Y1550" s="20">
        <f t="shared" si="88"/>
        <v>-0.57257371791287337</v>
      </c>
    </row>
    <row r="1551" spans="22:25" x14ac:dyDescent="0.2">
      <c r="V1551" s="18">
        <v>1.5489999999999999</v>
      </c>
      <c r="W1551" s="20">
        <f t="shared" si="86"/>
        <v>0.27081153587609696</v>
      </c>
      <c r="X1551" s="20">
        <f t="shared" si="87"/>
        <v>0.28112255819335336</v>
      </c>
      <c r="Y1551" s="20">
        <f t="shared" si="88"/>
        <v>-0.5826383869451357</v>
      </c>
    </row>
    <row r="1552" spans="22:25" x14ac:dyDescent="0.2">
      <c r="V1552" s="18">
        <v>1.55</v>
      </c>
      <c r="W1552" s="20">
        <f t="shared" si="86"/>
        <v>0.27109236543126836</v>
      </c>
      <c r="X1552" s="20">
        <f t="shared" si="87"/>
        <v>0.28053486620144236</v>
      </c>
      <c r="Y1552" s="20">
        <f t="shared" si="88"/>
        <v>-0.59275411867480532</v>
      </c>
    </row>
    <row r="1553" spans="22:25" x14ac:dyDescent="0.2">
      <c r="V1553" s="18">
        <v>1.5509999999999999</v>
      </c>
      <c r="W1553" s="20">
        <f t="shared" si="86"/>
        <v>0.27137260222805826</v>
      </c>
      <c r="X1553" s="20">
        <f t="shared" si="87"/>
        <v>0.27993703288974131</v>
      </c>
      <c r="Y1553" s="20">
        <f t="shared" si="88"/>
        <v>-0.60292104921486445</v>
      </c>
    </row>
    <row r="1554" spans="22:25" x14ac:dyDescent="0.2">
      <c r="V1554" s="18">
        <v>1.552</v>
      </c>
      <c r="W1554" s="20">
        <f t="shared" si="86"/>
        <v>0.27165223609952088</v>
      </c>
      <c r="X1554" s="20">
        <f t="shared" si="87"/>
        <v>0.27932900699131352</v>
      </c>
      <c r="Y1554" s="20">
        <f t="shared" si="88"/>
        <v>-0.61313931483925987</v>
      </c>
    </row>
    <row r="1555" spans="22:25" x14ac:dyDescent="0.2">
      <c r="V1555" s="18">
        <v>1.5529999999999999</v>
      </c>
      <c r="W1555" s="20">
        <f t="shared" si="86"/>
        <v>0.27193125682737984</v>
      </c>
      <c r="X1555" s="20">
        <f t="shared" si="87"/>
        <v>0.27871073710288913</v>
      </c>
      <c r="Y1555" s="20">
        <f t="shared" si="88"/>
        <v>-0.62340905198296337</v>
      </c>
    </row>
    <row r="1556" spans="22:25" x14ac:dyDescent="0.2">
      <c r="V1556" s="18">
        <v>1.554</v>
      </c>
      <c r="W1556" s="20">
        <f t="shared" si="86"/>
        <v>0.27220965414188725</v>
      </c>
      <c r="X1556" s="20">
        <f t="shared" si="87"/>
        <v>0.27808217168464838</v>
      </c>
      <c r="Y1556" s="20">
        <f t="shared" si="88"/>
        <v>-0.63373039724186508</v>
      </c>
    </row>
    <row r="1557" spans="22:25" x14ac:dyDescent="0.2">
      <c r="V1557" s="18">
        <v>1.5549999999999999</v>
      </c>
      <c r="W1557" s="20">
        <f t="shared" si="86"/>
        <v>0.27248741772168344</v>
      </c>
      <c r="X1557" s="20">
        <f t="shared" si="87"/>
        <v>0.27744325906011241</v>
      </c>
      <c r="Y1557" s="20">
        <f t="shared" si="88"/>
        <v>-0.64410348737281975</v>
      </c>
    </row>
    <row r="1558" spans="22:25" x14ac:dyDescent="0.2">
      <c r="V1558" s="18">
        <v>1.556</v>
      </c>
      <c r="W1558" s="20">
        <f t="shared" si="86"/>
        <v>0.27276453719366567</v>
      </c>
      <c r="X1558" s="20">
        <f t="shared" si="87"/>
        <v>0.27679394741597713</v>
      </c>
      <c r="Y1558" s="20">
        <f t="shared" si="88"/>
        <v>-0.6545284592936822</v>
      </c>
    </row>
    <row r="1559" spans="22:25" x14ac:dyDescent="0.2">
      <c r="V1559" s="18">
        <v>1.5569999999999999</v>
      </c>
      <c r="W1559" s="20">
        <f t="shared" si="86"/>
        <v>0.27304100213285909</v>
      </c>
      <c r="X1559" s="20">
        <f t="shared" si="87"/>
        <v>0.27613418480190538</v>
      </c>
      <c r="Y1559" s="20">
        <f t="shared" si="88"/>
        <v>-0.66500545008324696</v>
      </c>
    </row>
    <row r="1560" spans="22:25" x14ac:dyDescent="0.2">
      <c r="V1560" s="18">
        <v>1.5580000000000001</v>
      </c>
      <c r="W1560" s="20">
        <f t="shared" si="86"/>
        <v>0.27331680206225362</v>
      </c>
      <c r="X1560" s="20">
        <f t="shared" si="87"/>
        <v>0.27546391913044171</v>
      </c>
      <c r="Y1560" s="20">
        <f t="shared" si="88"/>
        <v>-0.67553459698131224</v>
      </c>
    </row>
    <row r="1561" spans="22:25" x14ac:dyDescent="0.2">
      <c r="V1561" s="18">
        <v>1.5589999999999999</v>
      </c>
      <c r="W1561" s="20">
        <f t="shared" si="86"/>
        <v>0.2735919264526932</v>
      </c>
      <c r="X1561" s="20">
        <f t="shared" si="87"/>
        <v>0.27478309817677532</v>
      </c>
      <c r="Y1561" s="20">
        <f t="shared" si="88"/>
        <v>-0.68611603738859106</v>
      </c>
    </row>
    <row r="1562" spans="22:25" x14ac:dyDescent="0.2">
      <c r="V1562" s="18">
        <v>1.56</v>
      </c>
      <c r="W1562" s="20">
        <f t="shared" si="86"/>
        <v>0.27386636472272741</v>
      </c>
      <c r="X1562" s="20">
        <f t="shared" si="87"/>
        <v>0.27409166957864101</v>
      </c>
      <c r="Y1562" s="20">
        <f t="shared" si="88"/>
        <v>-0.69674990886683208</v>
      </c>
    </row>
    <row r="1563" spans="22:25" x14ac:dyDescent="0.2">
      <c r="V1563" s="18">
        <v>1.5609999999999999</v>
      </c>
      <c r="W1563" s="20">
        <f t="shared" si="86"/>
        <v>0.27414010623847263</v>
      </c>
      <c r="X1563" s="20">
        <f t="shared" si="87"/>
        <v>0.27338958083611292</v>
      </c>
      <c r="Y1563" s="20">
        <f t="shared" si="88"/>
        <v>-0.70743634913867393</v>
      </c>
    </row>
    <row r="1564" spans="22:25" x14ac:dyDescent="0.2">
      <c r="V1564" s="18">
        <v>1.5620000000000001</v>
      </c>
      <c r="W1564" s="20">
        <f t="shared" si="86"/>
        <v>0.27441314031347536</v>
      </c>
      <c r="X1564" s="20">
        <f t="shared" si="87"/>
        <v>0.27267677931147177</v>
      </c>
      <c r="Y1564" s="20">
        <f t="shared" si="88"/>
        <v>-0.71817549608780151</v>
      </c>
    </row>
    <row r="1565" spans="22:25" x14ac:dyDescent="0.2">
      <c r="V1565" s="18">
        <v>1.5629999999999999</v>
      </c>
      <c r="W1565" s="20">
        <f t="shared" si="86"/>
        <v>0.27468545620857726</v>
      </c>
      <c r="X1565" s="20">
        <f t="shared" si="87"/>
        <v>0.2719532122290344</v>
      </c>
      <c r="Y1565" s="20">
        <f t="shared" si="88"/>
        <v>-0.72896748775880749</v>
      </c>
    </row>
    <row r="1566" spans="22:25" x14ac:dyDescent="0.2">
      <c r="V1566" s="18">
        <v>1.5640000000000001</v>
      </c>
      <c r="W1566" s="20">
        <f t="shared" si="86"/>
        <v>0.27495704313177549</v>
      </c>
      <c r="X1566" s="20">
        <f t="shared" si="87"/>
        <v>0.27121882667497615</v>
      </c>
      <c r="Y1566" s="20">
        <f t="shared" si="88"/>
        <v>-0.73981246235729881</v>
      </c>
    </row>
    <row r="1567" spans="22:25" x14ac:dyDescent="0.2">
      <c r="V1567" s="18">
        <v>1.5649999999999999</v>
      </c>
      <c r="W1567" s="20">
        <f t="shared" si="86"/>
        <v>0.27522789023808625</v>
      </c>
      <c r="X1567" s="20">
        <f t="shared" si="87"/>
        <v>0.27047356959721808</v>
      </c>
      <c r="Y1567" s="20">
        <f t="shared" si="88"/>
        <v>-0.75071055824980082</v>
      </c>
    </row>
    <row r="1568" spans="22:25" x14ac:dyDescent="0.2">
      <c r="V1568" s="18">
        <v>1.5660000000000001</v>
      </c>
      <c r="W1568" s="20">
        <f t="shared" si="86"/>
        <v>0.27549798662940211</v>
      </c>
      <c r="X1568" s="20">
        <f t="shared" si="87"/>
        <v>0.26971738780520754</v>
      </c>
      <c r="Y1568" s="20">
        <f t="shared" si="88"/>
        <v>-0.76166191396387095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6</v>
      </c>
      <c r="E3" s="25" t="s">
        <v>3</v>
      </c>
      <c r="F3" s="26"/>
    </row>
    <row r="4" spans="2:13" ht="12.75" customHeight="1" x14ac:dyDescent="0.2">
      <c r="B4" s="1" t="s">
        <v>1</v>
      </c>
      <c r="C4" s="3">
        <v>115200</v>
      </c>
      <c r="E4" s="27"/>
      <c r="F4" s="28"/>
    </row>
    <row r="5" spans="2:13" ht="12.75" customHeight="1" x14ac:dyDescent="0.2">
      <c r="B5" s="1" t="s">
        <v>2</v>
      </c>
      <c r="C5" s="2" t="b">
        <v>1</v>
      </c>
      <c r="E5" s="27"/>
      <c r="F5" s="28"/>
    </row>
    <row r="6" spans="2:13" ht="12.75" customHeight="1" x14ac:dyDescent="0.2">
      <c r="B6" s="1" t="s">
        <v>6</v>
      </c>
      <c r="C6" s="2" t="b">
        <v>1</v>
      </c>
      <c r="E6" s="27"/>
      <c r="F6" s="28"/>
    </row>
    <row r="7" spans="2:13" ht="12.75" customHeight="1" x14ac:dyDescent="0.2">
      <c r="B7" s="1" t="s">
        <v>7</v>
      </c>
      <c r="C7" s="2" t="b">
        <v>1</v>
      </c>
      <c r="E7" s="27"/>
      <c r="F7" s="28"/>
      <c r="M7" s="1"/>
    </row>
    <row r="8" spans="2:13" ht="12.75" customHeight="1" x14ac:dyDescent="0.2">
      <c r="B8" s="1" t="s">
        <v>8</v>
      </c>
      <c r="C8" s="2" t="b">
        <v>0</v>
      </c>
      <c r="E8" s="27"/>
      <c r="F8" s="28"/>
      <c r="L8" s="1"/>
      <c r="M8" s="1"/>
    </row>
    <row r="9" spans="2:13" ht="12.75" customHeight="1" x14ac:dyDescent="0.2">
      <c r="B9" s="1" t="s">
        <v>4</v>
      </c>
      <c r="C9" s="3" t="s">
        <v>5</v>
      </c>
      <c r="E9" s="27"/>
      <c r="F9" s="28"/>
      <c r="M9" s="1"/>
    </row>
    <row r="10" spans="2:13" ht="13.5" customHeight="1" x14ac:dyDescent="0.2">
      <c r="B10" s="1" t="s">
        <v>10</v>
      </c>
      <c r="C10" s="2" t="b">
        <v>1</v>
      </c>
      <c r="E10" s="27"/>
      <c r="F10" s="28"/>
    </row>
    <row r="11" spans="2:13" ht="13.5" customHeight="1" x14ac:dyDescent="0.2">
      <c r="B11" s="1" t="s">
        <v>9</v>
      </c>
      <c r="C11" s="2" t="b">
        <v>1</v>
      </c>
      <c r="E11" s="27"/>
      <c r="F11" s="28"/>
    </row>
    <row r="12" spans="2:13" ht="12.75" customHeight="1" x14ac:dyDescent="0.2">
      <c r="B12" s="1" t="s">
        <v>11</v>
      </c>
      <c r="C12" s="2" t="b">
        <v>1</v>
      </c>
      <c r="E12" s="27"/>
      <c r="F12" s="28"/>
    </row>
    <row r="13" spans="2:13" ht="12.75" customHeight="1" x14ac:dyDescent="0.2">
      <c r="B13" s="1" t="s">
        <v>12</v>
      </c>
      <c r="C13" s="2" t="b">
        <v>1</v>
      </c>
      <c r="E13" s="27"/>
      <c r="F13" s="28"/>
    </row>
    <row r="14" spans="2:13" ht="13.5" customHeight="1" x14ac:dyDescent="0.2">
      <c r="B14" s="1" t="s">
        <v>13</v>
      </c>
      <c r="C14" s="2">
        <v>529.25</v>
      </c>
      <c r="E14" s="27"/>
      <c r="F14" s="28"/>
    </row>
    <row r="15" spans="2:13" x14ac:dyDescent="0.2">
      <c r="B15" s="1" t="s">
        <v>14</v>
      </c>
      <c r="C15" s="3">
        <v>1024</v>
      </c>
      <c r="E15" s="27"/>
      <c r="F15" s="28"/>
    </row>
    <row r="16" spans="2:13" x14ac:dyDescent="0.2">
      <c r="B16" s="1" t="s">
        <v>15</v>
      </c>
      <c r="C16" s="3">
        <v>1024</v>
      </c>
      <c r="E16" s="27"/>
      <c r="F16" s="28"/>
    </row>
    <row r="17" spans="2:6" x14ac:dyDescent="0.2">
      <c r="B17" s="1" t="s">
        <v>16</v>
      </c>
      <c r="C17" s="3">
        <v>1024</v>
      </c>
      <c r="E17" s="27"/>
      <c r="F17" s="28"/>
    </row>
    <row r="18" spans="2:6" ht="13.5" thickBot="1" x14ac:dyDescent="0.25">
      <c r="B18" s="1" t="s">
        <v>17</v>
      </c>
      <c r="C18" s="3">
        <v>64</v>
      </c>
      <c r="E18" s="29"/>
      <c r="F18" s="30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2024-11-20T23:30:01Z</dcterms:modified>
</cp:coreProperties>
</file>