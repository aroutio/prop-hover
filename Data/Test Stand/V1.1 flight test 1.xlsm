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minimized="1" xWindow="0" yWindow="0" windowWidth="16515" windowHeight="96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Data'!$A$1:$I$3455</definedName>
  </definedNames>
  <calcPr calcId="152511"/>
</workbook>
</file>

<file path=xl/calcChain.xml><?xml version="1.0" encoding="utf-8"?>
<calcChain xmlns="http://schemas.openxmlformats.org/spreadsheetml/2006/main">
  <c r="Z35" i="1" l="1"/>
  <c r="AA35" i="1" s="1"/>
  <c r="Y35" i="1"/>
  <c r="R10" i="1" l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9" i="1"/>
  <c r="X35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9" i="1"/>
  <c r="P6" i="1"/>
  <c r="V35" i="1"/>
  <c r="U35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9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2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3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34" i="1"/>
  <c r="H35" i="1"/>
  <c r="H36" i="1"/>
  <c r="H37" i="1"/>
  <c r="H38" i="1"/>
  <c r="H39" i="1"/>
  <c r="H40" i="1"/>
  <c r="H41" i="1"/>
  <c r="H42" i="1"/>
  <c r="H43" i="1"/>
  <c r="H44" i="1"/>
  <c r="H33" i="1"/>
  <c r="I30" i="1"/>
  <c r="I29" i="1"/>
  <c r="R6" i="1" l="1"/>
  <c r="Q6" i="1"/>
  <c r="W35" i="1"/>
</calcChain>
</file>

<file path=xl/sharedStrings.xml><?xml version="1.0" encoding="utf-8"?>
<sst xmlns="http://schemas.openxmlformats.org/spreadsheetml/2006/main" count="40" uniqueCount="37">
  <si>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</si>
  <si>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</si>
  <si>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</si>
  <si>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</si>
  <si>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</si>
  <si>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</si>
  <si>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</si>
  <si>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</si>
  <si>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</si>
  <si>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</si>
  <si>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</si>
  <si>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</si>
  <si>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</si>
  <si>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</si>
  <si>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</si>
  <si>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</si>
  <si>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</si>
  <si>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</si>
  <si>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</si>
  <si>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</si>
  <si>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</si>
  <si>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Distance [mm]</t>
  </si>
  <si>
    <t>Throttle [%]</t>
  </si>
  <si>
    <t>Climb Time</t>
  </si>
  <si>
    <t>Spin-up Time</t>
  </si>
  <si>
    <t>Distance</t>
  </si>
  <si>
    <t>Distance [m]</t>
  </si>
  <si>
    <t>Avg Velocity [m/s]</t>
  </si>
  <si>
    <t>Avg Acceleration [m/s^2]</t>
  </si>
  <si>
    <t>Avg Force [N]</t>
  </si>
  <si>
    <t>Avg T/W</t>
  </si>
  <si>
    <t>Avg Force [kg]</t>
  </si>
  <si>
    <t>Vehicle Weight [kg]</t>
  </si>
  <si>
    <t>Gravity [m/s^2]</t>
  </si>
  <si>
    <t>Newton to kg Conversion</t>
  </si>
  <si>
    <t>Velocity</t>
  </si>
  <si>
    <t>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</si>
</sst>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00"/>
    <numFmt numFmtId="166" formatCode="0.0000000"/>
    <numFmt numFmtId="167" formatCode="0.00000000"/>
    <numFmt numFmtId="168" formatCode="0.000000000"/>
    <numFmt numFmtId="169" formatCode="0.00000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2" borderId="0" xfId="0" applyNumberForma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9" fontId="2" fillId="0" borderId="0" xfId="0" applyNumberFormat="1" applyFont="1"/>
    <xf numFmtId="167" fontId="2" fillId="0" borderId="0" xfId="0" applyNumberFormat="1" applyFont="1"/>
    <xf numFmtId="49" fontId="2" fillId="0" borderId="0" xfId="0" applyNumberFormat="1" applyFon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6.8376080647164356E-2"/>
                  <c:y val="-0.11165951713662911"/>
                </c:manualLayout>
              </c:layout>
              <c:numFmt formatCode="0.0000000000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Data'!$C$21:$C$96</c:f>
              <c:numCache>
                <c:formatCode>General</c:formatCode>
                <c:ptCount val="76"/>
                <c:pt idx="0">
                  <c:v>31007</c:v>
                </c:pt>
                <c:pt idx="1">
                  <c:v>31016</c:v>
                </c:pt>
                <c:pt idx="2">
                  <c:v>31046</c:v>
                </c:pt>
                <c:pt idx="3">
                  <c:v>31047</c:v>
                </c:pt>
                <c:pt idx="4">
                  <c:v>31076</c:v>
                </c:pt>
                <c:pt idx="5">
                  <c:v>31077</c:v>
                </c:pt>
                <c:pt idx="6">
                  <c:v>31106</c:v>
                </c:pt>
                <c:pt idx="7">
                  <c:v>31107</c:v>
                </c:pt>
                <c:pt idx="8">
                  <c:v>31116</c:v>
                </c:pt>
                <c:pt idx="9">
                  <c:v>31146</c:v>
                </c:pt>
                <c:pt idx="10">
                  <c:v>31147</c:v>
                </c:pt>
                <c:pt idx="11">
                  <c:v>31176</c:v>
                </c:pt>
                <c:pt idx="12">
                  <c:v>31177</c:v>
                </c:pt>
                <c:pt idx="13">
                  <c:v>31206</c:v>
                </c:pt>
                <c:pt idx="14">
                  <c:v>31207</c:v>
                </c:pt>
                <c:pt idx="15">
                  <c:v>31216</c:v>
                </c:pt>
                <c:pt idx="16">
                  <c:v>31246</c:v>
                </c:pt>
                <c:pt idx="17">
                  <c:v>31247</c:v>
                </c:pt>
                <c:pt idx="18">
                  <c:v>31276</c:v>
                </c:pt>
                <c:pt idx="19">
                  <c:v>31277</c:v>
                </c:pt>
                <c:pt idx="20">
                  <c:v>31306</c:v>
                </c:pt>
                <c:pt idx="21">
                  <c:v>31307</c:v>
                </c:pt>
                <c:pt idx="22">
                  <c:v>31316</c:v>
                </c:pt>
                <c:pt idx="23">
                  <c:v>31346</c:v>
                </c:pt>
                <c:pt idx="24">
                  <c:v>31347</c:v>
                </c:pt>
                <c:pt idx="25">
                  <c:v>31376</c:v>
                </c:pt>
                <c:pt idx="26">
                  <c:v>31377</c:v>
                </c:pt>
                <c:pt idx="27">
                  <c:v>32276</c:v>
                </c:pt>
                <c:pt idx="28">
                  <c:v>32277</c:v>
                </c:pt>
                <c:pt idx="29">
                  <c:v>32307</c:v>
                </c:pt>
                <c:pt idx="30">
                  <c:v>32308</c:v>
                </c:pt>
                <c:pt idx="31">
                  <c:v>32337</c:v>
                </c:pt>
                <c:pt idx="32">
                  <c:v>32338</c:v>
                </c:pt>
                <c:pt idx="33">
                  <c:v>32368</c:v>
                </c:pt>
                <c:pt idx="34">
                  <c:v>32369</c:v>
                </c:pt>
                <c:pt idx="35">
                  <c:v>32378</c:v>
                </c:pt>
                <c:pt idx="36">
                  <c:v>32408</c:v>
                </c:pt>
                <c:pt idx="37">
                  <c:v>32409</c:v>
                </c:pt>
                <c:pt idx="38">
                  <c:v>32439</c:v>
                </c:pt>
                <c:pt idx="39">
                  <c:v>32440</c:v>
                </c:pt>
                <c:pt idx="40">
                  <c:v>32469</c:v>
                </c:pt>
                <c:pt idx="41">
                  <c:v>32470</c:v>
                </c:pt>
                <c:pt idx="42">
                  <c:v>32479</c:v>
                </c:pt>
                <c:pt idx="43">
                  <c:v>32509</c:v>
                </c:pt>
                <c:pt idx="44">
                  <c:v>32510</c:v>
                </c:pt>
                <c:pt idx="45">
                  <c:v>32539</c:v>
                </c:pt>
                <c:pt idx="46">
                  <c:v>32540</c:v>
                </c:pt>
                <c:pt idx="47">
                  <c:v>32570</c:v>
                </c:pt>
                <c:pt idx="48">
                  <c:v>32571</c:v>
                </c:pt>
                <c:pt idx="49">
                  <c:v>32600</c:v>
                </c:pt>
                <c:pt idx="50">
                  <c:v>32601</c:v>
                </c:pt>
                <c:pt idx="51">
                  <c:v>32611</c:v>
                </c:pt>
                <c:pt idx="52">
                  <c:v>32641</c:v>
                </c:pt>
                <c:pt idx="53">
                  <c:v>32642</c:v>
                </c:pt>
                <c:pt idx="54">
                  <c:v>32671</c:v>
                </c:pt>
                <c:pt idx="55">
                  <c:v>32672</c:v>
                </c:pt>
                <c:pt idx="56">
                  <c:v>32701</c:v>
                </c:pt>
                <c:pt idx="57">
                  <c:v>32702</c:v>
                </c:pt>
                <c:pt idx="58">
                  <c:v>32711</c:v>
                </c:pt>
                <c:pt idx="59">
                  <c:v>32741</c:v>
                </c:pt>
                <c:pt idx="60">
                  <c:v>32742</c:v>
                </c:pt>
                <c:pt idx="61">
                  <c:v>32771</c:v>
                </c:pt>
                <c:pt idx="62">
                  <c:v>32772</c:v>
                </c:pt>
                <c:pt idx="63">
                  <c:v>32801</c:v>
                </c:pt>
                <c:pt idx="64">
                  <c:v>32802</c:v>
                </c:pt>
                <c:pt idx="65">
                  <c:v>32831</c:v>
                </c:pt>
                <c:pt idx="66">
                  <c:v>32832</c:v>
                </c:pt>
                <c:pt idx="67">
                  <c:v>32841</c:v>
                </c:pt>
                <c:pt idx="68">
                  <c:v>32871</c:v>
                </c:pt>
                <c:pt idx="69">
                  <c:v>32872</c:v>
                </c:pt>
                <c:pt idx="70">
                  <c:v>32901</c:v>
                </c:pt>
                <c:pt idx="71">
                  <c:v>32902</c:v>
                </c:pt>
                <c:pt idx="72">
                  <c:v>32931</c:v>
                </c:pt>
                <c:pt idx="73">
                  <c:v>32932</c:v>
                </c:pt>
                <c:pt idx="74">
                  <c:v>32941</c:v>
                </c:pt>
                <c:pt idx="75">
                  <c:v>32971</c:v>
                </c:pt>
              </c:numCache>
            </c:numRef>
          </c:xVal>
          <c:yVal>
            <c:numRef>
              <c:f>'Simple Data'!$E$21:$E$96</c:f>
              <c:numCache>
                <c:formatCode>General</c:formatCode>
                <c:ptCount val="76"/>
                <c:pt idx="0">
                  <c:v>0.16200000000000001</c:v>
                </c:pt>
                <c:pt idx="1">
                  <c:v>0.16200000000000001</c:v>
                </c:pt>
                <c:pt idx="2">
                  <c:v>0.16300000000000001</c:v>
                </c:pt>
                <c:pt idx="3">
                  <c:v>0.16300000000000001</c:v>
                </c:pt>
                <c:pt idx="4">
                  <c:v>0.16200000000000001</c:v>
                </c:pt>
                <c:pt idx="5">
                  <c:v>0.16200000000000001</c:v>
                </c:pt>
                <c:pt idx="6">
                  <c:v>0.16400000000000001</c:v>
                </c:pt>
                <c:pt idx="7">
                  <c:v>0.16400000000000001</c:v>
                </c:pt>
                <c:pt idx="8">
                  <c:v>0.16400000000000001</c:v>
                </c:pt>
                <c:pt idx="9">
                  <c:v>0.16400000000000001</c:v>
                </c:pt>
                <c:pt idx="10">
                  <c:v>0.16400000000000001</c:v>
                </c:pt>
                <c:pt idx="11">
                  <c:v>0.16700000000000001</c:v>
                </c:pt>
                <c:pt idx="12">
                  <c:v>0.16700000000000001</c:v>
                </c:pt>
                <c:pt idx="13">
                  <c:v>0.16700000000000001</c:v>
                </c:pt>
                <c:pt idx="14">
                  <c:v>0.16700000000000001</c:v>
                </c:pt>
                <c:pt idx="15">
                  <c:v>0.16700000000000001</c:v>
                </c:pt>
                <c:pt idx="16">
                  <c:v>0.17199999999999999</c:v>
                </c:pt>
                <c:pt idx="17">
                  <c:v>0.17199999999999999</c:v>
                </c:pt>
                <c:pt idx="18">
                  <c:v>0.17399999999999999</c:v>
                </c:pt>
                <c:pt idx="19">
                  <c:v>0.17399999999999999</c:v>
                </c:pt>
                <c:pt idx="20">
                  <c:v>0.18</c:v>
                </c:pt>
                <c:pt idx="21">
                  <c:v>0.18</c:v>
                </c:pt>
                <c:pt idx="22">
                  <c:v>0.18</c:v>
                </c:pt>
                <c:pt idx="23">
                  <c:v>0.183</c:v>
                </c:pt>
                <c:pt idx="24">
                  <c:v>0.183</c:v>
                </c:pt>
                <c:pt idx="25">
                  <c:v>0.19</c:v>
                </c:pt>
                <c:pt idx="26">
                  <c:v>0.19</c:v>
                </c:pt>
                <c:pt idx="27">
                  <c:v>0.443</c:v>
                </c:pt>
                <c:pt idx="28">
                  <c:v>0.443</c:v>
                </c:pt>
                <c:pt idx="29">
                  <c:v>0.45500000000000002</c:v>
                </c:pt>
                <c:pt idx="30">
                  <c:v>0.45500000000000002</c:v>
                </c:pt>
                <c:pt idx="31">
                  <c:v>0.46100000000000002</c:v>
                </c:pt>
                <c:pt idx="32">
                  <c:v>0.46100000000000002</c:v>
                </c:pt>
                <c:pt idx="33">
                  <c:v>0.47299999999999998</c:v>
                </c:pt>
                <c:pt idx="34">
                  <c:v>0.47299999999999998</c:v>
                </c:pt>
                <c:pt idx="35">
                  <c:v>0.47299999999999998</c:v>
                </c:pt>
                <c:pt idx="36">
                  <c:v>0.47899999999999998</c:v>
                </c:pt>
                <c:pt idx="37">
                  <c:v>0.47899999999999998</c:v>
                </c:pt>
                <c:pt idx="38">
                  <c:v>0.49</c:v>
                </c:pt>
                <c:pt idx="39">
                  <c:v>0.49</c:v>
                </c:pt>
                <c:pt idx="40">
                  <c:v>0.495</c:v>
                </c:pt>
                <c:pt idx="41">
                  <c:v>0.495</c:v>
                </c:pt>
                <c:pt idx="42">
                  <c:v>0.495</c:v>
                </c:pt>
                <c:pt idx="43">
                  <c:v>0.504</c:v>
                </c:pt>
                <c:pt idx="44">
                  <c:v>0.504</c:v>
                </c:pt>
                <c:pt idx="45">
                  <c:v>0.51</c:v>
                </c:pt>
                <c:pt idx="46">
                  <c:v>0.51</c:v>
                </c:pt>
                <c:pt idx="47">
                  <c:v>0.51900000000000002</c:v>
                </c:pt>
                <c:pt idx="48">
                  <c:v>0.51900000000000002</c:v>
                </c:pt>
                <c:pt idx="49">
                  <c:v>0.52500000000000002</c:v>
                </c:pt>
                <c:pt idx="50">
                  <c:v>0.52500000000000002</c:v>
                </c:pt>
                <c:pt idx="51">
                  <c:v>0.52500000000000002</c:v>
                </c:pt>
                <c:pt idx="52">
                  <c:v>0.53200000000000003</c:v>
                </c:pt>
                <c:pt idx="53">
                  <c:v>0.53200000000000003</c:v>
                </c:pt>
                <c:pt idx="54">
                  <c:v>0.53700000000000003</c:v>
                </c:pt>
                <c:pt idx="55">
                  <c:v>0.53700000000000003</c:v>
                </c:pt>
                <c:pt idx="56">
                  <c:v>0.54100000000000004</c:v>
                </c:pt>
                <c:pt idx="57">
                  <c:v>0.54100000000000004</c:v>
                </c:pt>
                <c:pt idx="58">
                  <c:v>0.54100000000000004</c:v>
                </c:pt>
                <c:pt idx="59">
                  <c:v>0.54</c:v>
                </c:pt>
                <c:pt idx="60">
                  <c:v>0.54</c:v>
                </c:pt>
                <c:pt idx="61">
                  <c:v>0.54</c:v>
                </c:pt>
                <c:pt idx="62">
                  <c:v>0.54</c:v>
                </c:pt>
                <c:pt idx="63">
                  <c:v>0.53600000000000003</c:v>
                </c:pt>
                <c:pt idx="64">
                  <c:v>0.53600000000000003</c:v>
                </c:pt>
                <c:pt idx="65">
                  <c:v>0.52800000000000002</c:v>
                </c:pt>
                <c:pt idx="66">
                  <c:v>0.52800000000000002</c:v>
                </c:pt>
                <c:pt idx="67">
                  <c:v>0.52800000000000002</c:v>
                </c:pt>
                <c:pt idx="68">
                  <c:v>0.52</c:v>
                </c:pt>
                <c:pt idx="69">
                  <c:v>0.52</c:v>
                </c:pt>
                <c:pt idx="70">
                  <c:v>0.505</c:v>
                </c:pt>
                <c:pt idx="71">
                  <c:v>0.505</c:v>
                </c:pt>
                <c:pt idx="72">
                  <c:v>0.49199999999999999</c:v>
                </c:pt>
                <c:pt idx="73">
                  <c:v>0.49199999999999999</c:v>
                </c:pt>
                <c:pt idx="74">
                  <c:v>0.49199999999999999</c:v>
                </c:pt>
                <c:pt idx="75">
                  <c:v>0.47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756688"/>
        <c:axId val="1795928256"/>
      </c:scatterChart>
      <c:valAx>
        <c:axId val="199175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928256"/>
        <c:crosses val="autoZero"/>
        <c:crossBetween val="midCat"/>
      </c:valAx>
      <c:valAx>
        <c:axId val="17959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75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Data'!$O$9:$O$1973</c:f>
              <c:numCache>
                <c:formatCode>General</c:formatCode>
                <c:ptCount val="1965"/>
                <c:pt idx="0">
                  <c:v>31007</c:v>
                </c:pt>
                <c:pt idx="1">
                  <c:v>31008</c:v>
                </c:pt>
                <c:pt idx="2">
                  <c:v>31009</c:v>
                </c:pt>
                <c:pt idx="3">
                  <c:v>31010</c:v>
                </c:pt>
                <c:pt idx="4">
                  <c:v>31011</c:v>
                </c:pt>
                <c:pt idx="5">
                  <c:v>31012</c:v>
                </c:pt>
                <c:pt idx="6">
                  <c:v>31013</c:v>
                </c:pt>
                <c:pt idx="7">
                  <c:v>31014</c:v>
                </c:pt>
                <c:pt idx="8">
                  <c:v>31015</c:v>
                </c:pt>
                <c:pt idx="9">
                  <c:v>31016</c:v>
                </c:pt>
                <c:pt idx="10">
                  <c:v>31017</c:v>
                </c:pt>
                <c:pt idx="11">
                  <c:v>31018</c:v>
                </c:pt>
                <c:pt idx="12">
                  <c:v>31019</c:v>
                </c:pt>
                <c:pt idx="13">
                  <c:v>31020</c:v>
                </c:pt>
                <c:pt idx="14">
                  <c:v>31021</c:v>
                </c:pt>
                <c:pt idx="15">
                  <c:v>31022</c:v>
                </c:pt>
                <c:pt idx="16">
                  <c:v>31023</c:v>
                </c:pt>
                <c:pt idx="17">
                  <c:v>31024</c:v>
                </c:pt>
                <c:pt idx="18">
                  <c:v>31025</c:v>
                </c:pt>
                <c:pt idx="19">
                  <c:v>31026</c:v>
                </c:pt>
                <c:pt idx="20">
                  <c:v>31027</c:v>
                </c:pt>
                <c:pt idx="21">
                  <c:v>31028</c:v>
                </c:pt>
                <c:pt idx="22">
                  <c:v>31029</c:v>
                </c:pt>
                <c:pt idx="23">
                  <c:v>31030</c:v>
                </c:pt>
                <c:pt idx="24">
                  <c:v>31031</c:v>
                </c:pt>
                <c:pt idx="25">
                  <c:v>31032</c:v>
                </c:pt>
                <c:pt idx="26">
                  <c:v>31033</c:v>
                </c:pt>
                <c:pt idx="27">
                  <c:v>31034</c:v>
                </c:pt>
                <c:pt idx="28">
                  <c:v>31035</c:v>
                </c:pt>
                <c:pt idx="29">
                  <c:v>31036</c:v>
                </c:pt>
                <c:pt idx="30">
                  <c:v>31037</c:v>
                </c:pt>
                <c:pt idx="31">
                  <c:v>31038</c:v>
                </c:pt>
                <c:pt idx="32">
                  <c:v>31039</c:v>
                </c:pt>
                <c:pt idx="33">
                  <c:v>31040</c:v>
                </c:pt>
                <c:pt idx="34">
                  <c:v>31041</c:v>
                </c:pt>
                <c:pt idx="35">
                  <c:v>31042</c:v>
                </c:pt>
                <c:pt idx="36">
                  <c:v>31043</c:v>
                </c:pt>
                <c:pt idx="37">
                  <c:v>31044</c:v>
                </c:pt>
                <c:pt idx="38">
                  <c:v>31045</c:v>
                </c:pt>
                <c:pt idx="39">
                  <c:v>31046</c:v>
                </c:pt>
                <c:pt idx="40">
                  <c:v>31047</c:v>
                </c:pt>
                <c:pt idx="41">
                  <c:v>31048</c:v>
                </c:pt>
                <c:pt idx="42">
                  <c:v>31049</c:v>
                </c:pt>
                <c:pt idx="43">
                  <c:v>31050</c:v>
                </c:pt>
                <c:pt idx="44">
                  <c:v>31051</c:v>
                </c:pt>
                <c:pt idx="45">
                  <c:v>31052</c:v>
                </c:pt>
                <c:pt idx="46">
                  <c:v>31053</c:v>
                </c:pt>
                <c:pt idx="47">
                  <c:v>31054</c:v>
                </c:pt>
                <c:pt idx="48">
                  <c:v>31055</c:v>
                </c:pt>
                <c:pt idx="49">
                  <c:v>31056</c:v>
                </c:pt>
                <c:pt idx="50">
                  <c:v>31057</c:v>
                </c:pt>
                <c:pt idx="51">
                  <c:v>31058</c:v>
                </c:pt>
                <c:pt idx="52">
                  <c:v>31059</c:v>
                </c:pt>
                <c:pt idx="53">
                  <c:v>31060</c:v>
                </c:pt>
                <c:pt idx="54">
                  <c:v>31061</c:v>
                </c:pt>
                <c:pt idx="55">
                  <c:v>31062</c:v>
                </c:pt>
                <c:pt idx="56">
                  <c:v>31063</c:v>
                </c:pt>
                <c:pt idx="57">
                  <c:v>31064</c:v>
                </c:pt>
                <c:pt idx="58">
                  <c:v>31065</c:v>
                </c:pt>
                <c:pt idx="59">
                  <c:v>31066</c:v>
                </c:pt>
                <c:pt idx="60">
                  <c:v>31067</c:v>
                </c:pt>
                <c:pt idx="61">
                  <c:v>31068</c:v>
                </c:pt>
                <c:pt idx="62">
                  <c:v>31069</c:v>
                </c:pt>
                <c:pt idx="63">
                  <c:v>31070</c:v>
                </c:pt>
                <c:pt idx="64">
                  <c:v>31071</c:v>
                </c:pt>
                <c:pt idx="65">
                  <c:v>31072</c:v>
                </c:pt>
                <c:pt idx="66">
                  <c:v>31073</c:v>
                </c:pt>
                <c:pt idx="67">
                  <c:v>31074</c:v>
                </c:pt>
                <c:pt idx="68">
                  <c:v>31075</c:v>
                </c:pt>
                <c:pt idx="69">
                  <c:v>31076</c:v>
                </c:pt>
                <c:pt idx="70">
                  <c:v>31077</c:v>
                </c:pt>
                <c:pt idx="71">
                  <c:v>31078</c:v>
                </c:pt>
                <c:pt idx="72">
                  <c:v>31079</c:v>
                </c:pt>
                <c:pt idx="73">
                  <c:v>31080</c:v>
                </c:pt>
                <c:pt idx="74">
                  <c:v>31081</c:v>
                </c:pt>
                <c:pt idx="75">
                  <c:v>31082</c:v>
                </c:pt>
                <c:pt idx="76">
                  <c:v>31083</c:v>
                </c:pt>
                <c:pt idx="77">
                  <c:v>31084</c:v>
                </c:pt>
                <c:pt idx="78">
                  <c:v>31085</c:v>
                </c:pt>
                <c:pt idx="79">
                  <c:v>31086</c:v>
                </c:pt>
                <c:pt idx="80">
                  <c:v>31087</c:v>
                </c:pt>
                <c:pt idx="81">
                  <c:v>31088</c:v>
                </c:pt>
                <c:pt idx="82">
                  <c:v>31089</c:v>
                </c:pt>
                <c:pt idx="83">
                  <c:v>31090</c:v>
                </c:pt>
                <c:pt idx="84">
                  <c:v>31091</c:v>
                </c:pt>
                <c:pt idx="85">
                  <c:v>31092</c:v>
                </c:pt>
                <c:pt idx="86">
                  <c:v>31093</c:v>
                </c:pt>
                <c:pt idx="87">
                  <c:v>31094</c:v>
                </c:pt>
                <c:pt idx="88">
                  <c:v>31095</c:v>
                </c:pt>
                <c:pt idx="89">
                  <c:v>31096</c:v>
                </c:pt>
                <c:pt idx="90">
                  <c:v>31097</c:v>
                </c:pt>
                <c:pt idx="91">
                  <c:v>31098</c:v>
                </c:pt>
                <c:pt idx="92">
                  <c:v>31099</c:v>
                </c:pt>
                <c:pt idx="93">
                  <c:v>31100</c:v>
                </c:pt>
                <c:pt idx="94">
                  <c:v>31101</c:v>
                </c:pt>
                <c:pt idx="95">
                  <c:v>31102</c:v>
                </c:pt>
                <c:pt idx="96">
                  <c:v>31103</c:v>
                </c:pt>
                <c:pt idx="97">
                  <c:v>31104</c:v>
                </c:pt>
                <c:pt idx="98">
                  <c:v>31105</c:v>
                </c:pt>
                <c:pt idx="99">
                  <c:v>31106</c:v>
                </c:pt>
                <c:pt idx="100">
                  <c:v>31107</c:v>
                </c:pt>
                <c:pt idx="101">
                  <c:v>31108</c:v>
                </c:pt>
                <c:pt idx="102">
                  <c:v>31109</c:v>
                </c:pt>
                <c:pt idx="103">
                  <c:v>31110</c:v>
                </c:pt>
                <c:pt idx="104">
                  <c:v>31111</c:v>
                </c:pt>
                <c:pt idx="105">
                  <c:v>31112</c:v>
                </c:pt>
                <c:pt idx="106">
                  <c:v>31113</c:v>
                </c:pt>
                <c:pt idx="107">
                  <c:v>31114</c:v>
                </c:pt>
                <c:pt idx="108">
                  <c:v>31115</c:v>
                </c:pt>
                <c:pt idx="109">
                  <c:v>31116</c:v>
                </c:pt>
                <c:pt idx="110">
                  <c:v>31117</c:v>
                </c:pt>
                <c:pt idx="111">
                  <c:v>31118</c:v>
                </c:pt>
                <c:pt idx="112">
                  <c:v>31119</c:v>
                </c:pt>
                <c:pt idx="113">
                  <c:v>31120</c:v>
                </c:pt>
                <c:pt idx="114">
                  <c:v>31121</c:v>
                </c:pt>
                <c:pt idx="115">
                  <c:v>31122</c:v>
                </c:pt>
                <c:pt idx="116">
                  <c:v>31123</c:v>
                </c:pt>
                <c:pt idx="117">
                  <c:v>31124</c:v>
                </c:pt>
                <c:pt idx="118">
                  <c:v>31125</c:v>
                </c:pt>
                <c:pt idx="119">
                  <c:v>31126</c:v>
                </c:pt>
                <c:pt idx="120">
                  <c:v>31127</c:v>
                </c:pt>
                <c:pt idx="121">
                  <c:v>31128</c:v>
                </c:pt>
                <c:pt idx="122">
                  <c:v>31129</c:v>
                </c:pt>
                <c:pt idx="123">
                  <c:v>31130</c:v>
                </c:pt>
                <c:pt idx="124">
                  <c:v>31131</c:v>
                </c:pt>
                <c:pt idx="125">
                  <c:v>31132</c:v>
                </c:pt>
                <c:pt idx="126">
                  <c:v>31133</c:v>
                </c:pt>
                <c:pt idx="127">
                  <c:v>31134</c:v>
                </c:pt>
                <c:pt idx="128">
                  <c:v>31135</c:v>
                </c:pt>
                <c:pt idx="129">
                  <c:v>31136</c:v>
                </c:pt>
                <c:pt idx="130">
                  <c:v>31137</c:v>
                </c:pt>
                <c:pt idx="131">
                  <c:v>31138</c:v>
                </c:pt>
                <c:pt idx="132">
                  <c:v>31139</c:v>
                </c:pt>
                <c:pt idx="133">
                  <c:v>31140</c:v>
                </c:pt>
                <c:pt idx="134">
                  <c:v>31141</c:v>
                </c:pt>
                <c:pt idx="135">
                  <c:v>31142</c:v>
                </c:pt>
                <c:pt idx="136">
                  <c:v>31143</c:v>
                </c:pt>
                <c:pt idx="137">
                  <c:v>31144</c:v>
                </c:pt>
                <c:pt idx="138">
                  <c:v>31145</c:v>
                </c:pt>
                <c:pt idx="139">
                  <c:v>31146</c:v>
                </c:pt>
                <c:pt idx="140">
                  <c:v>31147</c:v>
                </c:pt>
                <c:pt idx="141">
                  <c:v>31148</c:v>
                </c:pt>
                <c:pt idx="142">
                  <c:v>31149</c:v>
                </c:pt>
                <c:pt idx="143">
                  <c:v>31150</c:v>
                </c:pt>
                <c:pt idx="144">
                  <c:v>31151</c:v>
                </c:pt>
                <c:pt idx="145">
                  <c:v>31152</c:v>
                </c:pt>
                <c:pt idx="146">
                  <c:v>31153</c:v>
                </c:pt>
                <c:pt idx="147">
                  <c:v>31154</c:v>
                </c:pt>
                <c:pt idx="148">
                  <c:v>31155</c:v>
                </c:pt>
                <c:pt idx="149">
                  <c:v>31156</c:v>
                </c:pt>
                <c:pt idx="150">
                  <c:v>31157</c:v>
                </c:pt>
                <c:pt idx="151">
                  <c:v>31158</c:v>
                </c:pt>
                <c:pt idx="152">
                  <c:v>31159</c:v>
                </c:pt>
                <c:pt idx="153">
                  <c:v>31160</c:v>
                </c:pt>
                <c:pt idx="154">
                  <c:v>31161</c:v>
                </c:pt>
                <c:pt idx="155">
                  <c:v>31162</c:v>
                </c:pt>
                <c:pt idx="156">
                  <c:v>31163</c:v>
                </c:pt>
                <c:pt idx="157">
                  <c:v>31164</c:v>
                </c:pt>
                <c:pt idx="158">
                  <c:v>31165</c:v>
                </c:pt>
                <c:pt idx="159">
                  <c:v>31166</c:v>
                </c:pt>
                <c:pt idx="160">
                  <c:v>31167</c:v>
                </c:pt>
                <c:pt idx="161">
                  <c:v>31168</c:v>
                </c:pt>
                <c:pt idx="162">
                  <c:v>31169</c:v>
                </c:pt>
                <c:pt idx="163">
                  <c:v>31170</c:v>
                </c:pt>
                <c:pt idx="164">
                  <c:v>31171</c:v>
                </c:pt>
                <c:pt idx="165">
                  <c:v>31172</c:v>
                </c:pt>
                <c:pt idx="166">
                  <c:v>31173</c:v>
                </c:pt>
                <c:pt idx="167">
                  <c:v>31174</c:v>
                </c:pt>
                <c:pt idx="168">
                  <c:v>31175</c:v>
                </c:pt>
                <c:pt idx="169">
                  <c:v>31176</c:v>
                </c:pt>
                <c:pt idx="170">
                  <c:v>31177</c:v>
                </c:pt>
                <c:pt idx="171">
                  <c:v>31178</c:v>
                </c:pt>
                <c:pt idx="172">
                  <c:v>31179</c:v>
                </c:pt>
                <c:pt idx="173">
                  <c:v>31180</c:v>
                </c:pt>
                <c:pt idx="174">
                  <c:v>31181</c:v>
                </c:pt>
                <c:pt idx="175">
                  <c:v>31182</c:v>
                </c:pt>
                <c:pt idx="176">
                  <c:v>31183</c:v>
                </c:pt>
                <c:pt idx="177">
                  <c:v>31184</c:v>
                </c:pt>
                <c:pt idx="178">
                  <c:v>31185</c:v>
                </c:pt>
                <c:pt idx="179">
                  <c:v>31186</c:v>
                </c:pt>
                <c:pt idx="180">
                  <c:v>31187</c:v>
                </c:pt>
                <c:pt idx="181">
                  <c:v>31188</c:v>
                </c:pt>
                <c:pt idx="182">
                  <c:v>31189</c:v>
                </c:pt>
                <c:pt idx="183">
                  <c:v>31190</c:v>
                </c:pt>
                <c:pt idx="184">
                  <c:v>31191</c:v>
                </c:pt>
                <c:pt idx="185">
                  <c:v>31192</c:v>
                </c:pt>
                <c:pt idx="186">
                  <c:v>31193</c:v>
                </c:pt>
                <c:pt idx="187">
                  <c:v>31194</c:v>
                </c:pt>
                <c:pt idx="188">
                  <c:v>31195</c:v>
                </c:pt>
                <c:pt idx="189">
                  <c:v>31196</c:v>
                </c:pt>
                <c:pt idx="190">
                  <c:v>31197</c:v>
                </c:pt>
                <c:pt idx="191">
                  <c:v>31198</c:v>
                </c:pt>
                <c:pt idx="192">
                  <c:v>31199</c:v>
                </c:pt>
                <c:pt idx="193">
                  <c:v>31200</c:v>
                </c:pt>
                <c:pt idx="194">
                  <c:v>31201</c:v>
                </c:pt>
                <c:pt idx="195">
                  <c:v>31202</c:v>
                </c:pt>
                <c:pt idx="196">
                  <c:v>31203</c:v>
                </c:pt>
                <c:pt idx="197">
                  <c:v>31204</c:v>
                </c:pt>
                <c:pt idx="198">
                  <c:v>31205</c:v>
                </c:pt>
                <c:pt idx="199">
                  <c:v>31206</c:v>
                </c:pt>
                <c:pt idx="200">
                  <c:v>31207</c:v>
                </c:pt>
                <c:pt idx="201">
                  <c:v>31208</c:v>
                </c:pt>
                <c:pt idx="202">
                  <c:v>31209</c:v>
                </c:pt>
                <c:pt idx="203">
                  <c:v>31210</c:v>
                </c:pt>
                <c:pt idx="204">
                  <c:v>31211</c:v>
                </c:pt>
                <c:pt idx="205">
                  <c:v>31212</c:v>
                </c:pt>
                <c:pt idx="206">
                  <c:v>31213</c:v>
                </c:pt>
                <c:pt idx="207">
                  <c:v>31214</c:v>
                </c:pt>
                <c:pt idx="208">
                  <c:v>31215</c:v>
                </c:pt>
                <c:pt idx="209">
                  <c:v>31216</c:v>
                </c:pt>
                <c:pt idx="210">
                  <c:v>31217</c:v>
                </c:pt>
                <c:pt idx="211">
                  <c:v>31218</c:v>
                </c:pt>
                <c:pt idx="212">
                  <c:v>31219</c:v>
                </c:pt>
                <c:pt idx="213">
                  <c:v>31220</c:v>
                </c:pt>
                <c:pt idx="214">
                  <c:v>31221</c:v>
                </c:pt>
                <c:pt idx="215">
                  <c:v>31222</c:v>
                </c:pt>
                <c:pt idx="216">
                  <c:v>31223</c:v>
                </c:pt>
                <c:pt idx="217">
                  <c:v>31224</c:v>
                </c:pt>
                <c:pt idx="218">
                  <c:v>31225</c:v>
                </c:pt>
                <c:pt idx="219">
                  <c:v>31226</c:v>
                </c:pt>
                <c:pt idx="220">
                  <c:v>31227</c:v>
                </c:pt>
                <c:pt idx="221">
                  <c:v>31228</c:v>
                </c:pt>
                <c:pt idx="222">
                  <c:v>31229</c:v>
                </c:pt>
                <c:pt idx="223">
                  <c:v>31230</c:v>
                </c:pt>
                <c:pt idx="224">
                  <c:v>31231</c:v>
                </c:pt>
                <c:pt idx="225">
                  <c:v>31232</c:v>
                </c:pt>
                <c:pt idx="226">
                  <c:v>31233</c:v>
                </c:pt>
                <c:pt idx="227">
                  <c:v>31234</c:v>
                </c:pt>
                <c:pt idx="228">
                  <c:v>31235</c:v>
                </c:pt>
                <c:pt idx="229">
                  <c:v>31236</c:v>
                </c:pt>
                <c:pt idx="230">
                  <c:v>31237</c:v>
                </c:pt>
                <c:pt idx="231">
                  <c:v>31238</c:v>
                </c:pt>
                <c:pt idx="232">
                  <c:v>31239</c:v>
                </c:pt>
                <c:pt idx="233">
                  <c:v>31240</c:v>
                </c:pt>
                <c:pt idx="234">
                  <c:v>31241</c:v>
                </c:pt>
                <c:pt idx="235">
                  <c:v>31242</c:v>
                </c:pt>
                <c:pt idx="236">
                  <c:v>31243</c:v>
                </c:pt>
                <c:pt idx="237">
                  <c:v>31244</c:v>
                </c:pt>
                <c:pt idx="238">
                  <c:v>31245</c:v>
                </c:pt>
                <c:pt idx="239">
                  <c:v>31246</c:v>
                </c:pt>
                <c:pt idx="240">
                  <c:v>31247</c:v>
                </c:pt>
                <c:pt idx="241">
                  <c:v>31248</c:v>
                </c:pt>
                <c:pt idx="242">
                  <c:v>31249</c:v>
                </c:pt>
                <c:pt idx="243">
                  <c:v>31250</c:v>
                </c:pt>
                <c:pt idx="244">
                  <c:v>31251</c:v>
                </c:pt>
                <c:pt idx="245">
                  <c:v>31252</c:v>
                </c:pt>
                <c:pt idx="246">
                  <c:v>31253</c:v>
                </c:pt>
                <c:pt idx="247">
                  <c:v>31254</c:v>
                </c:pt>
                <c:pt idx="248">
                  <c:v>31255</c:v>
                </c:pt>
                <c:pt idx="249">
                  <c:v>31256</c:v>
                </c:pt>
                <c:pt idx="250">
                  <c:v>31257</c:v>
                </c:pt>
                <c:pt idx="251">
                  <c:v>31258</c:v>
                </c:pt>
                <c:pt idx="252">
                  <c:v>31259</c:v>
                </c:pt>
                <c:pt idx="253">
                  <c:v>31260</c:v>
                </c:pt>
                <c:pt idx="254">
                  <c:v>31261</c:v>
                </c:pt>
                <c:pt idx="255">
                  <c:v>31262</c:v>
                </c:pt>
                <c:pt idx="256">
                  <c:v>31263</c:v>
                </c:pt>
                <c:pt idx="257">
                  <c:v>31264</c:v>
                </c:pt>
                <c:pt idx="258">
                  <c:v>31265</c:v>
                </c:pt>
                <c:pt idx="259">
                  <c:v>31266</c:v>
                </c:pt>
                <c:pt idx="260">
                  <c:v>31267</c:v>
                </c:pt>
                <c:pt idx="261">
                  <c:v>31268</c:v>
                </c:pt>
                <c:pt idx="262">
                  <c:v>31269</c:v>
                </c:pt>
                <c:pt idx="263">
                  <c:v>31270</c:v>
                </c:pt>
                <c:pt idx="264">
                  <c:v>31271</c:v>
                </c:pt>
                <c:pt idx="265">
                  <c:v>31272</c:v>
                </c:pt>
                <c:pt idx="266">
                  <c:v>31273</c:v>
                </c:pt>
                <c:pt idx="267">
                  <c:v>31274</c:v>
                </c:pt>
                <c:pt idx="268">
                  <c:v>31275</c:v>
                </c:pt>
                <c:pt idx="269">
                  <c:v>31276</c:v>
                </c:pt>
                <c:pt idx="270">
                  <c:v>31277</c:v>
                </c:pt>
                <c:pt idx="271">
                  <c:v>31278</c:v>
                </c:pt>
                <c:pt idx="272">
                  <c:v>31279</c:v>
                </c:pt>
                <c:pt idx="273">
                  <c:v>31280</c:v>
                </c:pt>
                <c:pt idx="274">
                  <c:v>31281</c:v>
                </c:pt>
                <c:pt idx="275">
                  <c:v>31282</c:v>
                </c:pt>
                <c:pt idx="276">
                  <c:v>31283</c:v>
                </c:pt>
                <c:pt idx="277">
                  <c:v>31284</c:v>
                </c:pt>
                <c:pt idx="278">
                  <c:v>31285</c:v>
                </c:pt>
                <c:pt idx="279">
                  <c:v>31286</c:v>
                </c:pt>
                <c:pt idx="280">
                  <c:v>31287</c:v>
                </c:pt>
                <c:pt idx="281">
                  <c:v>31288</c:v>
                </c:pt>
                <c:pt idx="282">
                  <c:v>31289</c:v>
                </c:pt>
                <c:pt idx="283">
                  <c:v>31290</c:v>
                </c:pt>
                <c:pt idx="284">
                  <c:v>31291</c:v>
                </c:pt>
                <c:pt idx="285">
                  <c:v>31292</c:v>
                </c:pt>
                <c:pt idx="286">
                  <c:v>31293</c:v>
                </c:pt>
                <c:pt idx="287">
                  <c:v>31294</c:v>
                </c:pt>
                <c:pt idx="288">
                  <c:v>31295</c:v>
                </c:pt>
                <c:pt idx="289">
                  <c:v>31296</c:v>
                </c:pt>
                <c:pt idx="290">
                  <c:v>31297</c:v>
                </c:pt>
                <c:pt idx="291">
                  <c:v>31298</c:v>
                </c:pt>
                <c:pt idx="292">
                  <c:v>31299</c:v>
                </c:pt>
                <c:pt idx="293">
                  <c:v>31300</c:v>
                </c:pt>
                <c:pt idx="294">
                  <c:v>31301</c:v>
                </c:pt>
                <c:pt idx="295">
                  <c:v>31302</c:v>
                </c:pt>
                <c:pt idx="296">
                  <c:v>31303</c:v>
                </c:pt>
                <c:pt idx="297">
                  <c:v>31304</c:v>
                </c:pt>
                <c:pt idx="298">
                  <c:v>31305</c:v>
                </c:pt>
                <c:pt idx="299">
                  <c:v>31306</c:v>
                </c:pt>
                <c:pt idx="300">
                  <c:v>31307</c:v>
                </c:pt>
                <c:pt idx="301">
                  <c:v>31308</c:v>
                </c:pt>
                <c:pt idx="302">
                  <c:v>31309</c:v>
                </c:pt>
                <c:pt idx="303">
                  <c:v>31310</c:v>
                </c:pt>
                <c:pt idx="304">
                  <c:v>31311</c:v>
                </c:pt>
                <c:pt idx="305">
                  <c:v>31312</c:v>
                </c:pt>
                <c:pt idx="306">
                  <c:v>31313</c:v>
                </c:pt>
                <c:pt idx="307">
                  <c:v>31314</c:v>
                </c:pt>
                <c:pt idx="308">
                  <c:v>31315</c:v>
                </c:pt>
                <c:pt idx="309">
                  <c:v>31316</c:v>
                </c:pt>
                <c:pt idx="310">
                  <c:v>31317</c:v>
                </c:pt>
                <c:pt idx="311">
                  <c:v>31318</c:v>
                </c:pt>
                <c:pt idx="312">
                  <c:v>31319</c:v>
                </c:pt>
                <c:pt idx="313">
                  <c:v>31320</c:v>
                </c:pt>
                <c:pt idx="314">
                  <c:v>31321</c:v>
                </c:pt>
                <c:pt idx="315">
                  <c:v>31322</c:v>
                </c:pt>
                <c:pt idx="316">
                  <c:v>31323</c:v>
                </c:pt>
                <c:pt idx="317">
                  <c:v>31324</c:v>
                </c:pt>
                <c:pt idx="318">
                  <c:v>31325</c:v>
                </c:pt>
                <c:pt idx="319">
                  <c:v>31326</c:v>
                </c:pt>
                <c:pt idx="320">
                  <c:v>31327</c:v>
                </c:pt>
                <c:pt idx="321">
                  <c:v>31328</c:v>
                </c:pt>
                <c:pt idx="322">
                  <c:v>31329</c:v>
                </c:pt>
                <c:pt idx="323">
                  <c:v>31330</c:v>
                </c:pt>
                <c:pt idx="324">
                  <c:v>31331</c:v>
                </c:pt>
                <c:pt idx="325">
                  <c:v>31332</c:v>
                </c:pt>
                <c:pt idx="326">
                  <c:v>31333</c:v>
                </c:pt>
                <c:pt idx="327">
                  <c:v>31334</c:v>
                </c:pt>
                <c:pt idx="328">
                  <c:v>31335</c:v>
                </c:pt>
                <c:pt idx="329">
                  <c:v>31336</c:v>
                </c:pt>
                <c:pt idx="330">
                  <c:v>31337</c:v>
                </c:pt>
                <c:pt idx="331">
                  <c:v>31338</c:v>
                </c:pt>
                <c:pt idx="332">
                  <c:v>31339</c:v>
                </c:pt>
                <c:pt idx="333">
                  <c:v>31340</c:v>
                </c:pt>
                <c:pt idx="334">
                  <c:v>31341</c:v>
                </c:pt>
                <c:pt idx="335">
                  <c:v>31342</c:v>
                </c:pt>
                <c:pt idx="336">
                  <c:v>31343</c:v>
                </c:pt>
                <c:pt idx="337">
                  <c:v>31344</c:v>
                </c:pt>
                <c:pt idx="338">
                  <c:v>31345</c:v>
                </c:pt>
                <c:pt idx="339">
                  <c:v>31346</c:v>
                </c:pt>
                <c:pt idx="340">
                  <c:v>31347</c:v>
                </c:pt>
                <c:pt idx="341">
                  <c:v>31348</c:v>
                </c:pt>
                <c:pt idx="342">
                  <c:v>31349</c:v>
                </c:pt>
                <c:pt idx="343">
                  <c:v>31350</c:v>
                </c:pt>
                <c:pt idx="344">
                  <c:v>31351</c:v>
                </c:pt>
                <c:pt idx="345">
                  <c:v>31352</c:v>
                </c:pt>
                <c:pt idx="346">
                  <c:v>31353</c:v>
                </c:pt>
                <c:pt idx="347">
                  <c:v>31354</c:v>
                </c:pt>
                <c:pt idx="348">
                  <c:v>31355</c:v>
                </c:pt>
                <c:pt idx="349">
                  <c:v>31356</c:v>
                </c:pt>
                <c:pt idx="350">
                  <c:v>31357</c:v>
                </c:pt>
                <c:pt idx="351">
                  <c:v>31358</c:v>
                </c:pt>
                <c:pt idx="352">
                  <c:v>31359</c:v>
                </c:pt>
                <c:pt idx="353">
                  <c:v>31360</c:v>
                </c:pt>
                <c:pt idx="354">
                  <c:v>31361</c:v>
                </c:pt>
                <c:pt idx="355">
                  <c:v>31362</c:v>
                </c:pt>
                <c:pt idx="356">
                  <c:v>31363</c:v>
                </c:pt>
                <c:pt idx="357">
                  <c:v>31364</c:v>
                </c:pt>
                <c:pt idx="358">
                  <c:v>31365</c:v>
                </c:pt>
                <c:pt idx="359">
                  <c:v>31366</c:v>
                </c:pt>
                <c:pt idx="360">
                  <c:v>31367</c:v>
                </c:pt>
                <c:pt idx="361">
                  <c:v>31368</c:v>
                </c:pt>
                <c:pt idx="362">
                  <c:v>31369</c:v>
                </c:pt>
                <c:pt idx="363">
                  <c:v>31370</c:v>
                </c:pt>
                <c:pt idx="364">
                  <c:v>31371</c:v>
                </c:pt>
                <c:pt idx="365">
                  <c:v>31372</c:v>
                </c:pt>
                <c:pt idx="366">
                  <c:v>31373</c:v>
                </c:pt>
                <c:pt idx="367">
                  <c:v>31374</c:v>
                </c:pt>
                <c:pt idx="368">
                  <c:v>31375</c:v>
                </c:pt>
                <c:pt idx="369">
                  <c:v>31376</c:v>
                </c:pt>
                <c:pt idx="370">
                  <c:v>31377</c:v>
                </c:pt>
                <c:pt idx="371">
                  <c:v>31378</c:v>
                </c:pt>
                <c:pt idx="372">
                  <c:v>31379</c:v>
                </c:pt>
                <c:pt idx="373">
                  <c:v>31380</c:v>
                </c:pt>
                <c:pt idx="374">
                  <c:v>31381</c:v>
                </c:pt>
                <c:pt idx="375">
                  <c:v>31382</c:v>
                </c:pt>
                <c:pt idx="376">
                  <c:v>31383</c:v>
                </c:pt>
                <c:pt idx="377">
                  <c:v>31384</c:v>
                </c:pt>
                <c:pt idx="378">
                  <c:v>31385</c:v>
                </c:pt>
                <c:pt idx="379">
                  <c:v>31386</c:v>
                </c:pt>
                <c:pt idx="380">
                  <c:v>31387</c:v>
                </c:pt>
                <c:pt idx="381">
                  <c:v>31388</c:v>
                </c:pt>
                <c:pt idx="382">
                  <c:v>31389</c:v>
                </c:pt>
                <c:pt idx="383">
                  <c:v>31390</c:v>
                </c:pt>
                <c:pt idx="384">
                  <c:v>31391</c:v>
                </c:pt>
                <c:pt idx="385">
                  <c:v>31392</c:v>
                </c:pt>
                <c:pt idx="386">
                  <c:v>31393</c:v>
                </c:pt>
                <c:pt idx="387">
                  <c:v>31394</c:v>
                </c:pt>
                <c:pt idx="388">
                  <c:v>31395</c:v>
                </c:pt>
                <c:pt idx="389">
                  <c:v>31396</c:v>
                </c:pt>
                <c:pt idx="390">
                  <c:v>31397</c:v>
                </c:pt>
                <c:pt idx="391">
                  <c:v>31398</c:v>
                </c:pt>
                <c:pt idx="392">
                  <c:v>31399</c:v>
                </c:pt>
                <c:pt idx="393">
                  <c:v>31400</c:v>
                </c:pt>
                <c:pt idx="394">
                  <c:v>31401</c:v>
                </c:pt>
                <c:pt idx="395">
                  <c:v>31402</c:v>
                </c:pt>
                <c:pt idx="396">
                  <c:v>31403</c:v>
                </c:pt>
                <c:pt idx="397">
                  <c:v>31404</c:v>
                </c:pt>
                <c:pt idx="398">
                  <c:v>31405</c:v>
                </c:pt>
                <c:pt idx="399">
                  <c:v>31406</c:v>
                </c:pt>
                <c:pt idx="400">
                  <c:v>31407</c:v>
                </c:pt>
                <c:pt idx="401">
                  <c:v>31408</c:v>
                </c:pt>
                <c:pt idx="402">
                  <c:v>31409</c:v>
                </c:pt>
                <c:pt idx="403">
                  <c:v>31410</c:v>
                </c:pt>
                <c:pt idx="404">
                  <c:v>31411</c:v>
                </c:pt>
                <c:pt idx="405">
                  <c:v>31412</c:v>
                </c:pt>
                <c:pt idx="406">
                  <c:v>31413</c:v>
                </c:pt>
                <c:pt idx="407">
                  <c:v>31414</c:v>
                </c:pt>
                <c:pt idx="408">
                  <c:v>31415</c:v>
                </c:pt>
                <c:pt idx="409">
                  <c:v>31416</c:v>
                </c:pt>
                <c:pt idx="410">
                  <c:v>31417</c:v>
                </c:pt>
                <c:pt idx="411">
                  <c:v>31418</c:v>
                </c:pt>
                <c:pt idx="412">
                  <c:v>31419</c:v>
                </c:pt>
                <c:pt idx="413">
                  <c:v>31420</c:v>
                </c:pt>
                <c:pt idx="414">
                  <c:v>31421</c:v>
                </c:pt>
                <c:pt idx="415">
                  <c:v>31422</c:v>
                </c:pt>
                <c:pt idx="416">
                  <c:v>31423</c:v>
                </c:pt>
                <c:pt idx="417">
                  <c:v>31424</c:v>
                </c:pt>
                <c:pt idx="418">
                  <c:v>31425</c:v>
                </c:pt>
                <c:pt idx="419">
                  <c:v>31426</c:v>
                </c:pt>
                <c:pt idx="420">
                  <c:v>31427</c:v>
                </c:pt>
                <c:pt idx="421">
                  <c:v>31428</c:v>
                </c:pt>
                <c:pt idx="422">
                  <c:v>31429</c:v>
                </c:pt>
                <c:pt idx="423">
                  <c:v>31430</c:v>
                </c:pt>
                <c:pt idx="424">
                  <c:v>31431</c:v>
                </c:pt>
                <c:pt idx="425">
                  <c:v>31432</c:v>
                </c:pt>
                <c:pt idx="426">
                  <c:v>31433</c:v>
                </c:pt>
                <c:pt idx="427">
                  <c:v>31434</c:v>
                </c:pt>
                <c:pt idx="428">
                  <c:v>31435</c:v>
                </c:pt>
                <c:pt idx="429">
                  <c:v>31436</c:v>
                </c:pt>
                <c:pt idx="430">
                  <c:v>31437</c:v>
                </c:pt>
                <c:pt idx="431">
                  <c:v>31438</c:v>
                </c:pt>
                <c:pt idx="432">
                  <c:v>31439</c:v>
                </c:pt>
                <c:pt idx="433">
                  <c:v>31440</c:v>
                </c:pt>
                <c:pt idx="434">
                  <c:v>31441</c:v>
                </c:pt>
                <c:pt idx="435">
                  <c:v>31442</c:v>
                </c:pt>
                <c:pt idx="436">
                  <c:v>31443</c:v>
                </c:pt>
                <c:pt idx="437">
                  <c:v>31444</c:v>
                </c:pt>
                <c:pt idx="438">
                  <c:v>31445</c:v>
                </c:pt>
                <c:pt idx="439">
                  <c:v>31446</c:v>
                </c:pt>
                <c:pt idx="440">
                  <c:v>31447</c:v>
                </c:pt>
                <c:pt idx="441">
                  <c:v>31448</c:v>
                </c:pt>
                <c:pt idx="442">
                  <c:v>31449</c:v>
                </c:pt>
                <c:pt idx="443">
                  <c:v>31450</c:v>
                </c:pt>
                <c:pt idx="444">
                  <c:v>31451</c:v>
                </c:pt>
                <c:pt idx="445">
                  <c:v>31452</c:v>
                </c:pt>
                <c:pt idx="446">
                  <c:v>31453</c:v>
                </c:pt>
                <c:pt idx="447">
                  <c:v>31454</c:v>
                </c:pt>
                <c:pt idx="448">
                  <c:v>31455</c:v>
                </c:pt>
                <c:pt idx="449">
                  <c:v>31456</c:v>
                </c:pt>
                <c:pt idx="450">
                  <c:v>31457</c:v>
                </c:pt>
                <c:pt idx="451">
                  <c:v>31458</c:v>
                </c:pt>
                <c:pt idx="452">
                  <c:v>31459</c:v>
                </c:pt>
                <c:pt idx="453">
                  <c:v>31460</c:v>
                </c:pt>
                <c:pt idx="454">
                  <c:v>31461</c:v>
                </c:pt>
                <c:pt idx="455">
                  <c:v>31462</c:v>
                </c:pt>
                <c:pt idx="456">
                  <c:v>31463</c:v>
                </c:pt>
                <c:pt idx="457">
                  <c:v>31464</c:v>
                </c:pt>
                <c:pt idx="458">
                  <c:v>31465</c:v>
                </c:pt>
                <c:pt idx="459">
                  <c:v>31466</c:v>
                </c:pt>
                <c:pt idx="460">
                  <c:v>31467</c:v>
                </c:pt>
                <c:pt idx="461">
                  <c:v>31468</c:v>
                </c:pt>
                <c:pt idx="462">
                  <c:v>31469</c:v>
                </c:pt>
                <c:pt idx="463">
                  <c:v>31470</c:v>
                </c:pt>
                <c:pt idx="464">
                  <c:v>31471</c:v>
                </c:pt>
                <c:pt idx="465">
                  <c:v>31472</c:v>
                </c:pt>
                <c:pt idx="466">
                  <c:v>31473</c:v>
                </c:pt>
                <c:pt idx="467">
                  <c:v>31474</c:v>
                </c:pt>
                <c:pt idx="468">
                  <c:v>31475</c:v>
                </c:pt>
                <c:pt idx="469">
                  <c:v>31476</c:v>
                </c:pt>
                <c:pt idx="470">
                  <c:v>31477</c:v>
                </c:pt>
                <c:pt idx="471">
                  <c:v>31478</c:v>
                </c:pt>
                <c:pt idx="472">
                  <c:v>31479</c:v>
                </c:pt>
                <c:pt idx="473">
                  <c:v>31480</c:v>
                </c:pt>
                <c:pt idx="474">
                  <c:v>31481</c:v>
                </c:pt>
                <c:pt idx="475">
                  <c:v>31482</c:v>
                </c:pt>
                <c:pt idx="476">
                  <c:v>31483</c:v>
                </c:pt>
                <c:pt idx="477">
                  <c:v>31484</c:v>
                </c:pt>
                <c:pt idx="478">
                  <c:v>31485</c:v>
                </c:pt>
                <c:pt idx="479">
                  <c:v>31486</c:v>
                </c:pt>
                <c:pt idx="480">
                  <c:v>31487</c:v>
                </c:pt>
                <c:pt idx="481">
                  <c:v>31488</c:v>
                </c:pt>
                <c:pt idx="482">
                  <c:v>31489</c:v>
                </c:pt>
                <c:pt idx="483">
                  <c:v>31490</c:v>
                </c:pt>
                <c:pt idx="484">
                  <c:v>31491</c:v>
                </c:pt>
                <c:pt idx="485">
                  <c:v>31492</c:v>
                </c:pt>
                <c:pt idx="486">
                  <c:v>31493</c:v>
                </c:pt>
                <c:pt idx="487">
                  <c:v>31494</c:v>
                </c:pt>
                <c:pt idx="488">
                  <c:v>31495</c:v>
                </c:pt>
                <c:pt idx="489">
                  <c:v>31496</c:v>
                </c:pt>
                <c:pt idx="490">
                  <c:v>31497</c:v>
                </c:pt>
                <c:pt idx="491">
                  <c:v>31498</c:v>
                </c:pt>
                <c:pt idx="492">
                  <c:v>31499</c:v>
                </c:pt>
                <c:pt idx="493">
                  <c:v>31500</c:v>
                </c:pt>
                <c:pt idx="494">
                  <c:v>31501</c:v>
                </c:pt>
                <c:pt idx="495">
                  <c:v>31502</c:v>
                </c:pt>
                <c:pt idx="496">
                  <c:v>31503</c:v>
                </c:pt>
                <c:pt idx="497">
                  <c:v>31504</c:v>
                </c:pt>
                <c:pt idx="498">
                  <c:v>31505</c:v>
                </c:pt>
                <c:pt idx="499">
                  <c:v>31506</c:v>
                </c:pt>
                <c:pt idx="500">
                  <c:v>31507</c:v>
                </c:pt>
                <c:pt idx="501">
                  <c:v>31508</c:v>
                </c:pt>
                <c:pt idx="502">
                  <c:v>31509</c:v>
                </c:pt>
                <c:pt idx="503">
                  <c:v>31510</c:v>
                </c:pt>
                <c:pt idx="504">
                  <c:v>31511</c:v>
                </c:pt>
                <c:pt idx="505">
                  <c:v>31512</c:v>
                </c:pt>
                <c:pt idx="506">
                  <c:v>31513</c:v>
                </c:pt>
                <c:pt idx="507">
                  <c:v>31514</c:v>
                </c:pt>
                <c:pt idx="508">
                  <c:v>31515</c:v>
                </c:pt>
                <c:pt idx="509">
                  <c:v>31516</c:v>
                </c:pt>
                <c:pt idx="510">
                  <c:v>31517</c:v>
                </c:pt>
                <c:pt idx="511">
                  <c:v>31518</c:v>
                </c:pt>
                <c:pt idx="512">
                  <c:v>31519</c:v>
                </c:pt>
                <c:pt idx="513">
                  <c:v>31520</c:v>
                </c:pt>
                <c:pt idx="514">
                  <c:v>31521</c:v>
                </c:pt>
                <c:pt idx="515">
                  <c:v>31522</c:v>
                </c:pt>
                <c:pt idx="516">
                  <c:v>31523</c:v>
                </c:pt>
                <c:pt idx="517">
                  <c:v>31524</c:v>
                </c:pt>
                <c:pt idx="518">
                  <c:v>31525</c:v>
                </c:pt>
                <c:pt idx="519">
                  <c:v>31526</c:v>
                </c:pt>
                <c:pt idx="520">
                  <c:v>31527</c:v>
                </c:pt>
                <c:pt idx="521">
                  <c:v>31528</c:v>
                </c:pt>
                <c:pt idx="522">
                  <c:v>31529</c:v>
                </c:pt>
                <c:pt idx="523">
                  <c:v>31530</c:v>
                </c:pt>
                <c:pt idx="524">
                  <c:v>31531</c:v>
                </c:pt>
                <c:pt idx="525">
                  <c:v>31532</c:v>
                </c:pt>
                <c:pt idx="526">
                  <c:v>31533</c:v>
                </c:pt>
                <c:pt idx="527">
                  <c:v>31534</c:v>
                </c:pt>
                <c:pt idx="528">
                  <c:v>31535</c:v>
                </c:pt>
                <c:pt idx="529">
                  <c:v>31536</c:v>
                </c:pt>
                <c:pt idx="530">
                  <c:v>31537</c:v>
                </c:pt>
                <c:pt idx="531">
                  <c:v>31538</c:v>
                </c:pt>
                <c:pt idx="532">
                  <c:v>31539</c:v>
                </c:pt>
                <c:pt idx="533">
                  <c:v>31540</c:v>
                </c:pt>
                <c:pt idx="534">
                  <c:v>31541</c:v>
                </c:pt>
                <c:pt idx="535">
                  <c:v>31542</c:v>
                </c:pt>
                <c:pt idx="536">
                  <c:v>31543</c:v>
                </c:pt>
                <c:pt idx="537">
                  <c:v>31544</c:v>
                </c:pt>
                <c:pt idx="538">
                  <c:v>31545</c:v>
                </c:pt>
                <c:pt idx="539">
                  <c:v>31546</c:v>
                </c:pt>
                <c:pt idx="540">
                  <c:v>31547</c:v>
                </c:pt>
                <c:pt idx="541">
                  <c:v>31548</c:v>
                </c:pt>
                <c:pt idx="542">
                  <c:v>31549</c:v>
                </c:pt>
                <c:pt idx="543">
                  <c:v>31550</c:v>
                </c:pt>
                <c:pt idx="544">
                  <c:v>31551</c:v>
                </c:pt>
                <c:pt idx="545">
                  <c:v>31552</c:v>
                </c:pt>
                <c:pt idx="546">
                  <c:v>31553</c:v>
                </c:pt>
                <c:pt idx="547">
                  <c:v>31554</c:v>
                </c:pt>
                <c:pt idx="548">
                  <c:v>31555</c:v>
                </c:pt>
                <c:pt idx="549">
                  <c:v>31556</c:v>
                </c:pt>
                <c:pt idx="550">
                  <c:v>31557</c:v>
                </c:pt>
                <c:pt idx="551">
                  <c:v>31558</c:v>
                </c:pt>
                <c:pt idx="552">
                  <c:v>31559</c:v>
                </c:pt>
                <c:pt idx="553">
                  <c:v>31560</c:v>
                </c:pt>
                <c:pt idx="554">
                  <c:v>31561</c:v>
                </c:pt>
                <c:pt idx="555">
                  <c:v>31562</c:v>
                </c:pt>
                <c:pt idx="556">
                  <c:v>31563</c:v>
                </c:pt>
                <c:pt idx="557">
                  <c:v>31564</c:v>
                </c:pt>
                <c:pt idx="558">
                  <c:v>31565</c:v>
                </c:pt>
                <c:pt idx="559">
                  <c:v>31566</c:v>
                </c:pt>
                <c:pt idx="560">
                  <c:v>31567</c:v>
                </c:pt>
                <c:pt idx="561">
                  <c:v>31568</c:v>
                </c:pt>
                <c:pt idx="562">
                  <c:v>31569</c:v>
                </c:pt>
                <c:pt idx="563">
                  <c:v>31570</c:v>
                </c:pt>
                <c:pt idx="564">
                  <c:v>31571</c:v>
                </c:pt>
                <c:pt idx="565">
                  <c:v>31572</c:v>
                </c:pt>
                <c:pt idx="566">
                  <c:v>31573</c:v>
                </c:pt>
                <c:pt idx="567">
                  <c:v>31574</c:v>
                </c:pt>
                <c:pt idx="568">
                  <c:v>31575</c:v>
                </c:pt>
                <c:pt idx="569">
                  <c:v>31576</c:v>
                </c:pt>
                <c:pt idx="570">
                  <c:v>31577</c:v>
                </c:pt>
                <c:pt idx="571">
                  <c:v>31578</c:v>
                </c:pt>
                <c:pt idx="572">
                  <c:v>31579</c:v>
                </c:pt>
                <c:pt idx="573">
                  <c:v>31580</c:v>
                </c:pt>
                <c:pt idx="574">
                  <c:v>31581</c:v>
                </c:pt>
                <c:pt idx="575">
                  <c:v>31582</c:v>
                </c:pt>
                <c:pt idx="576">
                  <c:v>31583</c:v>
                </c:pt>
                <c:pt idx="577">
                  <c:v>31584</c:v>
                </c:pt>
                <c:pt idx="578">
                  <c:v>31585</c:v>
                </c:pt>
                <c:pt idx="579">
                  <c:v>31586</c:v>
                </c:pt>
                <c:pt idx="580">
                  <c:v>31587</c:v>
                </c:pt>
                <c:pt idx="581">
                  <c:v>31588</c:v>
                </c:pt>
                <c:pt idx="582">
                  <c:v>31589</c:v>
                </c:pt>
                <c:pt idx="583">
                  <c:v>31590</c:v>
                </c:pt>
                <c:pt idx="584">
                  <c:v>31591</c:v>
                </c:pt>
                <c:pt idx="585">
                  <c:v>31592</c:v>
                </c:pt>
                <c:pt idx="586">
                  <c:v>31593</c:v>
                </c:pt>
                <c:pt idx="587">
                  <c:v>31594</c:v>
                </c:pt>
                <c:pt idx="588">
                  <c:v>31595</c:v>
                </c:pt>
                <c:pt idx="589">
                  <c:v>31596</c:v>
                </c:pt>
                <c:pt idx="590">
                  <c:v>31597</c:v>
                </c:pt>
                <c:pt idx="591">
                  <c:v>31598</c:v>
                </c:pt>
                <c:pt idx="592">
                  <c:v>31599</c:v>
                </c:pt>
                <c:pt idx="593">
                  <c:v>31600</c:v>
                </c:pt>
                <c:pt idx="594">
                  <c:v>31601</c:v>
                </c:pt>
                <c:pt idx="595">
                  <c:v>31602</c:v>
                </c:pt>
                <c:pt idx="596">
                  <c:v>31603</c:v>
                </c:pt>
                <c:pt idx="597">
                  <c:v>31604</c:v>
                </c:pt>
                <c:pt idx="598">
                  <c:v>31605</c:v>
                </c:pt>
                <c:pt idx="599">
                  <c:v>31606</c:v>
                </c:pt>
                <c:pt idx="600">
                  <c:v>31607</c:v>
                </c:pt>
                <c:pt idx="601">
                  <c:v>31608</c:v>
                </c:pt>
                <c:pt idx="602">
                  <c:v>31609</c:v>
                </c:pt>
                <c:pt idx="603">
                  <c:v>31610</c:v>
                </c:pt>
                <c:pt idx="604">
                  <c:v>31611</c:v>
                </c:pt>
                <c:pt idx="605">
                  <c:v>31612</c:v>
                </c:pt>
                <c:pt idx="606">
                  <c:v>31613</c:v>
                </c:pt>
                <c:pt idx="607">
                  <c:v>31614</c:v>
                </c:pt>
                <c:pt idx="608">
                  <c:v>31615</c:v>
                </c:pt>
                <c:pt idx="609">
                  <c:v>31616</c:v>
                </c:pt>
                <c:pt idx="610">
                  <c:v>31617</c:v>
                </c:pt>
                <c:pt idx="611">
                  <c:v>31618</c:v>
                </c:pt>
                <c:pt idx="612">
                  <c:v>31619</c:v>
                </c:pt>
                <c:pt idx="613">
                  <c:v>31620</c:v>
                </c:pt>
                <c:pt idx="614">
                  <c:v>31621</c:v>
                </c:pt>
                <c:pt idx="615">
                  <c:v>31622</c:v>
                </c:pt>
                <c:pt idx="616">
                  <c:v>31623</c:v>
                </c:pt>
                <c:pt idx="617">
                  <c:v>31624</c:v>
                </c:pt>
                <c:pt idx="618">
                  <c:v>31625</c:v>
                </c:pt>
                <c:pt idx="619">
                  <c:v>31626</c:v>
                </c:pt>
                <c:pt idx="620">
                  <c:v>31627</c:v>
                </c:pt>
                <c:pt idx="621">
                  <c:v>31628</c:v>
                </c:pt>
                <c:pt idx="622">
                  <c:v>31629</c:v>
                </c:pt>
                <c:pt idx="623">
                  <c:v>31630</c:v>
                </c:pt>
                <c:pt idx="624">
                  <c:v>31631</c:v>
                </c:pt>
                <c:pt idx="625">
                  <c:v>31632</c:v>
                </c:pt>
                <c:pt idx="626">
                  <c:v>31633</c:v>
                </c:pt>
                <c:pt idx="627">
                  <c:v>31634</c:v>
                </c:pt>
                <c:pt idx="628">
                  <c:v>31635</c:v>
                </c:pt>
                <c:pt idx="629">
                  <c:v>31636</c:v>
                </c:pt>
                <c:pt idx="630">
                  <c:v>31637</c:v>
                </c:pt>
                <c:pt idx="631">
                  <c:v>31638</c:v>
                </c:pt>
                <c:pt idx="632">
                  <c:v>31639</c:v>
                </c:pt>
                <c:pt idx="633">
                  <c:v>31640</c:v>
                </c:pt>
                <c:pt idx="634">
                  <c:v>31641</c:v>
                </c:pt>
                <c:pt idx="635">
                  <c:v>31642</c:v>
                </c:pt>
                <c:pt idx="636">
                  <c:v>31643</c:v>
                </c:pt>
                <c:pt idx="637">
                  <c:v>31644</c:v>
                </c:pt>
                <c:pt idx="638">
                  <c:v>31645</c:v>
                </c:pt>
                <c:pt idx="639">
                  <c:v>31646</c:v>
                </c:pt>
                <c:pt idx="640">
                  <c:v>31647</c:v>
                </c:pt>
                <c:pt idx="641">
                  <c:v>31648</c:v>
                </c:pt>
                <c:pt idx="642">
                  <c:v>31649</c:v>
                </c:pt>
                <c:pt idx="643">
                  <c:v>31650</c:v>
                </c:pt>
                <c:pt idx="644">
                  <c:v>31651</c:v>
                </c:pt>
                <c:pt idx="645">
                  <c:v>31652</c:v>
                </c:pt>
                <c:pt idx="646">
                  <c:v>31653</c:v>
                </c:pt>
                <c:pt idx="647">
                  <c:v>31654</c:v>
                </c:pt>
                <c:pt idx="648">
                  <c:v>31655</c:v>
                </c:pt>
                <c:pt idx="649">
                  <c:v>31656</c:v>
                </c:pt>
                <c:pt idx="650">
                  <c:v>31657</c:v>
                </c:pt>
                <c:pt idx="651">
                  <c:v>31658</c:v>
                </c:pt>
                <c:pt idx="652">
                  <c:v>31659</c:v>
                </c:pt>
                <c:pt idx="653">
                  <c:v>31660</c:v>
                </c:pt>
                <c:pt idx="654">
                  <c:v>31661</c:v>
                </c:pt>
                <c:pt idx="655">
                  <c:v>31662</c:v>
                </c:pt>
                <c:pt idx="656">
                  <c:v>31663</c:v>
                </c:pt>
                <c:pt idx="657">
                  <c:v>31664</c:v>
                </c:pt>
                <c:pt idx="658">
                  <c:v>31665</c:v>
                </c:pt>
                <c:pt idx="659">
                  <c:v>31666</c:v>
                </c:pt>
                <c:pt idx="660">
                  <c:v>31667</c:v>
                </c:pt>
                <c:pt idx="661">
                  <c:v>31668</c:v>
                </c:pt>
                <c:pt idx="662">
                  <c:v>31669</c:v>
                </c:pt>
                <c:pt idx="663">
                  <c:v>31670</c:v>
                </c:pt>
                <c:pt idx="664">
                  <c:v>31671</c:v>
                </c:pt>
                <c:pt idx="665">
                  <c:v>31672</c:v>
                </c:pt>
                <c:pt idx="666">
                  <c:v>31673</c:v>
                </c:pt>
                <c:pt idx="667">
                  <c:v>31674</c:v>
                </c:pt>
                <c:pt idx="668">
                  <c:v>31675</c:v>
                </c:pt>
                <c:pt idx="669">
                  <c:v>31676</c:v>
                </c:pt>
                <c:pt idx="670">
                  <c:v>31677</c:v>
                </c:pt>
                <c:pt idx="671">
                  <c:v>31678</c:v>
                </c:pt>
                <c:pt idx="672">
                  <c:v>31679</c:v>
                </c:pt>
                <c:pt idx="673">
                  <c:v>31680</c:v>
                </c:pt>
                <c:pt idx="674">
                  <c:v>31681</c:v>
                </c:pt>
                <c:pt idx="675">
                  <c:v>31682</c:v>
                </c:pt>
                <c:pt idx="676">
                  <c:v>31683</c:v>
                </c:pt>
                <c:pt idx="677">
                  <c:v>31684</c:v>
                </c:pt>
                <c:pt idx="678">
                  <c:v>31685</c:v>
                </c:pt>
                <c:pt idx="679">
                  <c:v>31686</c:v>
                </c:pt>
                <c:pt idx="680">
                  <c:v>31687</c:v>
                </c:pt>
                <c:pt idx="681">
                  <c:v>31688</c:v>
                </c:pt>
                <c:pt idx="682">
                  <c:v>31689</c:v>
                </c:pt>
                <c:pt idx="683">
                  <c:v>31690</c:v>
                </c:pt>
                <c:pt idx="684">
                  <c:v>31691</c:v>
                </c:pt>
                <c:pt idx="685">
                  <c:v>31692</c:v>
                </c:pt>
                <c:pt idx="686">
                  <c:v>31693</c:v>
                </c:pt>
                <c:pt idx="687">
                  <c:v>31694</c:v>
                </c:pt>
                <c:pt idx="688">
                  <c:v>31695</c:v>
                </c:pt>
                <c:pt idx="689">
                  <c:v>31696</c:v>
                </c:pt>
                <c:pt idx="690">
                  <c:v>31697</c:v>
                </c:pt>
                <c:pt idx="691">
                  <c:v>31698</c:v>
                </c:pt>
                <c:pt idx="692">
                  <c:v>31699</c:v>
                </c:pt>
                <c:pt idx="693">
                  <c:v>31700</c:v>
                </c:pt>
                <c:pt idx="694">
                  <c:v>31701</c:v>
                </c:pt>
                <c:pt idx="695">
                  <c:v>31702</c:v>
                </c:pt>
                <c:pt idx="696">
                  <c:v>31703</c:v>
                </c:pt>
                <c:pt idx="697">
                  <c:v>31704</c:v>
                </c:pt>
                <c:pt idx="698">
                  <c:v>31705</c:v>
                </c:pt>
                <c:pt idx="699">
                  <c:v>31706</c:v>
                </c:pt>
                <c:pt idx="700">
                  <c:v>31707</c:v>
                </c:pt>
                <c:pt idx="701">
                  <c:v>31708</c:v>
                </c:pt>
                <c:pt idx="702">
                  <c:v>31709</c:v>
                </c:pt>
                <c:pt idx="703">
                  <c:v>31710</c:v>
                </c:pt>
                <c:pt idx="704">
                  <c:v>31711</c:v>
                </c:pt>
                <c:pt idx="705">
                  <c:v>31712</c:v>
                </c:pt>
                <c:pt idx="706">
                  <c:v>31713</c:v>
                </c:pt>
                <c:pt idx="707">
                  <c:v>31714</c:v>
                </c:pt>
                <c:pt idx="708">
                  <c:v>31715</c:v>
                </c:pt>
                <c:pt idx="709">
                  <c:v>31716</c:v>
                </c:pt>
                <c:pt idx="710">
                  <c:v>31717</c:v>
                </c:pt>
                <c:pt idx="711">
                  <c:v>31718</c:v>
                </c:pt>
                <c:pt idx="712">
                  <c:v>31719</c:v>
                </c:pt>
                <c:pt idx="713">
                  <c:v>31720</c:v>
                </c:pt>
                <c:pt idx="714">
                  <c:v>31721</c:v>
                </c:pt>
                <c:pt idx="715">
                  <c:v>31722</c:v>
                </c:pt>
                <c:pt idx="716">
                  <c:v>31723</c:v>
                </c:pt>
                <c:pt idx="717">
                  <c:v>31724</c:v>
                </c:pt>
                <c:pt idx="718">
                  <c:v>31725</c:v>
                </c:pt>
                <c:pt idx="719">
                  <c:v>31726</c:v>
                </c:pt>
                <c:pt idx="720">
                  <c:v>31727</c:v>
                </c:pt>
                <c:pt idx="721">
                  <c:v>31728</c:v>
                </c:pt>
                <c:pt idx="722">
                  <c:v>31729</c:v>
                </c:pt>
                <c:pt idx="723">
                  <c:v>31730</c:v>
                </c:pt>
                <c:pt idx="724">
                  <c:v>31731</c:v>
                </c:pt>
                <c:pt idx="725">
                  <c:v>31732</c:v>
                </c:pt>
                <c:pt idx="726">
                  <c:v>31733</c:v>
                </c:pt>
                <c:pt idx="727">
                  <c:v>31734</c:v>
                </c:pt>
                <c:pt idx="728">
                  <c:v>31735</c:v>
                </c:pt>
                <c:pt idx="729">
                  <c:v>31736</c:v>
                </c:pt>
                <c:pt idx="730">
                  <c:v>31737</c:v>
                </c:pt>
                <c:pt idx="731">
                  <c:v>31738</c:v>
                </c:pt>
                <c:pt idx="732">
                  <c:v>31739</c:v>
                </c:pt>
                <c:pt idx="733">
                  <c:v>31740</c:v>
                </c:pt>
                <c:pt idx="734">
                  <c:v>31741</c:v>
                </c:pt>
                <c:pt idx="735">
                  <c:v>31742</c:v>
                </c:pt>
                <c:pt idx="736">
                  <c:v>31743</c:v>
                </c:pt>
                <c:pt idx="737">
                  <c:v>31744</c:v>
                </c:pt>
                <c:pt idx="738">
                  <c:v>31745</c:v>
                </c:pt>
                <c:pt idx="739">
                  <c:v>31746</c:v>
                </c:pt>
                <c:pt idx="740">
                  <c:v>31747</c:v>
                </c:pt>
                <c:pt idx="741">
                  <c:v>31748</c:v>
                </c:pt>
                <c:pt idx="742">
                  <c:v>31749</c:v>
                </c:pt>
                <c:pt idx="743">
                  <c:v>31750</c:v>
                </c:pt>
                <c:pt idx="744">
                  <c:v>31751</c:v>
                </c:pt>
                <c:pt idx="745">
                  <c:v>31752</c:v>
                </c:pt>
                <c:pt idx="746">
                  <c:v>31753</c:v>
                </c:pt>
                <c:pt idx="747">
                  <c:v>31754</c:v>
                </c:pt>
                <c:pt idx="748">
                  <c:v>31755</c:v>
                </c:pt>
                <c:pt idx="749">
                  <c:v>31756</c:v>
                </c:pt>
                <c:pt idx="750">
                  <c:v>31757</c:v>
                </c:pt>
                <c:pt idx="751">
                  <c:v>31758</c:v>
                </c:pt>
                <c:pt idx="752">
                  <c:v>31759</c:v>
                </c:pt>
                <c:pt idx="753">
                  <c:v>31760</c:v>
                </c:pt>
                <c:pt idx="754">
                  <c:v>31761</c:v>
                </c:pt>
                <c:pt idx="755">
                  <c:v>31762</c:v>
                </c:pt>
                <c:pt idx="756">
                  <c:v>31763</c:v>
                </c:pt>
                <c:pt idx="757">
                  <c:v>31764</c:v>
                </c:pt>
                <c:pt idx="758">
                  <c:v>31765</c:v>
                </c:pt>
                <c:pt idx="759">
                  <c:v>31766</c:v>
                </c:pt>
                <c:pt idx="760">
                  <c:v>31767</c:v>
                </c:pt>
                <c:pt idx="761">
                  <c:v>31768</c:v>
                </c:pt>
                <c:pt idx="762">
                  <c:v>31769</c:v>
                </c:pt>
                <c:pt idx="763">
                  <c:v>31770</c:v>
                </c:pt>
                <c:pt idx="764">
                  <c:v>31771</c:v>
                </c:pt>
                <c:pt idx="765">
                  <c:v>31772</c:v>
                </c:pt>
                <c:pt idx="766">
                  <c:v>31773</c:v>
                </c:pt>
                <c:pt idx="767">
                  <c:v>31774</c:v>
                </c:pt>
                <c:pt idx="768">
                  <c:v>31775</c:v>
                </c:pt>
                <c:pt idx="769">
                  <c:v>31776</c:v>
                </c:pt>
                <c:pt idx="770">
                  <c:v>31777</c:v>
                </c:pt>
                <c:pt idx="771">
                  <c:v>31778</c:v>
                </c:pt>
                <c:pt idx="772">
                  <c:v>31779</c:v>
                </c:pt>
                <c:pt idx="773">
                  <c:v>31780</c:v>
                </c:pt>
                <c:pt idx="774">
                  <c:v>31781</c:v>
                </c:pt>
                <c:pt idx="775">
                  <c:v>31782</c:v>
                </c:pt>
                <c:pt idx="776">
                  <c:v>31783</c:v>
                </c:pt>
                <c:pt idx="777">
                  <c:v>31784</c:v>
                </c:pt>
                <c:pt idx="778">
                  <c:v>31785</c:v>
                </c:pt>
                <c:pt idx="779">
                  <c:v>31786</c:v>
                </c:pt>
                <c:pt idx="780">
                  <c:v>31787</c:v>
                </c:pt>
                <c:pt idx="781">
                  <c:v>31788</c:v>
                </c:pt>
                <c:pt idx="782">
                  <c:v>31789</c:v>
                </c:pt>
                <c:pt idx="783">
                  <c:v>31790</c:v>
                </c:pt>
                <c:pt idx="784">
                  <c:v>31791</c:v>
                </c:pt>
                <c:pt idx="785">
                  <c:v>31792</c:v>
                </c:pt>
                <c:pt idx="786">
                  <c:v>31793</c:v>
                </c:pt>
                <c:pt idx="787">
                  <c:v>31794</c:v>
                </c:pt>
                <c:pt idx="788">
                  <c:v>31795</c:v>
                </c:pt>
                <c:pt idx="789">
                  <c:v>31796</c:v>
                </c:pt>
                <c:pt idx="790">
                  <c:v>31797</c:v>
                </c:pt>
                <c:pt idx="791">
                  <c:v>31798</c:v>
                </c:pt>
                <c:pt idx="792">
                  <c:v>31799</c:v>
                </c:pt>
                <c:pt idx="793">
                  <c:v>31800</c:v>
                </c:pt>
                <c:pt idx="794">
                  <c:v>31801</c:v>
                </c:pt>
                <c:pt idx="795">
                  <c:v>31802</c:v>
                </c:pt>
                <c:pt idx="796">
                  <c:v>31803</c:v>
                </c:pt>
                <c:pt idx="797">
                  <c:v>31804</c:v>
                </c:pt>
                <c:pt idx="798">
                  <c:v>31805</c:v>
                </c:pt>
                <c:pt idx="799">
                  <c:v>31806</c:v>
                </c:pt>
                <c:pt idx="800">
                  <c:v>31807</c:v>
                </c:pt>
                <c:pt idx="801">
                  <c:v>31808</c:v>
                </c:pt>
                <c:pt idx="802">
                  <c:v>31809</c:v>
                </c:pt>
                <c:pt idx="803">
                  <c:v>31810</c:v>
                </c:pt>
                <c:pt idx="804">
                  <c:v>31811</c:v>
                </c:pt>
                <c:pt idx="805">
                  <c:v>31812</c:v>
                </c:pt>
                <c:pt idx="806">
                  <c:v>31813</c:v>
                </c:pt>
                <c:pt idx="807">
                  <c:v>31814</c:v>
                </c:pt>
                <c:pt idx="808">
                  <c:v>31815</c:v>
                </c:pt>
                <c:pt idx="809">
                  <c:v>31816</c:v>
                </c:pt>
                <c:pt idx="810">
                  <c:v>31817</c:v>
                </c:pt>
                <c:pt idx="811">
                  <c:v>31818</c:v>
                </c:pt>
                <c:pt idx="812">
                  <c:v>31819</c:v>
                </c:pt>
                <c:pt idx="813">
                  <c:v>31820</c:v>
                </c:pt>
                <c:pt idx="814">
                  <c:v>31821</c:v>
                </c:pt>
                <c:pt idx="815">
                  <c:v>31822</c:v>
                </c:pt>
                <c:pt idx="816">
                  <c:v>31823</c:v>
                </c:pt>
                <c:pt idx="817">
                  <c:v>31824</c:v>
                </c:pt>
                <c:pt idx="818">
                  <c:v>31825</c:v>
                </c:pt>
                <c:pt idx="819">
                  <c:v>31826</c:v>
                </c:pt>
                <c:pt idx="820">
                  <c:v>31827</c:v>
                </c:pt>
                <c:pt idx="821">
                  <c:v>31828</c:v>
                </c:pt>
                <c:pt idx="822">
                  <c:v>31829</c:v>
                </c:pt>
                <c:pt idx="823">
                  <c:v>31830</c:v>
                </c:pt>
                <c:pt idx="824">
                  <c:v>31831</c:v>
                </c:pt>
                <c:pt idx="825">
                  <c:v>31832</c:v>
                </c:pt>
                <c:pt idx="826">
                  <c:v>31833</c:v>
                </c:pt>
                <c:pt idx="827">
                  <c:v>31834</c:v>
                </c:pt>
                <c:pt idx="828">
                  <c:v>31835</c:v>
                </c:pt>
                <c:pt idx="829">
                  <c:v>31836</c:v>
                </c:pt>
                <c:pt idx="830">
                  <c:v>31837</c:v>
                </c:pt>
                <c:pt idx="831">
                  <c:v>31838</c:v>
                </c:pt>
                <c:pt idx="832">
                  <c:v>31839</c:v>
                </c:pt>
                <c:pt idx="833">
                  <c:v>31840</c:v>
                </c:pt>
                <c:pt idx="834">
                  <c:v>31841</c:v>
                </c:pt>
                <c:pt idx="835">
                  <c:v>31842</c:v>
                </c:pt>
                <c:pt idx="836">
                  <c:v>31843</c:v>
                </c:pt>
                <c:pt idx="837">
                  <c:v>31844</c:v>
                </c:pt>
                <c:pt idx="838">
                  <c:v>31845</c:v>
                </c:pt>
                <c:pt idx="839">
                  <c:v>31846</c:v>
                </c:pt>
                <c:pt idx="840">
                  <c:v>31847</c:v>
                </c:pt>
                <c:pt idx="841">
                  <c:v>31848</c:v>
                </c:pt>
                <c:pt idx="842">
                  <c:v>31849</c:v>
                </c:pt>
                <c:pt idx="843">
                  <c:v>31850</c:v>
                </c:pt>
                <c:pt idx="844">
                  <c:v>31851</c:v>
                </c:pt>
                <c:pt idx="845">
                  <c:v>31852</c:v>
                </c:pt>
                <c:pt idx="846">
                  <c:v>31853</c:v>
                </c:pt>
                <c:pt idx="847">
                  <c:v>31854</c:v>
                </c:pt>
                <c:pt idx="848">
                  <c:v>31855</c:v>
                </c:pt>
                <c:pt idx="849">
                  <c:v>31856</c:v>
                </c:pt>
                <c:pt idx="850">
                  <c:v>31857</c:v>
                </c:pt>
                <c:pt idx="851">
                  <c:v>31858</c:v>
                </c:pt>
                <c:pt idx="852">
                  <c:v>31859</c:v>
                </c:pt>
                <c:pt idx="853">
                  <c:v>31860</c:v>
                </c:pt>
                <c:pt idx="854">
                  <c:v>31861</c:v>
                </c:pt>
                <c:pt idx="855">
                  <c:v>31862</c:v>
                </c:pt>
                <c:pt idx="856">
                  <c:v>31863</c:v>
                </c:pt>
                <c:pt idx="857">
                  <c:v>31864</c:v>
                </c:pt>
                <c:pt idx="858">
                  <c:v>31865</c:v>
                </c:pt>
                <c:pt idx="859">
                  <c:v>31866</c:v>
                </c:pt>
                <c:pt idx="860">
                  <c:v>31867</c:v>
                </c:pt>
                <c:pt idx="861">
                  <c:v>31868</c:v>
                </c:pt>
                <c:pt idx="862">
                  <c:v>31869</c:v>
                </c:pt>
                <c:pt idx="863">
                  <c:v>31870</c:v>
                </c:pt>
                <c:pt idx="864">
                  <c:v>31871</c:v>
                </c:pt>
                <c:pt idx="865">
                  <c:v>31872</c:v>
                </c:pt>
                <c:pt idx="866">
                  <c:v>31873</c:v>
                </c:pt>
                <c:pt idx="867">
                  <c:v>31874</c:v>
                </c:pt>
                <c:pt idx="868">
                  <c:v>31875</c:v>
                </c:pt>
                <c:pt idx="869">
                  <c:v>31876</c:v>
                </c:pt>
                <c:pt idx="870">
                  <c:v>31877</c:v>
                </c:pt>
                <c:pt idx="871">
                  <c:v>31878</c:v>
                </c:pt>
                <c:pt idx="872">
                  <c:v>31879</c:v>
                </c:pt>
                <c:pt idx="873">
                  <c:v>31880</c:v>
                </c:pt>
                <c:pt idx="874">
                  <c:v>31881</c:v>
                </c:pt>
                <c:pt idx="875">
                  <c:v>31882</c:v>
                </c:pt>
                <c:pt idx="876">
                  <c:v>31883</c:v>
                </c:pt>
                <c:pt idx="877">
                  <c:v>31884</c:v>
                </c:pt>
                <c:pt idx="878">
                  <c:v>31885</c:v>
                </c:pt>
                <c:pt idx="879">
                  <c:v>31886</c:v>
                </c:pt>
                <c:pt idx="880">
                  <c:v>31887</c:v>
                </c:pt>
                <c:pt idx="881">
                  <c:v>31888</c:v>
                </c:pt>
                <c:pt idx="882">
                  <c:v>31889</c:v>
                </c:pt>
                <c:pt idx="883">
                  <c:v>31890</c:v>
                </c:pt>
                <c:pt idx="884">
                  <c:v>31891</c:v>
                </c:pt>
                <c:pt idx="885">
                  <c:v>31892</c:v>
                </c:pt>
                <c:pt idx="886">
                  <c:v>31893</c:v>
                </c:pt>
                <c:pt idx="887">
                  <c:v>31894</c:v>
                </c:pt>
                <c:pt idx="888">
                  <c:v>31895</c:v>
                </c:pt>
                <c:pt idx="889">
                  <c:v>31896</c:v>
                </c:pt>
                <c:pt idx="890">
                  <c:v>31897</c:v>
                </c:pt>
                <c:pt idx="891">
                  <c:v>31898</c:v>
                </c:pt>
                <c:pt idx="892">
                  <c:v>31899</c:v>
                </c:pt>
                <c:pt idx="893">
                  <c:v>31900</c:v>
                </c:pt>
                <c:pt idx="894">
                  <c:v>31901</c:v>
                </c:pt>
                <c:pt idx="895">
                  <c:v>31902</c:v>
                </c:pt>
                <c:pt idx="896">
                  <c:v>31903</c:v>
                </c:pt>
                <c:pt idx="897">
                  <c:v>31904</c:v>
                </c:pt>
                <c:pt idx="898">
                  <c:v>31905</c:v>
                </c:pt>
                <c:pt idx="899">
                  <c:v>31906</c:v>
                </c:pt>
                <c:pt idx="900">
                  <c:v>31907</c:v>
                </c:pt>
                <c:pt idx="901">
                  <c:v>31908</c:v>
                </c:pt>
                <c:pt idx="902">
                  <c:v>31909</c:v>
                </c:pt>
                <c:pt idx="903">
                  <c:v>31910</c:v>
                </c:pt>
                <c:pt idx="904">
                  <c:v>31911</c:v>
                </c:pt>
                <c:pt idx="905">
                  <c:v>31912</c:v>
                </c:pt>
                <c:pt idx="906">
                  <c:v>31913</c:v>
                </c:pt>
                <c:pt idx="907">
                  <c:v>31914</c:v>
                </c:pt>
                <c:pt idx="908">
                  <c:v>31915</c:v>
                </c:pt>
                <c:pt idx="909">
                  <c:v>31916</c:v>
                </c:pt>
                <c:pt idx="910">
                  <c:v>31917</c:v>
                </c:pt>
                <c:pt idx="911">
                  <c:v>31918</c:v>
                </c:pt>
                <c:pt idx="912">
                  <c:v>31919</c:v>
                </c:pt>
                <c:pt idx="913">
                  <c:v>31920</c:v>
                </c:pt>
                <c:pt idx="914">
                  <c:v>31921</c:v>
                </c:pt>
                <c:pt idx="915">
                  <c:v>31922</c:v>
                </c:pt>
                <c:pt idx="916">
                  <c:v>31923</c:v>
                </c:pt>
                <c:pt idx="917">
                  <c:v>31924</c:v>
                </c:pt>
                <c:pt idx="918">
                  <c:v>31925</c:v>
                </c:pt>
                <c:pt idx="919">
                  <c:v>31926</c:v>
                </c:pt>
                <c:pt idx="920">
                  <c:v>31927</c:v>
                </c:pt>
                <c:pt idx="921">
                  <c:v>31928</c:v>
                </c:pt>
                <c:pt idx="922">
                  <c:v>31929</c:v>
                </c:pt>
                <c:pt idx="923">
                  <c:v>31930</c:v>
                </c:pt>
                <c:pt idx="924">
                  <c:v>31931</c:v>
                </c:pt>
                <c:pt idx="925">
                  <c:v>31932</c:v>
                </c:pt>
                <c:pt idx="926">
                  <c:v>31933</c:v>
                </c:pt>
                <c:pt idx="927">
                  <c:v>31934</c:v>
                </c:pt>
                <c:pt idx="928">
                  <c:v>31935</c:v>
                </c:pt>
                <c:pt idx="929">
                  <c:v>31936</c:v>
                </c:pt>
                <c:pt idx="930">
                  <c:v>31937</c:v>
                </c:pt>
                <c:pt idx="931">
                  <c:v>31938</c:v>
                </c:pt>
                <c:pt idx="932">
                  <c:v>31939</c:v>
                </c:pt>
                <c:pt idx="933">
                  <c:v>31940</c:v>
                </c:pt>
                <c:pt idx="934">
                  <c:v>31941</c:v>
                </c:pt>
                <c:pt idx="935">
                  <c:v>31942</c:v>
                </c:pt>
                <c:pt idx="936">
                  <c:v>31943</c:v>
                </c:pt>
                <c:pt idx="937">
                  <c:v>31944</c:v>
                </c:pt>
                <c:pt idx="938">
                  <c:v>31945</c:v>
                </c:pt>
                <c:pt idx="939">
                  <c:v>31946</c:v>
                </c:pt>
                <c:pt idx="940">
                  <c:v>31947</c:v>
                </c:pt>
                <c:pt idx="941">
                  <c:v>31948</c:v>
                </c:pt>
                <c:pt idx="942">
                  <c:v>31949</c:v>
                </c:pt>
                <c:pt idx="943">
                  <c:v>31950</c:v>
                </c:pt>
                <c:pt idx="944">
                  <c:v>31951</c:v>
                </c:pt>
                <c:pt idx="945">
                  <c:v>31952</c:v>
                </c:pt>
                <c:pt idx="946">
                  <c:v>31953</c:v>
                </c:pt>
                <c:pt idx="947">
                  <c:v>31954</c:v>
                </c:pt>
                <c:pt idx="948">
                  <c:v>31955</c:v>
                </c:pt>
                <c:pt idx="949">
                  <c:v>31956</c:v>
                </c:pt>
                <c:pt idx="950">
                  <c:v>31957</c:v>
                </c:pt>
                <c:pt idx="951">
                  <c:v>31958</c:v>
                </c:pt>
                <c:pt idx="952">
                  <c:v>31959</c:v>
                </c:pt>
                <c:pt idx="953">
                  <c:v>31960</c:v>
                </c:pt>
                <c:pt idx="954">
                  <c:v>31961</c:v>
                </c:pt>
                <c:pt idx="955">
                  <c:v>31962</c:v>
                </c:pt>
                <c:pt idx="956">
                  <c:v>31963</c:v>
                </c:pt>
                <c:pt idx="957">
                  <c:v>31964</c:v>
                </c:pt>
                <c:pt idx="958">
                  <c:v>31965</c:v>
                </c:pt>
                <c:pt idx="959">
                  <c:v>31966</c:v>
                </c:pt>
                <c:pt idx="960">
                  <c:v>31967</c:v>
                </c:pt>
                <c:pt idx="961">
                  <c:v>31968</c:v>
                </c:pt>
                <c:pt idx="962">
                  <c:v>31969</c:v>
                </c:pt>
                <c:pt idx="963">
                  <c:v>31970</c:v>
                </c:pt>
                <c:pt idx="964">
                  <c:v>31971</c:v>
                </c:pt>
                <c:pt idx="965">
                  <c:v>31972</c:v>
                </c:pt>
                <c:pt idx="966">
                  <c:v>31973</c:v>
                </c:pt>
                <c:pt idx="967">
                  <c:v>31974</c:v>
                </c:pt>
                <c:pt idx="968">
                  <c:v>31975</c:v>
                </c:pt>
                <c:pt idx="969">
                  <c:v>31976</c:v>
                </c:pt>
                <c:pt idx="970">
                  <c:v>31977</c:v>
                </c:pt>
                <c:pt idx="971">
                  <c:v>31978</c:v>
                </c:pt>
                <c:pt idx="972">
                  <c:v>31979</c:v>
                </c:pt>
                <c:pt idx="973">
                  <c:v>31980</c:v>
                </c:pt>
                <c:pt idx="974">
                  <c:v>31981</c:v>
                </c:pt>
                <c:pt idx="975">
                  <c:v>31982</c:v>
                </c:pt>
                <c:pt idx="976">
                  <c:v>31983</c:v>
                </c:pt>
                <c:pt idx="977">
                  <c:v>31984</c:v>
                </c:pt>
                <c:pt idx="978">
                  <c:v>31985</c:v>
                </c:pt>
                <c:pt idx="979">
                  <c:v>31986</c:v>
                </c:pt>
                <c:pt idx="980">
                  <c:v>31987</c:v>
                </c:pt>
                <c:pt idx="981">
                  <c:v>31988</c:v>
                </c:pt>
                <c:pt idx="982">
                  <c:v>31989</c:v>
                </c:pt>
                <c:pt idx="983">
                  <c:v>31990</c:v>
                </c:pt>
                <c:pt idx="984">
                  <c:v>31991</c:v>
                </c:pt>
                <c:pt idx="985">
                  <c:v>31992</c:v>
                </c:pt>
                <c:pt idx="986">
                  <c:v>31993</c:v>
                </c:pt>
                <c:pt idx="987">
                  <c:v>31994</c:v>
                </c:pt>
                <c:pt idx="988">
                  <c:v>31995</c:v>
                </c:pt>
                <c:pt idx="989">
                  <c:v>31996</c:v>
                </c:pt>
                <c:pt idx="990">
                  <c:v>31997</c:v>
                </c:pt>
                <c:pt idx="991">
                  <c:v>31998</c:v>
                </c:pt>
                <c:pt idx="992">
                  <c:v>31999</c:v>
                </c:pt>
                <c:pt idx="993">
                  <c:v>32000</c:v>
                </c:pt>
                <c:pt idx="994">
                  <c:v>32001</c:v>
                </c:pt>
                <c:pt idx="995">
                  <c:v>32002</c:v>
                </c:pt>
                <c:pt idx="996">
                  <c:v>32003</c:v>
                </c:pt>
                <c:pt idx="997">
                  <c:v>32004</c:v>
                </c:pt>
                <c:pt idx="998">
                  <c:v>32005</c:v>
                </c:pt>
                <c:pt idx="999">
                  <c:v>32006</c:v>
                </c:pt>
                <c:pt idx="1000">
                  <c:v>32007</c:v>
                </c:pt>
                <c:pt idx="1001">
                  <c:v>32008</c:v>
                </c:pt>
                <c:pt idx="1002">
                  <c:v>32009</c:v>
                </c:pt>
                <c:pt idx="1003">
                  <c:v>32010</c:v>
                </c:pt>
                <c:pt idx="1004">
                  <c:v>32011</c:v>
                </c:pt>
                <c:pt idx="1005">
                  <c:v>32012</c:v>
                </c:pt>
                <c:pt idx="1006">
                  <c:v>32013</c:v>
                </c:pt>
                <c:pt idx="1007">
                  <c:v>32014</c:v>
                </c:pt>
                <c:pt idx="1008">
                  <c:v>32015</c:v>
                </c:pt>
                <c:pt idx="1009">
                  <c:v>32016</c:v>
                </c:pt>
                <c:pt idx="1010">
                  <c:v>32017</c:v>
                </c:pt>
                <c:pt idx="1011">
                  <c:v>32018</c:v>
                </c:pt>
                <c:pt idx="1012">
                  <c:v>32019</c:v>
                </c:pt>
                <c:pt idx="1013">
                  <c:v>32020</c:v>
                </c:pt>
                <c:pt idx="1014">
                  <c:v>32021</c:v>
                </c:pt>
                <c:pt idx="1015">
                  <c:v>32022</c:v>
                </c:pt>
                <c:pt idx="1016">
                  <c:v>32023</c:v>
                </c:pt>
                <c:pt idx="1017">
                  <c:v>32024</c:v>
                </c:pt>
                <c:pt idx="1018">
                  <c:v>32025</c:v>
                </c:pt>
                <c:pt idx="1019">
                  <c:v>32026</c:v>
                </c:pt>
                <c:pt idx="1020">
                  <c:v>32027</c:v>
                </c:pt>
                <c:pt idx="1021">
                  <c:v>32028</c:v>
                </c:pt>
                <c:pt idx="1022">
                  <c:v>32029</c:v>
                </c:pt>
                <c:pt idx="1023">
                  <c:v>32030</c:v>
                </c:pt>
                <c:pt idx="1024">
                  <c:v>32031</c:v>
                </c:pt>
                <c:pt idx="1025">
                  <c:v>32032</c:v>
                </c:pt>
                <c:pt idx="1026">
                  <c:v>32033</c:v>
                </c:pt>
                <c:pt idx="1027">
                  <c:v>32034</c:v>
                </c:pt>
                <c:pt idx="1028">
                  <c:v>32035</c:v>
                </c:pt>
                <c:pt idx="1029">
                  <c:v>32036</c:v>
                </c:pt>
                <c:pt idx="1030">
                  <c:v>32037</c:v>
                </c:pt>
                <c:pt idx="1031">
                  <c:v>32038</c:v>
                </c:pt>
                <c:pt idx="1032">
                  <c:v>32039</c:v>
                </c:pt>
                <c:pt idx="1033">
                  <c:v>32040</c:v>
                </c:pt>
                <c:pt idx="1034">
                  <c:v>32041</c:v>
                </c:pt>
                <c:pt idx="1035">
                  <c:v>32042</c:v>
                </c:pt>
                <c:pt idx="1036">
                  <c:v>32043</c:v>
                </c:pt>
                <c:pt idx="1037">
                  <c:v>32044</c:v>
                </c:pt>
                <c:pt idx="1038">
                  <c:v>32045</c:v>
                </c:pt>
                <c:pt idx="1039">
                  <c:v>32046</c:v>
                </c:pt>
                <c:pt idx="1040">
                  <c:v>32047</c:v>
                </c:pt>
                <c:pt idx="1041">
                  <c:v>32048</c:v>
                </c:pt>
                <c:pt idx="1042">
                  <c:v>32049</c:v>
                </c:pt>
                <c:pt idx="1043">
                  <c:v>32050</c:v>
                </c:pt>
                <c:pt idx="1044">
                  <c:v>32051</c:v>
                </c:pt>
                <c:pt idx="1045">
                  <c:v>32052</c:v>
                </c:pt>
                <c:pt idx="1046">
                  <c:v>32053</c:v>
                </c:pt>
                <c:pt idx="1047">
                  <c:v>32054</c:v>
                </c:pt>
                <c:pt idx="1048">
                  <c:v>32055</c:v>
                </c:pt>
                <c:pt idx="1049">
                  <c:v>32056</c:v>
                </c:pt>
                <c:pt idx="1050">
                  <c:v>32057</c:v>
                </c:pt>
                <c:pt idx="1051">
                  <c:v>32058</c:v>
                </c:pt>
                <c:pt idx="1052">
                  <c:v>32059</c:v>
                </c:pt>
                <c:pt idx="1053">
                  <c:v>32060</c:v>
                </c:pt>
                <c:pt idx="1054">
                  <c:v>32061</c:v>
                </c:pt>
                <c:pt idx="1055">
                  <c:v>32062</c:v>
                </c:pt>
                <c:pt idx="1056">
                  <c:v>32063</c:v>
                </c:pt>
                <c:pt idx="1057">
                  <c:v>32064</c:v>
                </c:pt>
                <c:pt idx="1058">
                  <c:v>32065</c:v>
                </c:pt>
                <c:pt idx="1059">
                  <c:v>32066</c:v>
                </c:pt>
                <c:pt idx="1060">
                  <c:v>32067</c:v>
                </c:pt>
                <c:pt idx="1061">
                  <c:v>32068</c:v>
                </c:pt>
                <c:pt idx="1062">
                  <c:v>32069</c:v>
                </c:pt>
                <c:pt idx="1063">
                  <c:v>32070</c:v>
                </c:pt>
                <c:pt idx="1064">
                  <c:v>32071</c:v>
                </c:pt>
                <c:pt idx="1065">
                  <c:v>32072</c:v>
                </c:pt>
                <c:pt idx="1066">
                  <c:v>32073</c:v>
                </c:pt>
                <c:pt idx="1067">
                  <c:v>32074</c:v>
                </c:pt>
                <c:pt idx="1068">
                  <c:v>32075</c:v>
                </c:pt>
                <c:pt idx="1069">
                  <c:v>32076</c:v>
                </c:pt>
                <c:pt idx="1070">
                  <c:v>32077</c:v>
                </c:pt>
                <c:pt idx="1071">
                  <c:v>32078</c:v>
                </c:pt>
                <c:pt idx="1072">
                  <c:v>32079</c:v>
                </c:pt>
                <c:pt idx="1073">
                  <c:v>32080</c:v>
                </c:pt>
                <c:pt idx="1074">
                  <c:v>32081</c:v>
                </c:pt>
                <c:pt idx="1075">
                  <c:v>32082</c:v>
                </c:pt>
                <c:pt idx="1076">
                  <c:v>32083</c:v>
                </c:pt>
                <c:pt idx="1077">
                  <c:v>32084</c:v>
                </c:pt>
                <c:pt idx="1078">
                  <c:v>32085</c:v>
                </c:pt>
                <c:pt idx="1079">
                  <c:v>32086</c:v>
                </c:pt>
                <c:pt idx="1080">
                  <c:v>32087</c:v>
                </c:pt>
                <c:pt idx="1081">
                  <c:v>32088</c:v>
                </c:pt>
                <c:pt idx="1082">
                  <c:v>32089</c:v>
                </c:pt>
                <c:pt idx="1083">
                  <c:v>32090</c:v>
                </c:pt>
                <c:pt idx="1084">
                  <c:v>32091</c:v>
                </c:pt>
                <c:pt idx="1085">
                  <c:v>32092</c:v>
                </c:pt>
                <c:pt idx="1086">
                  <c:v>32093</c:v>
                </c:pt>
                <c:pt idx="1087">
                  <c:v>32094</c:v>
                </c:pt>
                <c:pt idx="1088">
                  <c:v>32095</c:v>
                </c:pt>
                <c:pt idx="1089">
                  <c:v>32096</c:v>
                </c:pt>
                <c:pt idx="1090">
                  <c:v>32097</c:v>
                </c:pt>
                <c:pt idx="1091">
                  <c:v>32098</c:v>
                </c:pt>
                <c:pt idx="1092">
                  <c:v>32099</c:v>
                </c:pt>
                <c:pt idx="1093">
                  <c:v>32100</c:v>
                </c:pt>
                <c:pt idx="1094">
                  <c:v>32101</c:v>
                </c:pt>
                <c:pt idx="1095">
                  <c:v>32102</c:v>
                </c:pt>
                <c:pt idx="1096">
                  <c:v>32103</c:v>
                </c:pt>
                <c:pt idx="1097">
                  <c:v>32104</c:v>
                </c:pt>
                <c:pt idx="1098">
                  <c:v>32105</c:v>
                </c:pt>
                <c:pt idx="1099">
                  <c:v>32106</c:v>
                </c:pt>
                <c:pt idx="1100">
                  <c:v>32107</c:v>
                </c:pt>
                <c:pt idx="1101">
                  <c:v>32108</c:v>
                </c:pt>
                <c:pt idx="1102">
                  <c:v>32109</c:v>
                </c:pt>
                <c:pt idx="1103">
                  <c:v>32110</c:v>
                </c:pt>
                <c:pt idx="1104">
                  <c:v>32111</c:v>
                </c:pt>
                <c:pt idx="1105">
                  <c:v>32112</c:v>
                </c:pt>
                <c:pt idx="1106">
                  <c:v>32113</c:v>
                </c:pt>
                <c:pt idx="1107">
                  <c:v>32114</c:v>
                </c:pt>
                <c:pt idx="1108">
                  <c:v>32115</c:v>
                </c:pt>
                <c:pt idx="1109">
                  <c:v>32116</c:v>
                </c:pt>
                <c:pt idx="1110">
                  <c:v>32117</c:v>
                </c:pt>
                <c:pt idx="1111">
                  <c:v>32118</c:v>
                </c:pt>
                <c:pt idx="1112">
                  <c:v>32119</c:v>
                </c:pt>
                <c:pt idx="1113">
                  <c:v>32120</c:v>
                </c:pt>
                <c:pt idx="1114">
                  <c:v>32121</c:v>
                </c:pt>
                <c:pt idx="1115">
                  <c:v>32122</c:v>
                </c:pt>
                <c:pt idx="1116">
                  <c:v>32123</c:v>
                </c:pt>
                <c:pt idx="1117">
                  <c:v>32124</c:v>
                </c:pt>
                <c:pt idx="1118">
                  <c:v>32125</c:v>
                </c:pt>
                <c:pt idx="1119">
                  <c:v>32126</c:v>
                </c:pt>
                <c:pt idx="1120">
                  <c:v>32127</c:v>
                </c:pt>
                <c:pt idx="1121">
                  <c:v>32128</c:v>
                </c:pt>
                <c:pt idx="1122">
                  <c:v>32129</c:v>
                </c:pt>
                <c:pt idx="1123">
                  <c:v>32130</c:v>
                </c:pt>
                <c:pt idx="1124">
                  <c:v>32131</c:v>
                </c:pt>
                <c:pt idx="1125">
                  <c:v>32132</c:v>
                </c:pt>
                <c:pt idx="1126">
                  <c:v>32133</c:v>
                </c:pt>
                <c:pt idx="1127">
                  <c:v>32134</c:v>
                </c:pt>
                <c:pt idx="1128">
                  <c:v>32135</c:v>
                </c:pt>
                <c:pt idx="1129">
                  <c:v>32136</c:v>
                </c:pt>
                <c:pt idx="1130">
                  <c:v>32137</c:v>
                </c:pt>
                <c:pt idx="1131">
                  <c:v>32138</c:v>
                </c:pt>
                <c:pt idx="1132">
                  <c:v>32139</c:v>
                </c:pt>
                <c:pt idx="1133">
                  <c:v>32140</c:v>
                </c:pt>
                <c:pt idx="1134">
                  <c:v>32141</c:v>
                </c:pt>
                <c:pt idx="1135">
                  <c:v>32142</c:v>
                </c:pt>
                <c:pt idx="1136">
                  <c:v>32143</c:v>
                </c:pt>
                <c:pt idx="1137">
                  <c:v>32144</c:v>
                </c:pt>
                <c:pt idx="1138">
                  <c:v>32145</c:v>
                </c:pt>
                <c:pt idx="1139">
                  <c:v>32146</c:v>
                </c:pt>
                <c:pt idx="1140">
                  <c:v>32147</c:v>
                </c:pt>
                <c:pt idx="1141">
                  <c:v>32148</c:v>
                </c:pt>
                <c:pt idx="1142">
                  <c:v>32149</c:v>
                </c:pt>
                <c:pt idx="1143">
                  <c:v>32150</c:v>
                </c:pt>
                <c:pt idx="1144">
                  <c:v>32151</c:v>
                </c:pt>
                <c:pt idx="1145">
                  <c:v>32152</c:v>
                </c:pt>
                <c:pt idx="1146">
                  <c:v>32153</c:v>
                </c:pt>
                <c:pt idx="1147">
                  <c:v>32154</c:v>
                </c:pt>
                <c:pt idx="1148">
                  <c:v>32155</c:v>
                </c:pt>
                <c:pt idx="1149">
                  <c:v>32156</c:v>
                </c:pt>
                <c:pt idx="1150">
                  <c:v>32157</c:v>
                </c:pt>
                <c:pt idx="1151">
                  <c:v>32158</c:v>
                </c:pt>
                <c:pt idx="1152">
                  <c:v>32159</c:v>
                </c:pt>
                <c:pt idx="1153">
                  <c:v>32160</c:v>
                </c:pt>
                <c:pt idx="1154">
                  <c:v>32161</c:v>
                </c:pt>
                <c:pt idx="1155">
                  <c:v>32162</c:v>
                </c:pt>
                <c:pt idx="1156">
                  <c:v>32163</c:v>
                </c:pt>
                <c:pt idx="1157">
                  <c:v>32164</c:v>
                </c:pt>
                <c:pt idx="1158">
                  <c:v>32165</c:v>
                </c:pt>
                <c:pt idx="1159">
                  <c:v>32166</c:v>
                </c:pt>
                <c:pt idx="1160">
                  <c:v>32167</c:v>
                </c:pt>
                <c:pt idx="1161">
                  <c:v>32168</c:v>
                </c:pt>
                <c:pt idx="1162">
                  <c:v>32169</c:v>
                </c:pt>
                <c:pt idx="1163">
                  <c:v>32170</c:v>
                </c:pt>
                <c:pt idx="1164">
                  <c:v>32171</c:v>
                </c:pt>
                <c:pt idx="1165">
                  <c:v>32172</c:v>
                </c:pt>
                <c:pt idx="1166">
                  <c:v>32173</c:v>
                </c:pt>
                <c:pt idx="1167">
                  <c:v>32174</c:v>
                </c:pt>
                <c:pt idx="1168">
                  <c:v>32175</c:v>
                </c:pt>
                <c:pt idx="1169">
                  <c:v>32176</c:v>
                </c:pt>
                <c:pt idx="1170">
                  <c:v>32177</c:v>
                </c:pt>
                <c:pt idx="1171">
                  <c:v>32178</c:v>
                </c:pt>
                <c:pt idx="1172">
                  <c:v>32179</c:v>
                </c:pt>
                <c:pt idx="1173">
                  <c:v>32180</c:v>
                </c:pt>
                <c:pt idx="1174">
                  <c:v>32181</c:v>
                </c:pt>
                <c:pt idx="1175">
                  <c:v>32182</c:v>
                </c:pt>
                <c:pt idx="1176">
                  <c:v>32183</c:v>
                </c:pt>
                <c:pt idx="1177">
                  <c:v>32184</c:v>
                </c:pt>
                <c:pt idx="1178">
                  <c:v>32185</c:v>
                </c:pt>
                <c:pt idx="1179">
                  <c:v>32186</c:v>
                </c:pt>
                <c:pt idx="1180">
                  <c:v>32187</c:v>
                </c:pt>
                <c:pt idx="1181">
                  <c:v>32188</c:v>
                </c:pt>
                <c:pt idx="1182">
                  <c:v>32189</c:v>
                </c:pt>
                <c:pt idx="1183">
                  <c:v>32190</c:v>
                </c:pt>
                <c:pt idx="1184">
                  <c:v>32191</c:v>
                </c:pt>
                <c:pt idx="1185">
                  <c:v>32192</c:v>
                </c:pt>
                <c:pt idx="1186">
                  <c:v>32193</c:v>
                </c:pt>
                <c:pt idx="1187">
                  <c:v>32194</c:v>
                </c:pt>
                <c:pt idx="1188">
                  <c:v>32195</c:v>
                </c:pt>
                <c:pt idx="1189">
                  <c:v>32196</c:v>
                </c:pt>
                <c:pt idx="1190">
                  <c:v>32197</c:v>
                </c:pt>
                <c:pt idx="1191">
                  <c:v>32198</c:v>
                </c:pt>
                <c:pt idx="1192">
                  <c:v>32199</c:v>
                </c:pt>
                <c:pt idx="1193">
                  <c:v>32200</c:v>
                </c:pt>
                <c:pt idx="1194">
                  <c:v>32201</c:v>
                </c:pt>
                <c:pt idx="1195">
                  <c:v>32202</c:v>
                </c:pt>
                <c:pt idx="1196">
                  <c:v>32203</c:v>
                </c:pt>
                <c:pt idx="1197">
                  <c:v>32204</c:v>
                </c:pt>
                <c:pt idx="1198">
                  <c:v>32205</c:v>
                </c:pt>
                <c:pt idx="1199">
                  <c:v>32206</c:v>
                </c:pt>
                <c:pt idx="1200">
                  <c:v>32207</c:v>
                </c:pt>
                <c:pt idx="1201">
                  <c:v>32208</c:v>
                </c:pt>
                <c:pt idx="1202">
                  <c:v>32209</c:v>
                </c:pt>
                <c:pt idx="1203">
                  <c:v>32210</c:v>
                </c:pt>
                <c:pt idx="1204">
                  <c:v>32211</c:v>
                </c:pt>
                <c:pt idx="1205">
                  <c:v>32212</c:v>
                </c:pt>
                <c:pt idx="1206">
                  <c:v>32213</c:v>
                </c:pt>
                <c:pt idx="1207">
                  <c:v>32214</c:v>
                </c:pt>
                <c:pt idx="1208">
                  <c:v>32215</c:v>
                </c:pt>
                <c:pt idx="1209">
                  <c:v>32216</c:v>
                </c:pt>
                <c:pt idx="1210">
                  <c:v>32217</c:v>
                </c:pt>
                <c:pt idx="1211">
                  <c:v>32218</c:v>
                </c:pt>
                <c:pt idx="1212">
                  <c:v>32219</c:v>
                </c:pt>
                <c:pt idx="1213">
                  <c:v>32220</c:v>
                </c:pt>
                <c:pt idx="1214">
                  <c:v>32221</c:v>
                </c:pt>
                <c:pt idx="1215">
                  <c:v>32222</c:v>
                </c:pt>
                <c:pt idx="1216">
                  <c:v>32223</c:v>
                </c:pt>
                <c:pt idx="1217">
                  <c:v>32224</c:v>
                </c:pt>
                <c:pt idx="1218">
                  <c:v>32225</c:v>
                </c:pt>
                <c:pt idx="1219">
                  <c:v>32226</c:v>
                </c:pt>
                <c:pt idx="1220">
                  <c:v>32227</c:v>
                </c:pt>
                <c:pt idx="1221">
                  <c:v>32228</c:v>
                </c:pt>
                <c:pt idx="1222">
                  <c:v>32229</c:v>
                </c:pt>
                <c:pt idx="1223">
                  <c:v>32230</c:v>
                </c:pt>
                <c:pt idx="1224">
                  <c:v>32231</c:v>
                </c:pt>
                <c:pt idx="1225">
                  <c:v>32232</c:v>
                </c:pt>
                <c:pt idx="1226">
                  <c:v>32233</c:v>
                </c:pt>
                <c:pt idx="1227">
                  <c:v>32234</c:v>
                </c:pt>
                <c:pt idx="1228">
                  <c:v>32235</c:v>
                </c:pt>
                <c:pt idx="1229">
                  <c:v>32236</c:v>
                </c:pt>
                <c:pt idx="1230">
                  <c:v>32237</c:v>
                </c:pt>
                <c:pt idx="1231">
                  <c:v>32238</c:v>
                </c:pt>
                <c:pt idx="1232">
                  <c:v>32239</c:v>
                </c:pt>
                <c:pt idx="1233">
                  <c:v>32240</c:v>
                </c:pt>
                <c:pt idx="1234">
                  <c:v>32241</c:v>
                </c:pt>
                <c:pt idx="1235">
                  <c:v>32242</c:v>
                </c:pt>
                <c:pt idx="1236">
                  <c:v>32243</c:v>
                </c:pt>
                <c:pt idx="1237">
                  <c:v>32244</c:v>
                </c:pt>
                <c:pt idx="1238">
                  <c:v>32245</c:v>
                </c:pt>
                <c:pt idx="1239">
                  <c:v>32246</c:v>
                </c:pt>
                <c:pt idx="1240">
                  <c:v>32247</c:v>
                </c:pt>
                <c:pt idx="1241">
                  <c:v>32248</c:v>
                </c:pt>
                <c:pt idx="1242">
                  <c:v>32249</c:v>
                </c:pt>
                <c:pt idx="1243">
                  <c:v>32250</c:v>
                </c:pt>
                <c:pt idx="1244">
                  <c:v>32251</c:v>
                </c:pt>
                <c:pt idx="1245">
                  <c:v>32252</c:v>
                </c:pt>
                <c:pt idx="1246">
                  <c:v>32253</c:v>
                </c:pt>
                <c:pt idx="1247">
                  <c:v>32254</c:v>
                </c:pt>
                <c:pt idx="1248">
                  <c:v>32255</c:v>
                </c:pt>
                <c:pt idx="1249">
                  <c:v>32256</c:v>
                </c:pt>
                <c:pt idx="1250">
                  <c:v>32257</c:v>
                </c:pt>
                <c:pt idx="1251">
                  <c:v>32258</c:v>
                </c:pt>
                <c:pt idx="1252">
                  <c:v>32259</c:v>
                </c:pt>
                <c:pt idx="1253">
                  <c:v>32260</c:v>
                </c:pt>
                <c:pt idx="1254">
                  <c:v>32261</c:v>
                </c:pt>
                <c:pt idx="1255">
                  <c:v>32262</c:v>
                </c:pt>
                <c:pt idx="1256">
                  <c:v>32263</c:v>
                </c:pt>
                <c:pt idx="1257">
                  <c:v>32264</c:v>
                </c:pt>
                <c:pt idx="1258">
                  <c:v>32265</c:v>
                </c:pt>
                <c:pt idx="1259">
                  <c:v>32266</c:v>
                </c:pt>
                <c:pt idx="1260">
                  <c:v>32267</c:v>
                </c:pt>
                <c:pt idx="1261">
                  <c:v>32268</c:v>
                </c:pt>
                <c:pt idx="1262">
                  <c:v>32269</c:v>
                </c:pt>
                <c:pt idx="1263">
                  <c:v>32270</c:v>
                </c:pt>
                <c:pt idx="1264">
                  <c:v>32271</c:v>
                </c:pt>
                <c:pt idx="1265">
                  <c:v>32272</c:v>
                </c:pt>
                <c:pt idx="1266">
                  <c:v>32273</c:v>
                </c:pt>
                <c:pt idx="1267">
                  <c:v>32274</c:v>
                </c:pt>
                <c:pt idx="1268">
                  <c:v>32275</c:v>
                </c:pt>
                <c:pt idx="1269">
                  <c:v>32276</c:v>
                </c:pt>
                <c:pt idx="1270">
                  <c:v>32277</c:v>
                </c:pt>
                <c:pt idx="1271">
                  <c:v>32278</c:v>
                </c:pt>
                <c:pt idx="1272">
                  <c:v>32279</c:v>
                </c:pt>
                <c:pt idx="1273">
                  <c:v>32280</c:v>
                </c:pt>
                <c:pt idx="1274">
                  <c:v>32281</c:v>
                </c:pt>
                <c:pt idx="1275">
                  <c:v>32282</c:v>
                </c:pt>
                <c:pt idx="1276">
                  <c:v>32283</c:v>
                </c:pt>
                <c:pt idx="1277">
                  <c:v>32284</c:v>
                </c:pt>
                <c:pt idx="1278">
                  <c:v>32285</c:v>
                </c:pt>
                <c:pt idx="1279">
                  <c:v>32286</c:v>
                </c:pt>
                <c:pt idx="1280">
                  <c:v>32287</c:v>
                </c:pt>
                <c:pt idx="1281">
                  <c:v>32288</c:v>
                </c:pt>
                <c:pt idx="1282">
                  <c:v>32289</c:v>
                </c:pt>
                <c:pt idx="1283">
                  <c:v>32290</c:v>
                </c:pt>
                <c:pt idx="1284">
                  <c:v>32291</c:v>
                </c:pt>
                <c:pt idx="1285">
                  <c:v>32292</c:v>
                </c:pt>
                <c:pt idx="1286">
                  <c:v>32293</c:v>
                </c:pt>
                <c:pt idx="1287">
                  <c:v>32294</c:v>
                </c:pt>
                <c:pt idx="1288">
                  <c:v>32295</c:v>
                </c:pt>
                <c:pt idx="1289">
                  <c:v>32296</c:v>
                </c:pt>
                <c:pt idx="1290">
                  <c:v>32297</c:v>
                </c:pt>
                <c:pt idx="1291">
                  <c:v>32298</c:v>
                </c:pt>
                <c:pt idx="1292">
                  <c:v>32299</c:v>
                </c:pt>
                <c:pt idx="1293">
                  <c:v>32300</c:v>
                </c:pt>
                <c:pt idx="1294">
                  <c:v>32301</c:v>
                </c:pt>
                <c:pt idx="1295">
                  <c:v>32302</c:v>
                </c:pt>
                <c:pt idx="1296">
                  <c:v>32303</c:v>
                </c:pt>
                <c:pt idx="1297">
                  <c:v>32304</c:v>
                </c:pt>
                <c:pt idx="1298">
                  <c:v>32305</c:v>
                </c:pt>
                <c:pt idx="1299">
                  <c:v>32306</c:v>
                </c:pt>
                <c:pt idx="1300">
                  <c:v>32307</c:v>
                </c:pt>
                <c:pt idx="1301">
                  <c:v>32308</c:v>
                </c:pt>
                <c:pt idx="1302">
                  <c:v>32309</c:v>
                </c:pt>
                <c:pt idx="1303">
                  <c:v>32310</c:v>
                </c:pt>
                <c:pt idx="1304">
                  <c:v>32311</c:v>
                </c:pt>
                <c:pt idx="1305">
                  <c:v>32312</c:v>
                </c:pt>
                <c:pt idx="1306">
                  <c:v>32313</c:v>
                </c:pt>
                <c:pt idx="1307">
                  <c:v>32314</c:v>
                </c:pt>
                <c:pt idx="1308">
                  <c:v>32315</c:v>
                </c:pt>
                <c:pt idx="1309">
                  <c:v>32316</c:v>
                </c:pt>
                <c:pt idx="1310">
                  <c:v>32317</c:v>
                </c:pt>
                <c:pt idx="1311">
                  <c:v>32318</c:v>
                </c:pt>
                <c:pt idx="1312">
                  <c:v>32319</c:v>
                </c:pt>
                <c:pt idx="1313">
                  <c:v>32320</c:v>
                </c:pt>
                <c:pt idx="1314">
                  <c:v>32321</c:v>
                </c:pt>
                <c:pt idx="1315">
                  <c:v>32322</c:v>
                </c:pt>
                <c:pt idx="1316">
                  <c:v>32323</c:v>
                </c:pt>
                <c:pt idx="1317">
                  <c:v>32324</c:v>
                </c:pt>
                <c:pt idx="1318">
                  <c:v>32325</c:v>
                </c:pt>
                <c:pt idx="1319">
                  <c:v>32326</c:v>
                </c:pt>
                <c:pt idx="1320">
                  <c:v>32327</c:v>
                </c:pt>
                <c:pt idx="1321">
                  <c:v>32328</c:v>
                </c:pt>
                <c:pt idx="1322">
                  <c:v>32329</c:v>
                </c:pt>
                <c:pt idx="1323">
                  <c:v>32330</c:v>
                </c:pt>
                <c:pt idx="1324">
                  <c:v>32331</c:v>
                </c:pt>
                <c:pt idx="1325">
                  <c:v>32332</c:v>
                </c:pt>
                <c:pt idx="1326">
                  <c:v>32333</c:v>
                </c:pt>
                <c:pt idx="1327">
                  <c:v>32334</c:v>
                </c:pt>
                <c:pt idx="1328">
                  <c:v>32335</c:v>
                </c:pt>
                <c:pt idx="1329">
                  <c:v>32336</c:v>
                </c:pt>
                <c:pt idx="1330">
                  <c:v>32337</c:v>
                </c:pt>
                <c:pt idx="1331">
                  <c:v>32338</c:v>
                </c:pt>
                <c:pt idx="1332">
                  <c:v>32339</c:v>
                </c:pt>
                <c:pt idx="1333">
                  <c:v>32340</c:v>
                </c:pt>
                <c:pt idx="1334">
                  <c:v>32341</c:v>
                </c:pt>
                <c:pt idx="1335">
                  <c:v>32342</c:v>
                </c:pt>
                <c:pt idx="1336">
                  <c:v>32343</c:v>
                </c:pt>
                <c:pt idx="1337">
                  <c:v>32344</c:v>
                </c:pt>
                <c:pt idx="1338">
                  <c:v>32345</c:v>
                </c:pt>
                <c:pt idx="1339">
                  <c:v>32346</c:v>
                </c:pt>
                <c:pt idx="1340">
                  <c:v>32347</c:v>
                </c:pt>
                <c:pt idx="1341">
                  <c:v>32348</c:v>
                </c:pt>
                <c:pt idx="1342">
                  <c:v>32349</c:v>
                </c:pt>
                <c:pt idx="1343">
                  <c:v>32350</c:v>
                </c:pt>
                <c:pt idx="1344">
                  <c:v>32351</c:v>
                </c:pt>
                <c:pt idx="1345">
                  <c:v>32352</c:v>
                </c:pt>
                <c:pt idx="1346">
                  <c:v>32353</c:v>
                </c:pt>
                <c:pt idx="1347">
                  <c:v>32354</c:v>
                </c:pt>
                <c:pt idx="1348">
                  <c:v>32355</c:v>
                </c:pt>
                <c:pt idx="1349">
                  <c:v>32356</c:v>
                </c:pt>
                <c:pt idx="1350">
                  <c:v>32357</c:v>
                </c:pt>
                <c:pt idx="1351">
                  <c:v>32358</c:v>
                </c:pt>
                <c:pt idx="1352">
                  <c:v>32359</c:v>
                </c:pt>
                <c:pt idx="1353">
                  <c:v>32360</c:v>
                </c:pt>
                <c:pt idx="1354">
                  <c:v>32361</c:v>
                </c:pt>
                <c:pt idx="1355">
                  <c:v>32362</c:v>
                </c:pt>
                <c:pt idx="1356">
                  <c:v>32363</c:v>
                </c:pt>
                <c:pt idx="1357">
                  <c:v>32364</c:v>
                </c:pt>
                <c:pt idx="1358">
                  <c:v>32365</c:v>
                </c:pt>
                <c:pt idx="1359">
                  <c:v>32366</c:v>
                </c:pt>
                <c:pt idx="1360">
                  <c:v>32367</c:v>
                </c:pt>
                <c:pt idx="1361">
                  <c:v>32368</c:v>
                </c:pt>
                <c:pt idx="1362">
                  <c:v>32369</c:v>
                </c:pt>
                <c:pt idx="1363">
                  <c:v>32370</c:v>
                </c:pt>
                <c:pt idx="1364">
                  <c:v>32371</c:v>
                </c:pt>
                <c:pt idx="1365">
                  <c:v>32372</c:v>
                </c:pt>
                <c:pt idx="1366">
                  <c:v>32373</c:v>
                </c:pt>
                <c:pt idx="1367">
                  <c:v>32374</c:v>
                </c:pt>
                <c:pt idx="1368">
                  <c:v>32375</c:v>
                </c:pt>
                <c:pt idx="1369">
                  <c:v>32376</c:v>
                </c:pt>
                <c:pt idx="1370">
                  <c:v>32377</c:v>
                </c:pt>
                <c:pt idx="1371">
                  <c:v>32378</c:v>
                </c:pt>
                <c:pt idx="1372">
                  <c:v>32379</c:v>
                </c:pt>
                <c:pt idx="1373">
                  <c:v>32380</c:v>
                </c:pt>
                <c:pt idx="1374">
                  <c:v>32381</c:v>
                </c:pt>
                <c:pt idx="1375">
                  <c:v>32382</c:v>
                </c:pt>
                <c:pt idx="1376">
                  <c:v>32383</c:v>
                </c:pt>
                <c:pt idx="1377">
                  <c:v>32384</c:v>
                </c:pt>
                <c:pt idx="1378">
                  <c:v>32385</c:v>
                </c:pt>
                <c:pt idx="1379">
                  <c:v>32386</c:v>
                </c:pt>
                <c:pt idx="1380">
                  <c:v>32387</c:v>
                </c:pt>
                <c:pt idx="1381">
                  <c:v>32388</c:v>
                </c:pt>
                <c:pt idx="1382">
                  <c:v>32389</c:v>
                </c:pt>
                <c:pt idx="1383">
                  <c:v>32390</c:v>
                </c:pt>
                <c:pt idx="1384">
                  <c:v>32391</c:v>
                </c:pt>
                <c:pt idx="1385">
                  <c:v>32392</c:v>
                </c:pt>
                <c:pt idx="1386">
                  <c:v>32393</c:v>
                </c:pt>
                <c:pt idx="1387">
                  <c:v>32394</c:v>
                </c:pt>
                <c:pt idx="1388">
                  <c:v>32395</c:v>
                </c:pt>
                <c:pt idx="1389">
                  <c:v>32396</c:v>
                </c:pt>
                <c:pt idx="1390">
                  <c:v>32397</c:v>
                </c:pt>
                <c:pt idx="1391">
                  <c:v>32398</c:v>
                </c:pt>
                <c:pt idx="1392">
                  <c:v>32399</c:v>
                </c:pt>
                <c:pt idx="1393">
                  <c:v>32400</c:v>
                </c:pt>
                <c:pt idx="1394">
                  <c:v>32401</c:v>
                </c:pt>
                <c:pt idx="1395">
                  <c:v>32402</c:v>
                </c:pt>
                <c:pt idx="1396">
                  <c:v>32403</c:v>
                </c:pt>
                <c:pt idx="1397">
                  <c:v>32404</c:v>
                </c:pt>
                <c:pt idx="1398">
                  <c:v>32405</c:v>
                </c:pt>
                <c:pt idx="1399">
                  <c:v>32406</c:v>
                </c:pt>
                <c:pt idx="1400">
                  <c:v>32407</c:v>
                </c:pt>
                <c:pt idx="1401">
                  <c:v>32408</c:v>
                </c:pt>
                <c:pt idx="1402">
                  <c:v>32409</c:v>
                </c:pt>
                <c:pt idx="1403">
                  <c:v>32410</c:v>
                </c:pt>
                <c:pt idx="1404">
                  <c:v>32411</c:v>
                </c:pt>
                <c:pt idx="1405">
                  <c:v>32412</c:v>
                </c:pt>
                <c:pt idx="1406">
                  <c:v>32413</c:v>
                </c:pt>
                <c:pt idx="1407">
                  <c:v>32414</c:v>
                </c:pt>
                <c:pt idx="1408">
                  <c:v>32415</c:v>
                </c:pt>
                <c:pt idx="1409">
                  <c:v>32416</c:v>
                </c:pt>
                <c:pt idx="1410">
                  <c:v>32417</c:v>
                </c:pt>
                <c:pt idx="1411">
                  <c:v>32418</c:v>
                </c:pt>
                <c:pt idx="1412">
                  <c:v>32419</c:v>
                </c:pt>
                <c:pt idx="1413">
                  <c:v>32420</c:v>
                </c:pt>
                <c:pt idx="1414">
                  <c:v>32421</c:v>
                </c:pt>
                <c:pt idx="1415">
                  <c:v>32422</c:v>
                </c:pt>
                <c:pt idx="1416">
                  <c:v>32423</c:v>
                </c:pt>
                <c:pt idx="1417">
                  <c:v>32424</c:v>
                </c:pt>
                <c:pt idx="1418">
                  <c:v>32425</c:v>
                </c:pt>
                <c:pt idx="1419">
                  <c:v>32426</c:v>
                </c:pt>
                <c:pt idx="1420">
                  <c:v>32427</c:v>
                </c:pt>
                <c:pt idx="1421">
                  <c:v>32428</c:v>
                </c:pt>
                <c:pt idx="1422">
                  <c:v>32429</c:v>
                </c:pt>
                <c:pt idx="1423">
                  <c:v>32430</c:v>
                </c:pt>
                <c:pt idx="1424">
                  <c:v>32431</c:v>
                </c:pt>
                <c:pt idx="1425">
                  <c:v>32432</c:v>
                </c:pt>
                <c:pt idx="1426">
                  <c:v>32433</c:v>
                </c:pt>
                <c:pt idx="1427">
                  <c:v>32434</c:v>
                </c:pt>
                <c:pt idx="1428">
                  <c:v>32435</c:v>
                </c:pt>
                <c:pt idx="1429">
                  <c:v>32436</c:v>
                </c:pt>
                <c:pt idx="1430">
                  <c:v>32437</c:v>
                </c:pt>
                <c:pt idx="1431">
                  <c:v>32438</c:v>
                </c:pt>
                <c:pt idx="1432">
                  <c:v>32439</c:v>
                </c:pt>
                <c:pt idx="1433">
                  <c:v>32440</c:v>
                </c:pt>
                <c:pt idx="1434">
                  <c:v>32441</c:v>
                </c:pt>
                <c:pt idx="1435">
                  <c:v>32442</c:v>
                </c:pt>
                <c:pt idx="1436">
                  <c:v>32443</c:v>
                </c:pt>
                <c:pt idx="1437">
                  <c:v>32444</c:v>
                </c:pt>
                <c:pt idx="1438">
                  <c:v>32445</c:v>
                </c:pt>
                <c:pt idx="1439">
                  <c:v>32446</c:v>
                </c:pt>
                <c:pt idx="1440">
                  <c:v>32447</c:v>
                </c:pt>
                <c:pt idx="1441">
                  <c:v>32448</c:v>
                </c:pt>
                <c:pt idx="1442">
                  <c:v>32449</c:v>
                </c:pt>
                <c:pt idx="1443">
                  <c:v>32450</c:v>
                </c:pt>
                <c:pt idx="1444">
                  <c:v>32451</c:v>
                </c:pt>
                <c:pt idx="1445">
                  <c:v>32452</c:v>
                </c:pt>
                <c:pt idx="1446">
                  <c:v>32453</c:v>
                </c:pt>
                <c:pt idx="1447">
                  <c:v>32454</c:v>
                </c:pt>
                <c:pt idx="1448">
                  <c:v>32455</c:v>
                </c:pt>
                <c:pt idx="1449">
                  <c:v>32456</c:v>
                </c:pt>
                <c:pt idx="1450">
                  <c:v>32457</c:v>
                </c:pt>
                <c:pt idx="1451">
                  <c:v>32458</c:v>
                </c:pt>
                <c:pt idx="1452">
                  <c:v>32459</c:v>
                </c:pt>
                <c:pt idx="1453">
                  <c:v>32460</c:v>
                </c:pt>
                <c:pt idx="1454">
                  <c:v>32461</c:v>
                </c:pt>
                <c:pt idx="1455">
                  <c:v>32462</c:v>
                </c:pt>
                <c:pt idx="1456">
                  <c:v>32463</c:v>
                </c:pt>
                <c:pt idx="1457">
                  <c:v>32464</c:v>
                </c:pt>
                <c:pt idx="1458">
                  <c:v>32465</c:v>
                </c:pt>
                <c:pt idx="1459">
                  <c:v>32466</c:v>
                </c:pt>
                <c:pt idx="1460">
                  <c:v>32467</c:v>
                </c:pt>
                <c:pt idx="1461">
                  <c:v>32468</c:v>
                </c:pt>
                <c:pt idx="1462">
                  <c:v>32469</c:v>
                </c:pt>
                <c:pt idx="1463">
                  <c:v>32470</c:v>
                </c:pt>
                <c:pt idx="1464">
                  <c:v>32471</c:v>
                </c:pt>
                <c:pt idx="1465">
                  <c:v>32472</c:v>
                </c:pt>
                <c:pt idx="1466">
                  <c:v>32473</c:v>
                </c:pt>
                <c:pt idx="1467">
                  <c:v>32474</c:v>
                </c:pt>
                <c:pt idx="1468">
                  <c:v>32475</c:v>
                </c:pt>
                <c:pt idx="1469">
                  <c:v>32476</c:v>
                </c:pt>
                <c:pt idx="1470">
                  <c:v>32477</c:v>
                </c:pt>
                <c:pt idx="1471">
                  <c:v>32478</c:v>
                </c:pt>
                <c:pt idx="1472">
                  <c:v>32479</c:v>
                </c:pt>
                <c:pt idx="1473">
                  <c:v>32480</c:v>
                </c:pt>
                <c:pt idx="1474">
                  <c:v>32481</c:v>
                </c:pt>
                <c:pt idx="1475">
                  <c:v>32482</c:v>
                </c:pt>
                <c:pt idx="1476">
                  <c:v>32483</c:v>
                </c:pt>
                <c:pt idx="1477">
                  <c:v>32484</c:v>
                </c:pt>
                <c:pt idx="1478">
                  <c:v>32485</c:v>
                </c:pt>
                <c:pt idx="1479">
                  <c:v>32486</c:v>
                </c:pt>
                <c:pt idx="1480">
                  <c:v>32487</c:v>
                </c:pt>
                <c:pt idx="1481">
                  <c:v>32488</c:v>
                </c:pt>
                <c:pt idx="1482">
                  <c:v>32489</c:v>
                </c:pt>
                <c:pt idx="1483">
                  <c:v>32490</c:v>
                </c:pt>
                <c:pt idx="1484">
                  <c:v>32491</c:v>
                </c:pt>
                <c:pt idx="1485">
                  <c:v>32492</c:v>
                </c:pt>
                <c:pt idx="1486">
                  <c:v>32493</c:v>
                </c:pt>
                <c:pt idx="1487">
                  <c:v>32494</c:v>
                </c:pt>
                <c:pt idx="1488">
                  <c:v>32495</c:v>
                </c:pt>
                <c:pt idx="1489">
                  <c:v>32496</c:v>
                </c:pt>
                <c:pt idx="1490">
                  <c:v>32497</c:v>
                </c:pt>
                <c:pt idx="1491">
                  <c:v>32498</c:v>
                </c:pt>
                <c:pt idx="1492">
                  <c:v>32499</c:v>
                </c:pt>
                <c:pt idx="1493">
                  <c:v>32500</c:v>
                </c:pt>
                <c:pt idx="1494">
                  <c:v>32501</c:v>
                </c:pt>
                <c:pt idx="1495">
                  <c:v>32502</c:v>
                </c:pt>
                <c:pt idx="1496">
                  <c:v>32503</c:v>
                </c:pt>
                <c:pt idx="1497">
                  <c:v>32504</c:v>
                </c:pt>
                <c:pt idx="1498">
                  <c:v>32505</c:v>
                </c:pt>
                <c:pt idx="1499">
                  <c:v>32506</c:v>
                </c:pt>
                <c:pt idx="1500">
                  <c:v>32507</c:v>
                </c:pt>
                <c:pt idx="1501">
                  <c:v>32508</c:v>
                </c:pt>
                <c:pt idx="1502">
                  <c:v>32509</c:v>
                </c:pt>
                <c:pt idx="1503">
                  <c:v>32510</c:v>
                </c:pt>
                <c:pt idx="1504">
                  <c:v>32511</c:v>
                </c:pt>
                <c:pt idx="1505">
                  <c:v>32512</c:v>
                </c:pt>
                <c:pt idx="1506">
                  <c:v>32513</c:v>
                </c:pt>
                <c:pt idx="1507">
                  <c:v>32514</c:v>
                </c:pt>
                <c:pt idx="1508">
                  <c:v>32515</c:v>
                </c:pt>
                <c:pt idx="1509">
                  <c:v>32516</c:v>
                </c:pt>
                <c:pt idx="1510">
                  <c:v>32517</c:v>
                </c:pt>
                <c:pt idx="1511">
                  <c:v>32518</c:v>
                </c:pt>
                <c:pt idx="1512">
                  <c:v>32519</c:v>
                </c:pt>
                <c:pt idx="1513">
                  <c:v>32520</c:v>
                </c:pt>
                <c:pt idx="1514">
                  <c:v>32521</c:v>
                </c:pt>
                <c:pt idx="1515">
                  <c:v>32522</c:v>
                </c:pt>
                <c:pt idx="1516">
                  <c:v>32523</c:v>
                </c:pt>
                <c:pt idx="1517">
                  <c:v>32524</c:v>
                </c:pt>
                <c:pt idx="1518">
                  <c:v>32525</c:v>
                </c:pt>
                <c:pt idx="1519">
                  <c:v>32526</c:v>
                </c:pt>
                <c:pt idx="1520">
                  <c:v>32527</c:v>
                </c:pt>
                <c:pt idx="1521">
                  <c:v>32528</c:v>
                </c:pt>
                <c:pt idx="1522">
                  <c:v>32529</c:v>
                </c:pt>
                <c:pt idx="1523">
                  <c:v>32530</c:v>
                </c:pt>
                <c:pt idx="1524">
                  <c:v>32531</c:v>
                </c:pt>
                <c:pt idx="1525">
                  <c:v>32532</c:v>
                </c:pt>
                <c:pt idx="1526">
                  <c:v>32533</c:v>
                </c:pt>
                <c:pt idx="1527">
                  <c:v>32534</c:v>
                </c:pt>
                <c:pt idx="1528">
                  <c:v>32535</c:v>
                </c:pt>
                <c:pt idx="1529">
                  <c:v>32536</c:v>
                </c:pt>
                <c:pt idx="1530">
                  <c:v>32537</c:v>
                </c:pt>
                <c:pt idx="1531">
                  <c:v>32538</c:v>
                </c:pt>
                <c:pt idx="1532">
                  <c:v>32539</c:v>
                </c:pt>
                <c:pt idx="1533">
                  <c:v>32540</c:v>
                </c:pt>
                <c:pt idx="1534">
                  <c:v>32541</c:v>
                </c:pt>
                <c:pt idx="1535">
                  <c:v>32542</c:v>
                </c:pt>
                <c:pt idx="1536">
                  <c:v>32543</c:v>
                </c:pt>
                <c:pt idx="1537">
                  <c:v>32544</c:v>
                </c:pt>
                <c:pt idx="1538">
                  <c:v>32545</c:v>
                </c:pt>
                <c:pt idx="1539">
                  <c:v>32546</c:v>
                </c:pt>
                <c:pt idx="1540">
                  <c:v>32547</c:v>
                </c:pt>
                <c:pt idx="1541">
                  <c:v>32548</c:v>
                </c:pt>
                <c:pt idx="1542">
                  <c:v>32549</c:v>
                </c:pt>
                <c:pt idx="1543">
                  <c:v>32550</c:v>
                </c:pt>
                <c:pt idx="1544">
                  <c:v>32551</c:v>
                </c:pt>
                <c:pt idx="1545">
                  <c:v>32552</c:v>
                </c:pt>
                <c:pt idx="1546">
                  <c:v>32553</c:v>
                </c:pt>
                <c:pt idx="1547">
                  <c:v>32554</c:v>
                </c:pt>
                <c:pt idx="1548">
                  <c:v>32555</c:v>
                </c:pt>
                <c:pt idx="1549">
                  <c:v>32556</c:v>
                </c:pt>
                <c:pt idx="1550">
                  <c:v>32557</c:v>
                </c:pt>
                <c:pt idx="1551">
                  <c:v>32558</c:v>
                </c:pt>
                <c:pt idx="1552">
                  <c:v>32559</c:v>
                </c:pt>
                <c:pt idx="1553">
                  <c:v>32560</c:v>
                </c:pt>
                <c:pt idx="1554">
                  <c:v>32561</c:v>
                </c:pt>
                <c:pt idx="1555">
                  <c:v>32562</c:v>
                </c:pt>
                <c:pt idx="1556">
                  <c:v>32563</c:v>
                </c:pt>
                <c:pt idx="1557">
                  <c:v>32564</c:v>
                </c:pt>
                <c:pt idx="1558">
                  <c:v>32565</c:v>
                </c:pt>
                <c:pt idx="1559">
                  <c:v>32566</c:v>
                </c:pt>
                <c:pt idx="1560">
                  <c:v>32567</c:v>
                </c:pt>
                <c:pt idx="1561">
                  <c:v>32568</c:v>
                </c:pt>
                <c:pt idx="1562">
                  <c:v>32569</c:v>
                </c:pt>
                <c:pt idx="1563">
                  <c:v>32570</c:v>
                </c:pt>
                <c:pt idx="1564">
                  <c:v>32571</c:v>
                </c:pt>
                <c:pt idx="1565">
                  <c:v>32572</c:v>
                </c:pt>
                <c:pt idx="1566">
                  <c:v>32573</c:v>
                </c:pt>
                <c:pt idx="1567">
                  <c:v>32574</c:v>
                </c:pt>
                <c:pt idx="1568">
                  <c:v>32575</c:v>
                </c:pt>
                <c:pt idx="1569">
                  <c:v>32576</c:v>
                </c:pt>
                <c:pt idx="1570">
                  <c:v>32577</c:v>
                </c:pt>
                <c:pt idx="1571">
                  <c:v>32578</c:v>
                </c:pt>
                <c:pt idx="1572">
                  <c:v>32579</c:v>
                </c:pt>
                <c:pt idx="1573">
                  <c:v>32580</c:v>
                </c:pt>
                <c:pt idx="1574">
                  <c:v>32581</c:v>
                </c:pt>
                <c:pt idx="1575">
                  <c:v>32582</c:v>
                </c:pt>
                <c:pt idx="1576">
                  <c:v>32583</c:v>
                </c:pt>
                <c:pt idx="1577">
                  <c:v>32584</c:v>
                </c:pt>
                <c:pt idx="1578">
                  <c:v>32585</c:v>
                </c:pt>
                <c:pt idx="1579">
                  <c:v>32586</c:v>
                </c:pt>
                <c:pt idx="1580">
                  <c:v>32587</c:v>
                </c:pt>
                <c:pt idx="1581">
                  <c:v>32588</c:v>
                </c:pt>
                <c:pt idx="1582">
                  <c:v>32589</c:v>
                </c:pt>
                <c:pt idx="1583">
                  <c:v>32590</c:v>
                </c:pt>
                <c:pt idx="1584">
                  <c:v>32591</c:v>
                </c:pt>
                <c:pt idx="1585">
                  <c:v>32592</c:v>
                </c:pt>
                <c:pt idx="1586">
                  <c:v>32593</c:v>
                </c:pt>
                <c:pt idx="1587">
                  <c:v>32594</c:v>
                </c:pt>
                <c:pt idx="1588">
                  <c:v>32595</c:v>
                </c:pt>
                <c:pt idx="1589">
                  <c:v>32596</c:v>
                </c:pt>
                <c:pt idx="1590">
                  <c:v>32597</c:v>
                </c:pt>
                <c:pt idx="1591">
                  <c:v>32598</c:v>
                </c:pt>
                <c:pt idx="1592">
                  <c:v>32599</c:v>
                </c:pt>
                <c:pt idx="1593">
                  <c:v>32600</c:v>
                </c:pt>
                <c:pt idx="1594">
                  <c:v>32601</c:v>
                </c:pt>
                <c:pt idx="1595">
                  <c:v>32602</c:v>
                </c:pt>
                <c:pt idx="1596">
                  <c:v>32603</c:v>
                </c:pt>
                <c:pt idx="1597">
                  <c:v>32604</c:v>
                </c:pt>
                <c:pt idx="1598">
                  <c:v>32605</c:v>
                </c:pt>
                <c:pt idx="1599">
                  <c:v>32606</c:v>
                </c:pt>
                <c:pt idx="1600">
                  <c:v>32607</c:v>
                </c:pt>
                <c:pt idx="1601">
                  <c:v>32608</c:v>
                </c:pt>
                <c:pt idx="1602">
                  <c:v>32609</c:v>
                </c:pt>
                <c:pt idx="1603">
                  <c:v>32610</c:v>
                </c:pt>
                <c:pt idx="1604">
                  <c:v>32611</c:v>
                </c:pt>
                <c:pt idx="1605">
                  <c:v>32612</c:v>
                </c:pt>
                <c:pt idx="1606">
                  <c:v>32613</c:v>
                </c:pt>
                <c:pt idx="1607">
                  <c:v>32614</c:v>
                </c:pt>
                <c:pt idx="1608">
                  <c:v>32615</c:v>
                </c:pt>
                <c:pt idx="1609">
                  <c:v>32616</c:v>
                </c:pt>
                <c:pt idx="1610">
                  <c:v>32617</c:v>
                </c:pt>
                <c:pt idx="1611">
                  <c:v>32618</c:v>
                </c:pt>
                <c:pt idx="1612">
                  <c:v>32619</c:v>
                </c:pt>
                <c:pt idx="1613">
                  <c:v>32620</c:v>
                </c:pt>
                <c:pt idx="1614">
                  <c:v>32621</c:v>
                </c:pt>
                <c:pt idx="1615">
                  <c:v>32622</c:v>
                </c:pt>
                <c:pt idx="1616">
                  <c:v>32623</c:v>
                </c:pt>
                <c:pt idx="1617">
                  <c:v>32624</c:v>
                </c:pt>
                <c:pt idx="1618">
                  <c:v>32625</c:v>
                </c:pt>
                <c:pt idx="1619">
                  <c:v>32626</c:v>
                </c:pt>
                <c:pt idx="1620">
                  <c:v>32627</c:v>
                </c:pt>
                <c:pt idx="1621">
                  <c:v>32628</c:v>
                </c:pt>
                <c:pt idx="1622">
                  <c:v>32629</c:v>
                </c:pt>
                <c:pt idx="1623">
                  <c:v>32630</c:v>
                </c:pt>
                <c:pt idx="1624">
                  <c:v>32631</c:v>
                </c:pt>
                <c:pt idx="1625">
                  <c:v>32632</c:v>
                </c:pt>
                <c:pt idx="1626">
                  <c:v>32633</c:v>
                </c:pt>
                <c:pt idx="1627">
                  <c:v>32634</c:v>
                </c:pt>
                <c:pt idx="1628">
                  <c:v>32635</c:v>
                </c:pt>
                <c:pt idx="1629">
                  <c:v>32636</c:v>
                </c:pt>
                <c:pt idx="1630">
                  <c:v>32637</c:v>
                </c:pt>
                <c:pt idx="1631">
                  <c:v>32638</c:v>
                </c:pt>
                <c:pt idx="1632">
                  <c:v>32639</c:v>
                </c:pt>
                <c:pt idx="1633">
                  <c:v>32640</c:v>
                </c:pt>
                <c:pt idx="1634">
                  <c:v>32641</c:v>
                </c:pt>
                <c:pt idx="1635">
                  <c:v>32642</c:v>
                </c:pt>
                <c:pt idx="1636">
                  <c:v>32643</c:v>
                </c:pt>
                <c:pt idx="1637">
                  <c:v>32644</c:v>
                </c:pt>
                <c:pt idx="1638">
                  <c:v>32645</c:v>
                </c:pt>
                <c:pt idx="1639">
                  <c:v>32646</c:v>
                </c:pt>
                <c:pt idx="1640">
                  <c:v>32647</c:v>
                </c:pt>
                <c:pt idx="1641">
                  <c:v>32648</c:v>
                </c:pt>
                <c:pt idx="1642">
                  <c:v>32649</c:v>
                </c:pt>
                <c:pt idx="1643">
                  <c:v>32650</c:v>
                </c:pt>
                <c:pt idx="1644">
                  <c:v>32651</c:v>
                </c:pt>
                <c:pt idx="1645">
                  <c:v>32652</c:v>
                </c:pt>
                <c:pt idx="1646">
                  <c:v>32653</c:v>
                </c:pt>
                <c:pt idx="1647">
                  <c:v>32654</c:v>
                </c:pt>
                <c:pt idx="1648">
                  <c:v>32655</c:v>
                </c:pt>
                <c:pt idx="1649">
                  <c:v>32656</c:v>
                </c:pt>
                <c:pt idx="1650">
                  <c:v>32657</c:v>
                </c:pt>
                <c:pt idx="1651">
                  <c:v>32658</c:v>
                </c:pt>
                <c:pt idx="1652">
                  <c:v>32659</c:v>
                </c:pt>
                <c:pt idx="1653">
                  <c:v>32660</c:v>
                </c:pt>
                <c:pt idx="1654">
                  <c:v>32661</c:v>
                </c:pt>
                <c:pt idx="1655">
                  <c:v>32662</c:v>
                </c:pt>
                <c:pt idx="1656">
                  <c:v>32663</c:v>
                </c:pt>
                <c:pt idx="1657">
                  <c:v>32664</c:v>
                </c:pt>
                <c:pt idx="1658">
                  <c:v>32665</c:v>
                </c:pt>
                <c:pt idx="1659">
                  <c:v>32666</c:v>
                </c:pt>
                <c:pt idx="1660">
                  <c:v>32667</c:v>
                </c:pt>
                <c:pt idx="1661">
                  <c:v>32668</c:v>
                </c:pt>
                <c:pt idx="1662">
                  <c:v>32669</c:v>
                </c:pt>
                <c:pt idx="1663">
                  <c:v>32670</c:v>
                </c:pt>
                <c:pt idx="1664">
                  <c:v>32671</c:v>
                </c:pt>
                <c:pt idx="1665">
                  <c:v>32672</c:v>
                </c:pt>
                <c:pt idx="1666">
                  <c:v>32673</c:v>
                </c:pt>
                <c:pt idx="1667">
                  <c:v>32674</c:v>
                </c:pt>
                <c:pt idx="1668">
                  <c:v>32675</c:v>
                </c:pt>
                <c:pt idx="1669">
                  <c:v>32676</c:v>
                </c:pt>
                <c:pt idx="1670">
                  <c:v>32677</c:v>
                </c:pt>
                <c:pt idx="1671">
                  <c:v>32678</c:v>
                </c:pt>
                <c:pt idx="1672">
                  <c:v>32679</c:v>
                </c:pt>
                <c:pt idx="1673">
                  <c:v>32680</c:v>
                </c:pt>
                <c:pt idx="1674">
                  <c:v>32681</c:v>
                </c:pt>
                <c:pt idx="1675">
                  <c:v>32682</c:v>
                </c:pt>
                <c:pt idx="1676">
                  <c:v>32683</c:v>
                </c:pt>
                <c:pt idx="1677">
                  <c:v>32684</c:v>
                </c:pt>
                <c:pt idx="1678">
                  <c:v>32685</c:v>
                </c:pt>
                <c:pt idx="1679">
                  <c:v>32686</c:v>
                </c:pt>
                <c:pt idx="1680">
                  <c:v>32687</c:v>
                </c:pt>
                <c:pt idx="1681">
                  <c:v>32688</c:v>
                </c:pt>
                <c:pt idx="1682">
                  <c:v>32689</c:v>
                </c:pt>
                <c:pt idx="1683">
                  <c:v>32690</c:v>
                </c:pt>
                <c:pt idx="1684">
                  <c:v>32691</c:v>
                </c:pt>
                <c:pt idx="1685">
                  <c:v>32692</c:v>
                </c:pt>
                <c:pt idx="1686">
                  <c:v>32693</c:v>
                </c:pt>
                <c:pt idx="1687">
                  <c:v>32694</c:v>
                </c:pt>
                <c:pt idx="1688">
                  <c:v>32695</c:v>
                </c:pt>
                <c:pt idx="1689">
                  <c:v>32696</c:v>
                </c:pt>
                <c:pt idx="1690">
                  <c:v>32697</c:v>
                </c:pt>
                <c:pt idx="1691">
                  <c:v>32698</c:v>
                </c:pt>
                <c:pt idx="1692">
                  <c:v>32699</c:v>
                </c:pt>
                <c:pt idx="1693">
                  <c:v>32700</c:v>
                </c:pt>
                <c:pt idx="1694">
                  <c:v>32701</c:v>
                </c:pt>
                <c:pt idx="1695">
                  <c:v>32702</c:v>
                </c:pt>
                <c:pt idx="1696">
                  <c:v>32703</c:v>
                </c:pt>
                <c:pt idx="1697">
                  <c:v>32704</c:v>
                </c:pt>
                <c:pt idx="1698">
                  <c:v>32705</c:v>
                </c:pt>
                <c:pt idx="1699">
                  <c:v>32706</c:v>
                </c:pt>
                <c:pt idx="1700">
                  <c:v>32707</c:v>
                </c:pt>
                <c:pt idx="1701">
                  <c:v>32708</c:v>
                </c:pt>
                <c:pt idx="1702">
                  <c:v>32709</c:v>
                </c:pt>
                <c:pt idx="1703">
                  <c:v>32710</c:v>
                </c:pt>
                <c:pt idx="1704">
                  <c:v>32711</c:v>
                </c:pt>
                <c:pt idx="1705">
                  <c:v>32712</c:v>
                </c:pt>
                <c:pt idx="1706">
                  <c:v>32713</c:v>
                </c:pt>
                <c:pt idx="1707">
                  <c:v>32714</c:v>
                </c:pt>
                <c:pt idx="1708">
                  <c:v>32715</c:v>
                </c:pt>
                <c:pt idx="1709">
                  <c:v>32716</c:v>
                </c:pt>
                <c:pt idx="1710">
                  <c:v>32717</c:v>
                </c:pt>
                <c:pt idx="1711">
                  <c:v>32718</c:v>
                </c:pt>
                <c:pt idx="1712">
                  <c:v>32719</c:v>
                </c:pt>
                <c:pt idx="1713">
                  <c:v>32720</c:v>
                </c:pt>
                <c:pt idx="1714">
                  <c:v>32721</c:v>
                </c:pt>
                <c:pt idx="1715">
                  <c:v>32722</c:v>
                </c:pt>
                <c:pt idx="1716">
                  <c:v>32723</c:v>
                </c:pt>
                <c:pt idx="1717">
                  <c:v>32724</c:v>
                </c:pt>
                <c:pt idx="1718">
                  <c:v>32725</c:v>
                </c:pt>
                <c:pt idx="1719">
                  <c:v>32726</c:v>
                </c:pt>
                <c:pt idx="1720">
                  <c:v>32727</c:v>
                </c:pt>
                <c:pt idx="1721">
                  <c:v>32728</c:v>
                </c:pt>
                <c:pt idx="1722">
                  <c:v>32729</c:v>
                </c:pt>
                <c:pt idx="1723">
                  <c:v>32730</c:v>
                </c:pt>
                <c:pt idx="1724">
                  <c:v>32731</c:v>
                </c:pt>
                <c:pt idx="1725">
                  <c:v>32732</c:v>
                </c:pt>
                <c:pt idx="1726">
                  <c:v>32733</c:v>
                </c:pt>
                <c:pt idx="1727">
                  <c:v>32734</c:v>
                </c:pt>
                <c:pt idx="1728">
                  <c:v>32735</c:v>
                </c:pt>
                <c:pt idx="1729">
                  <c:v>32736</c:v>
                </c:pt>
                <c:pt idx="1730">
                  <c:v>32737</c:v>
                </c:pt>
                <c:pt idx="1731">
                  <c:v>32738</c:v>
                </c:pt>
                <c:pt idx="1732">
                  <c:v>32739</c:v>
                </c:pt>
                <c:pt idx="1733">
                  <c:v>32740</c:v>
                </c:pt>
                <c:pt idx="1734">
                  <c:v>32741</c:v>
                </c:pt>
                <c:pt idx="1735">
                  <c:v>32742</c:v>
                </c:pt>
                <c:pt idx="1736">
                  <c:v>32743</c:v>
                </c:pt>
                <c:pt idx="1737">
                  <c:v>32744</c:v>
                </c:pt>
                <c:pt idx="1738">
                  <c:v>32745</c:v>
                </c:pt>
                <c:pt idx="1739">
                  <c:v>32746</c:v>
                </c:pt>
                <c:pt idx="1740">
                  <c:v>32747</c:v>
                </c:pt>
                <c:pt idx="1741">
                  <c:v>32748</c:v>
                </c:pt>
                <c:pt idx="1742">
                  <c:v>32749</c:v>
                </c:pt>
                <c:pt idx="1743">
                  <c:v>32750</c:v>
                </c:pt>
                <c:pt idx="1744">
                  <c:v>32751</c:v>
                </c:pt>
                <c:pt idx="1745">
                  <c:v>32752</c:v>
                </c:pt>
                <c:pt idx="1746">
                  <c:v>32753</c:v>
                </c:pt>
                <c:pt idx="1747">
                  <c:v>32754</c:v>
                </c:pt>
                <c:pt idx="1748">
                  <c:v>32755</c:v>
                </c:pt>
                <c:pt idx="1749">
                  <c:v>32756</c:v>
                </c:pt>
                <c:pt idx="1750">
                  <c:v>32757</c:v>
                </c:pt>
                <c:pt idx="1751">
                  <c:v>32758</c:v>
                </c:pt>
                <c:pt idx="1752">
                  <c:v>32759</c:v>
                </c:pt>
                <c:pt idx="1753">
                  <c:v>32760</c:v>
                </c:pt>
                <c:pt idx="1754">
                  <c:v>32761</c:v>
                </c:pt>
                <c:pt idx="1755">
                  <c:v>32762</c:v>
                </c:pt>
                <c:pt idx="1756">
                  <c:v>32763</c:v>
                </c:pt>
                <c:pt idx="1757">
                  <c:v>32764</c:v>
                </c:pt>
                <c:pt idx="1758">
                  <c:v>32765</c:v>
                </c:pt>
                <c:pt idx="1759">
                  <c:v>32766</c:v>
                </c:pt>
                <c:pt idx="1760">
                  <c:v>32767</c:v>
                </c:pt>
                <c:pt idx="1761">
                  <c:v>32768</c:v>
                </c:pt>
                <c:pt idx="1762">
                  <c:v>32769</c:v>
                </c:pt>
                <c:pt idx="1763">
                  <c:v>32770</c:v>
                </c:pt>
                <c:pt idx="1764">
                  <c:v>32771</c:v>
                </c:pt>
                <c:pt idx="1765">
                  <c:v>32772</c:v>
                </c:pt>
                <c:pt idx="1766">
                  <c:v>32773</c:v>
                </c:pt>
                <c:pt idx="1767">
                  <c:v>32774</c:v>
                </c:pt>
                <c:pt idx="1768">
                  <c:v>32775</c:v>
                </c:pt>
                <c:pt idx="1769">
                  <c:v>32776</c:v>
                </c:pt>
                <c:pt idx="1770">
                  <c:v>32777</c:v>
                </c:pt>
                <c:pt idx="1771">
                  <c:v>32778</c:v>
                </c:pt>
                <c:pt idx="1772">
                  <c:v>32779</c:v>
                </c:pt>
                <c:pt idx="1773">
                  <c:v>32780</c:v>
                </c:pt>
                <c:pt idx="1774">
                  <c:v>32781</c:v>
                </c:pt>
                <c:pt idx="1775">
                  <c:v>32782</c:v>
                </c:pt>
                <c:pt idx="1776">
                  <c:v>32783</c:v>
                </c:pt>
                <c:pt idx="1777">
                  <c:v>32784</c:v>
                </c:pt>
                <c:pt idx="1778">
                  <c:v>32785</c:v>
                </c:pt>
                <c:pt idx="1779">
                  <c:v>32786</c:v>
                </c:pt>
                <c:pt idx="1780">
                  <c:v>32787</c:v>
                </c:pt>
                <c:pt idx="1781">
                  <c:v>32788</c:v>
                </c:pt>
                <c:pt idx="1782">
                  <c:v>32789</c:v>
                </c:pt>
                <c:pt idx="1783">
                  <c:v>32790</c:v>
                </c:pt>
                <c:pt idx="1784">
                  <c:v>32791</c:v>
                </c:pt>
                <c:pt idx="1785">
                  <c:v>32792</c:v>
                </c:pt>
                <c:pt idx="1786">
                  <c:v>32793</c:v>
                </c:pt>
                <c:pt idx="1787">
                  <c:v>32794</c:v>
                </c:pt>
                <c:pt idx="1788">
                  <c:v>32795</c:v>
                </c:pt>
                <c:pt idx="1789">
                  <c:v>32796</c:v>
                </c:pt>
                <c:pt idx="1790">
                  <c:v>32797</c:v>
                </c:pt>
                <c:pt idx="1791">
                  <c:v>32798</c:v>
                </c:pt>
                <c:pt idx="1792">
                  <c:v>32799</c:v>
                </c:pt>
                <c:pt idx="1793">
                  <c:v>32800</c:v>
                </c:pt>
                <c:pt idx="1794">
                  <c:v>32801</c:v>
                </c:pt>
                <c:pt idx="1795">
                  <c:v>32802</c:v>
                </c:pt>
                <c:pt idx="1796">
                  <c:v>32803</c:v>
                </c:pt>
                <c:pt idx="1797">
                  <c:v>32804</c:v>
                </c:pt>
                <c:pt idx="1798">
                  <c:v>32805</c:v>
                </c:pt>
                <c:pt idx="1799">
                  <c:v>32806</c:v>
                </c:pt>
                <c:pt idx="1800">
                  <c:v>32807</c:v>
                </c:pt>
                <c:pt idx="1801">
                  <c:v>32808</c:v>
                </c:pt>
                <c:pt idx="1802">
                  <c:v>32809</c:v>
                </c:pt>
                <c:pt idx="1803">
                  <c:v>32810</c:v>
                </c:pt>
                <c:pt idx="1804">
                  <c:v>32811</c:v>
                </c:pt>
                <c:pt idx="1805">
                  <c:v>32812</c:v>
                </c:pt>
                <c:pt idx="1806">
                  <c:v>32813</c:v>
                </c:pt>
                <c:pt idx="1807">
                  <c:v>32814</c:v>
                </c:pt>
                <c:pt idx="1808">
                  <c:v>32815</c:v>
                </c:pt>
                <c:pt idx="1809">
                  <c:v>32816</c:v>
                </c:pt>
                <c:pt idx="1810">
                  <c:v>32817</c:v>
                </c:pt>
                <c:pt idx="1811">
                  <c:v>32818</c:v>
                </c:pt>
                <c:pt idx="1812">
                  <c:v>32819</c:v>
                </c:pt>
                <c:pt idx="1813">
                  <c:v>32820</c:v>
                </c:pt>
                <c:pt idx="1814">
                  <c:v>32821</c:v>
                </c:pt>
                <c:pt idx="1815">
                  <c:v>32822</c:v>
                </c:pt>
                <c:pt idx="1816">
                  <c:v>32823</c:v>
                </c:pt>
                <c:pt idx="1817">
                  <c:v>32824</c:v>
                </c:pt>
                <c:pt idx="1818">
                  <c:v>32825</c:v>
                </c:pt>
                <c:pt idx="1819">
                  <c:v>32826</c:v>
                </c:pt>
                <c:pt idx="1820">
                  <c:v>32827</c:v>
                </c:pt>
                <c:pt idx="1821">
                  <c:v>32828</c:v>
                </c:pt>
                <c:pt idx="1822">
                  <c:v>32829</c:v>
                </c:pt>
                <c:pt idx="1823">
                  <c:v>32830</c:v>
                </c:pt>
                <c:pt idx="1824">
                  <c:v>32831</c:v>
                </c:pt>
                <c:pt idx="1825">
                  <c:v>32832</c:v>
                </c:pt>
                <c:pt idx="1826">
                  <c:v>32833</c:v>
                </c:pt>
                <c:pt idx="1827">
                  <c:v>32834</c:v>
                </c:pt>
                <c:pt idx="1828">
                  <c:v>32835</c:v>
                </c:pt>
                <c:pt idx="1829">
                  <c:v>32836</c:v>
                </c:pt>
                <c:pt idx="1830">
                  <c:v>32837</c:v>
                </c:pt>
                <c:pt idx="1831">
                  <c:v>32838</c:v>
                </c:pt>
                <c:pt idx="1832">
                  <c:v>32839</c:v>
                </c:pt>
                <c:pt idx="1833">
                  <c:v>32840</c:v>
                </c:pt>
                <c:pt idx="1834">
                  <c:v>32841</c:v>
                </c:pt>
                <c:pt idx="1835">
                  <c:v>32842</c:v>
                </c:pt>
                <c:pt idx="1836">
                  <c:v>32843</c:v>
                </c:pt>
                <c:pt idx="1837">
                  <c:v>32844</c:v>
                </c:pt>
                <c:pt idx="1838">
                  <c:v>32845</c:v>
                </c:pt>
                <c:pt idx="1839">
                  <c:v>32846</c:v>
                </c:pt>
                <c:pt idx="1840">
                  <c:v>32847</c:v>
                </c:pt>
                <c:pt idx="1841">
                  <c:v>32848</c:v>
                </c:pt>
                <c:pt idx="1842">
                  <c:v>32849</c:v>
                </c:pt>
                <c:pt idx="1843">
                  <c:v>32850</c:v>
                </c:pt>
                <c:pt idx="1844">
                  <c:v>32851</c:v>
                </c:pt>
                <c:pt idx="1845">
                  <c:v>32852</c:v>
                </c:pt>
                <c:pt idx="1846">
                  <c:v>32853</c:v>
                </c:pt>
                <c:pt idx="1847">
                  <c:v>32854</c:v>
                </c:pt>
                <c:pt idx="1848">
                  <c:v>32855</c:v>
                </c:pt>
                <c:pt idx="1849">
                  <c:v>32856</c:v>
                </c:pt>
                <c:pt idx="1850">
                  <c:v>32857</c:v>
                </c:pt>
                <c:pt idx="1851">
                  <c:v>32858</c:v>
                </c:pt>
                <c:pt idx="1852">
                  <c:v>32859</c:v>
                </c:pt>
                <c:pt idx="1853">
                  <c:v>32860</c:v>
                </c:pt>
                <c:pt idx="1854">
                  <c:v>32861</c:v>
                </c:pt>
                <c:pt idx="1855">
                  <c:v>32862</c:v>
                </c:pt>
                <c:pt idx="1856">
                  <c:v>32863</c:v>
                </c:pt>
                <c:pt idx="1857">
                  <c:v>32864</c:v>
                </c:pt>
                <c:pt idx="1858">
                  <c:v>32865</c:v>
                </c:pt>
                <c:pt idx="1859">
                  <c:v>32866</c:v>
                </c:pt>
                <c:pt idx="1860">
                  <c:v>32867</c:v>
                </c:pt>
                <c:pt idx="1861">
                  <c:v>32868</c:v>
                </c:pt>
                <c:pt idx="1862">
                  <c:v>32869</c:v>
                </c:pt>
                <c:pt idx="1863">
                  <c:v>32870</c:v>
                </c:pt>
                <c:pt idx="1864">
                  <c:v>32871</c:v>
                </c:pt>
                <c:pt idx="1865">
                  <c:v>32872</c:v>
                </c:pt>
                <c:pt idx="1866">
                  <c:v>32873</c:v>
                </c:pt>
                <c:pt idx="1867">
                  <c:v>32874</c:v>
                </c:pt>
                <c:pt idx="1868">
                  <c:v>32875</c:v>
                </c:pt>
                <c:pt idx="1869">
                  <c:v>32876</c:v>
                </c:pt>
                <c:pt idx="1870">
                  <c:v>32877</c:v>
                </c:pt>
                <c:pt idx="1871">
                  <c:v>32878</c:v>
                </c:pt>
                <c:pt idx="1872">
                  <c:v>32879</c:v>
                </c:pt>
                <c:pt idx="1873">
                  <c:v>32880</c:v>
                </c:pt>
                <c:pt idx="1874">
                  <c:v>32881</c:v>
                </c:pt>
                <c:pt idx="1875">
                  <c:v>32882</c:v>
                </c:pt>
                <c:pt idx="1876">
                  <c:v>32883</c:v>
                </c:pt>
                <c:pt idx="1877">
                  <c:v>32884</c:v>
                </c:pt>
                <c:pt idx="1878">
                  <c:v>32885</c:v>
                </c:pt>
                <c:pt idx="1879">
                  <c:v>32886</c:v>
                </c:pt>
                <c:pt idx="1880">
                  <c:v>32887</c:v>
                </c:pt>
                <c:pt idx="1881">
                  <c:v>32888</c:v>
                </c:pt>
                <c:pt idx="1882">
                  <c:v>32889</c:v>
                </c:pt>
                <c:pt idx="1883">
                  <c:v>32890</c:v>
                </c:pt>
                <c:pt idx="1884">
                  <c:v>32891</c:v>
                </c:pt>
                <c:pt idx="1885">
                  <c:v>32892</c:v>
                </c:pt>
                <c:pt idx="1886">
                  <c:v>32893</c:v>
                </c:pt>
                <c:pt idx="1887">
                  <c:v>32894</c:v>
                </c:pt>
                <c:pt idx="1888">
                  <c:v>32895</c:v>
                </c:pt>
                <c:pt idx="1889">
                  <c:v>32896</c:v>
                </c:pt>
                <c:pt idx="1890">
                  <c:v>32897</c:v>
                </c:pt>
                <c:pt idx="1891">
                  <c:v>32898</c:v>
                </c:pt>
                <c:pt idx="1892">
                  <c:v>32899</c:v>
                </c:pt>
                <c:pt idx="1893">
                  <c:v>32900</c:v>
                </c:pt>
                <c:pt idx="1894">
                  <c:v>32901</c:v>
                </c:pt>
                <c:pt idx="1895">
                  <c:v>32902</c:v>
                </c:pt>
                <c:pt idx="1896">
                  <c:v>32903</c:v>
                </c:pt>
                <c:pt idx="1897">
                  <c:v>32904</c:v>
                </c:pt>
                <c:pt idx="1898">
                  <c:v>32905</c:v>
                </c:pt>
                <c:pt idx="1899">
                  <c:v>32906</c:v>
                </c:pt>
                <c:pt idx="1900">
                  <c:v>32907</c:v>
                </c:pt>
                <c:pt idx="1901">
                  <c:v>32908</c:v>
                </c:pt>
                <c:pt idx="1902">
                  <c:v>32909</c:v>
                </c:pt>
                <c:pt idx="1903">
                  <c:v>32910</c:v>
                </c:pt>
                <c:pt idx="1904">
                  <c:v>32911</c:v>
                </c:pt>
                <c:pt idx="1905">
                  <c:v>32912</c:v>
                </c:pt>
                <c:pt idx="1906">
                  <c:v>32913</c:v>
                </c:pt>
                <c:pt idx="1907">
                  <c:v>32914</c:v>
                </c:pt>
                <c:pt idx="1908">
                  <c:v>32915</c:v>
                </c:pt>
                <c:pt idx="1909">
                  <c:v>32916</c:v>
                </c:pt>
                <c:pt idx="1910">
                  <c:v>32917</c:v>
                </c:pt>
                <c:pt idx="1911">
                  <c:v>32918</c:v>
                </c:pt>
                <c:pt idx="1912">
                  <c:v>32919</c:v>
                </c:pt>
                <c:pt idx="1913">
                  <c:v>32920</c:v>
                </c:pt>
                <c:pt idx="1914">
                  <c:v>32921</c:v>
                </c:pt>
                <c:pt idx="1915">
                  <c:v>32922</c:v>
                </c:pt>
                <c:pt idx="1916">
                  <c:v>32923</c:v>
                </c:pt>
                <c:pt idx="1917">
                  <c:v>32924</c:v>
                </c:pt>
                <c:pt idx="1918">
                  <c:v>32925</c:v>
                </c:pt>
                <c:pt idx="1919">
                  <c:v>32926</c:v>
                </c:pt>
                <c:pt idx="1920">
                  <c:v>32927</c:v>
                </c:pt>
                <c:pt idx="1921">
                  <c:v>32928</c:v>
                </c:pt>
                <c:pt idx="1922">
                  <c:v>32929</c:v>
                </c:pt>
                <c:pt idx="1923">
                  <c:v>32930</c:v>
                </c:pt>
                <c:pt idx="1924">
                  <c:v>32931</c:v>
                </c:pt>
                <c:pt idx="1925">
                  <c:v>32932</c:v>
                </c:pt>
                <c:pt idx="1926">
                  <c:v>32933</c:v>
                </c:pt>
                <c:pt idx="1927">
                  <c:v>32934</c:v>
                </c:pt>
                <c:pt idx="1928">
                  <c:v>32935</c:v>
                </c:pt>
                <c:pt idx="1929">
                  <c:v>32936</c:v>
                </c:pt>
                <c:pt idx="1930">
                  <c:v>32937</c:v>
                </c:pt>
                <c:pt idx="1931">
                  <c:v>32938</c:v>
                </c:pt>
                <c:pt idx="1932">
                  <c:v>32939</c:v>
                </c:pt>
                <c:pt idx="1933">
                  <c:v>32940</c:v>
                </c:pt>
                <c:pt idx="1934">
                  <c:v>32941</c:v>
                </c:pt>
                <c:pt idx="1935">
                  <c:v>32942</c:v>
                </c:pt>
                <c:pt idx="1936">
                  <c:v>32943</c:v>
                </c:pt>
                <c:pt idx="1937">
                  <c:v>32944</c:v>
                </c:pt>
                <c:pt idx="1938">
                  <c:v>32945</c:v>
                </c:pt>
                <c:pt idx="1939">
                  <c:v>32946</c:v>
                </c:pt>
                <c:pt idx="1940">
                  <c:v>32947</c:v>
                </c:pt>
                <c:pt idx="1941">
                  <c:v>32948</c:v>
                </c:pt>
                <c:pt idx="1942">
                  <c:v>32949</c:v>
                </c:pt>
                <c:pt idx="1943">
                  <c:v>32950</c:v>
                </c:pt>
                <c:pt idx="1944">
                  <c:v>32951</c:v>
                </c:pt>
                <c:pt idx="1945">
                  <c:v>32952</c:v>
                </c:pt>
                <c:pt idx="1946">
                  <c:v>32953</c:v>
                </c:pt>
                <c:pt idx="1947">
                  <c:v>32954</c:v>
                </c:pt>
                <c:pt idx="1948">
                  <c:v>32955</c:v>
                </c:pt>
                <c:pt idx="1949">
                  <c:v>32956</c:v>
                </c:pt>
                <c:pt idx="1950">
                  <c:v>32957</c:v>
                </c:pt>
                <c:pt idx="1951">
                  <c:v>32958</c:v>
                </c:pt>
                <c:pt idx="1952">
                  <c:v>32959</c:v>
                </c:pt>
                <c:pt idx="1953">
                  <c:v>32960</c:v>
                </c:pt>
                <c:pt idx="1954">
                  <c:v>32961</c:v>
                </c:pt>
                <c:pt idx="1955">
                  <c:v>32962</c:v>
                </c:pt>
                <c:pt idx="1956">
                  <c:v>32963</c:v>
                </c:pt>
                <c:pt idx="1957">
                  <c:v>32964</c:v>
                </c:pt>
                <c:pt idx="1958">
                  <c:v>32965</c:v>
                </c:pt>
                <c:pt idx="1959">
                  <c:v>32966</c:v>
                </c:pt>
                <c:pt idx="1960">
                  <c:v>32967</c:v>
                </c:pt>
                <c:pt idx="1961">
                  <c:v>32968</c:v>
                </c:pt>
                <c:pt idx="1962">
                  <c:v>32969</c:v>
                </c:pt>
                <c:pt idx="1963">
                  <c:v>32970</c:v>
                </c:pt>
                <c:pt idx="1964">
                  <c:v>32971</c:v>
                </c:pt>
              </c:numCache>
            </c:numRef>
          </c:xVal>
          <c:yVal>
            <c:numRef>
              <c:f>'Simple Data'!$P$9:$P$1973</c:f>
              <c:numCache>
                <c:formatCode>General</c:formatCode>
                <c:ptCount val="1965"/>
                <c:pt idx="0">
                  <c:v>0.16262152791023254</c:v>
                </c:pt>
                <c:pt idx="1">
                  <c:v>0.16262426972389221</c:v>
                </c:pt>
                <c:pt idx="2">
                  <c:v>0.16262641549110413</c:v>
                </c:pt>
                <c:pt idx="3">
                  <c:v>0.16262927651405334</c:v>
                </c:pt>
                <c:pt idx="4">
                  <c:v>0.16263154149055481</c:v>
                </c:pt>
                <c:pt idx="5">
                  <c:v>0.16263416409492493</c:v>
                </c:pt>
                <c:pt idx="6">
                  <c:v>0.16263630986213684</c:v>
                </c:pt>
                <c:pt idx="7">
                  <c:v>0.16263857483863831</c:v>
                </c:pt>
                <c:pt idx="8">
                  <c:v>0.16264143586158752</c:v>
                </c:pt>
                <c:pt idx="9">
                  <c:v>0.16264334321022034</c:v>
                </c:pt>
                <c:pt idx="10">
                  <c:v>0.1626456081867218</c:v>
                </c:pt>
                <c:pt idx="11">
                  <c:v>0.16264846920967102</c:v>
                </c:pt>
                <c:pt idx="12">
                  <c:v>0.16265109181404114</c:v>
                </c:pt>
                <c:pt idx="13">
                  <c:v>0.1626531183719635</c:v>
                </c:pt>
                <c:pt idx="14">
                  <c:v>0.16265574097633362</c:v>
                </c:pt>
                <c:pt idx="15">
                  <c:v>0.16265836358070374</c:v>
                </c:pt>
                <c:pt idx="16">
                  <c:v>0.1626606285572052</c:v>
                </c:pt>
                <c:pt idx="17">
                  <c:v>0.16266372799873352</c:v>
                </c:pt>
                <c:pt idx="18">
                  <c:v>0.16266611218452454</c:v>
                </c:pt>
                <c:pt idx="19">
                  <c:v>0.1626686155796051</c:v>
                </c:pt>
                <c:pt idx="20">
                  <c:v>0.16267171502113342</c:v>
                </c:pt>
                <c:pt idx="21">
                  <c:v>0.16267433762550354</c:v>
                </c:pt>
                <c:pt idx="22">
                  <c:v>0.16267707943916321</c:v>
                </c:pt>
                <c:pt idx="23">
                  <c:v>0.16267994046211243</c:v>
                </c:pt>
                <c:pt idx="24">
                  <c:v>0.16268351674079895</c:v>
                </c:pt>
                <c:pt idx="25">
                  <c:v>0.16268649697303772</c:v>
                </c:pt>
                <c:pt idx="26">
                  <c:v>0.16268983483314514</c:v>
                </c:pt>
                <c:pt idx="27">
                  <c:v>0.16269317269325256</c:v>
                </c:pt>
                <c:pt idx="28">
                  <c:v>0.16269591450691223</c:v>
                </c:pt>
                <c:pt idx="29">
                  <c:v>0.16270020604133606</c:v>
                </c:pt>
                <c:pt idx="30">
                  <c:v>0.16270378232002258</c:v>
                </c:pt>
                <c:pt idx="31">
                  <c:v>0.16270747780799866</c:v>
                </c:pt>
                <c:pt idx="32">
                  <c:v>0.16271105408668518</c:v>
                </c:pt>
                <c:pt idx="33">
                  <c:v>0.16271558403968811</c:v>
                </c:pt>
                <c:pt idx="34">
                  <c:v>0.16271999478340149</c:v>
                </c:pt>
                <c:pt idx="35">
                  <c:v>0.16272333264350891</c:v>
                </c:pt>
                <c:pt idx="36">
                  <c:v>0.16272810101509094</c:v>
                </c:pt>
                <c:pt idx="37">
                  <c:v>0.16273251175880432</c:v>
                </c:pt>
                <c:pt idx="38">
                  <c:v>0.16273704171180725</c:v>
                </c:pt>
                <c:pt idx="39">
                  <c:v>0.16274228692054749</c:v>
                </c:pt>
                <c:pt idx="40">
                  <c:v>0.16274693608283997</c:v>
                </c:pt>
                <c:pt idx="41">
                  <c:v>0.1627526581287384</c:v>
                </c:pt>
                <c:pt idx="42">
                  <c:v>0.16275838017463684</c:v>
                </c:pt>
                <c:pt idx="43">
                  <c:v>0.16276350617408752</c:v>
                </c:pt>
                <c:pt idx="44">
                  <c:v>0.16276922821998596</c:v>
                </c:pt>
                <c:pt idx="45">
                  <c:v>0.1627754271030426</c:v>
                </c:pt>
                <c:pt idx="46">
                  <c:v>0.16278126835823059</c:v>
                </c:pt>
                <c:pt idx="47">
                  <c:v>0.16278722882270813</c:v>
                </c:pt>
                <c:pt idx="48">
                  <c:v>0.16279414296150208</c:v>
                </c:pt>
                <c:pt idx="49">
                  <c:v>0.16280046105384827</c:v>
                </c:pt>
                <c:pt idx="50">
                  <c:v>0.16280761361122131</c:v>
                </c:pt>
                <c:pt idx="51">
                  <c:v>0.16281500458717346</c:v>
                </c:pt>
                <c:pt idx="52">
                  <c:v>0.16282251477241516</c:v>
                </c:pt>
                <c:pt idx="53">
                  <c:v>0.16282990574836731</c:v>
                </c:pt>
                <c:pt idx="54">
                  <c:v>0.16283777356147766</c:v>
                </c:pt>
                <c:pt idx="55">
                  <c:v>0.16284576058387756</c:v>
                </c:pt>
                <c:pt idx="56">
                  <c:v>0.16285386681556702</c:v>
                </c:pt>
                <c:pt idx="57">
                  <c:v>0.16286268830299377</c:v>
                </c:pt>
                <c:pt idx="58">
                  <c:v>0.16287115216255188</c:v>
                </c:pt>
                <c:pt idx="59">
                  <c:v>0.16288045048713684</c:v>
                </c:pt>
                <c:pt idx="60">
                  <c:v>0.1628892719745636</c:v>
                </c:pt>
                <c:pt idx="61">
                  <c:v>0.16289868950843811</c:v>
                </c:pt>
                <c:pt idx="62">
                  <c:v>0.16290917992591858</c:v>
                </c:pt>
                <c:pt idx="63">
                  <c:v>0.16291919350624084</c:v>
                </c:pt>
                <c:pt idx="64">
                  <c:v>0.16292908787727356</c:v>
                </c:pt>
                <c:pt idx="65">
                  <c:v>0.16293957829475403</c:v>
                </c:pt>
                <c:pt idx="66">
                  <c:v>0.1629507839679718</c:v>
                </c:pt>
                <c:pt idx="67">
                  <c:v>0.16296187043190002</c:v>
                </c:pt>
                <c:pt idx="68">
                  <c:v>0.1629730761051178</c:v>
                </c:pt>
                <c:pt idx="69">
                  <c:v>0.16298452019691467</c:v>
                </c:pt>
                <c:pt idx="70">
                  <c:v>0.1629970371723175</c:v>
                </c:pt>
                <c:pt idx="71">
                  <c:v>0.16300943493843079</c:v>
                </c:pt>
                <c:pt idx="72">
                  <c:v>0.16302183270454407</c:v>
                </c:pt>
                <c:pt idx="73">
                  <c:v>0.1630343496799469</c:v>
                </c:pt>
                <c:pt idx="74">
                  <c:v>0.16304746270179749</c:v>
                </c:pt>
                <c:pt idx="75">
                  <c:v>0.16306176781654358</c:v>
                </c:pt>
                <c:pt idx="76">
                  <c:v>0.16307547688484192</c:v>
                </c:pt>
                <c:pt idx="77">
                  <c:v>0.16308906674385071</c:v>
                </c:pt>
                <c:pt idx="78">
                  <c:v>0.1631036102771759</c:v>
                </c:pt>
                <c:pt idx="79">
                  <c:v>0.16311851143836975</c:v>
                </c:pt>
                <c:pt idx="80">
                  <c:v>0.16313329339027405</c:v>
                </c:pt>
                <c:pt idx="81">
                  <c:v>0.16314902901649475</c:v>
                </c:pt>
                <c:pt idx="82">
                  <c:v>0.163164883852005</c:v>
                </c:pt>
                <c:pt idx="83">
                  <c:v>0.16318109631538391</c:v>
                </c:pt>
                <c:pt idx="84">
                  <c:v>0.16319730877876282</c:v>
                </c:pt>
                <c:pt idx="85">
                  <c:v>0.16321435570716858</c:v>
                </c:pt>
                <c:pt idx="86">
                  <c:v>0.16323152184486389</c:v>
                </c:pt>
                <c:pt idx="87">
                  <c:v>0.16324916481971741</c:v>
                </c:pt>
                <c:pt idx="88">
                  <c:v>0.16326692700386047</c:v>
                </c:pt>
                <c:pt idx="89">
                  <c:v>0.16328528523445129</c:v>
                </c:pt>
                <c:pt idx="90">
                  <c:v>0.16330412030220032</c:v>
                </c:pt>
                <c:pt idx="91">
                  <c:v>0.16332283616065979</c:v>
                </c:pt>
                <c:pt idx="92">
                  <c:v>0.16334238648414612</c:v>
                </c:pt>
                <c:pt idx="93">
                  <c:v>0.16336241364479065</c:v>
                </c:pt>
                <c:pt idx="94">
                  <c:v>0.16338184475898743</c:v>
                </c:pt>
                <c:pt idx="95">
                  <c:v>0.16340282559394836</c:v>
                </c:pt>
                <c:pt idx="96">
                  <c:v>0.1634233295917511</c:v>
                </c:pt>
                <c:pt idx="97">
                  <c:v>0.16344466805458069</c:v>
                </c:pt>
                <c:pt idx="98">
                  <c:v>0.16346660256385803</c:v>
                </c:pt>
                <c:pt idx="99">
                  <c:v>0.16348829865455627</c:v>
                </c:pt>
                <c:pt idx="100">
                  <c:v>0.16351082921028137</c:v>
                </c:pt>
                <c:pt idx="101">
                  <c:v>0.16353395581245422</c:v>
                </c:pt>
                <c:pt idx="102">
                  <c:v>0.16355660557746887</c:v>
                </c:pt>
                <c:pt idx="103">
                  <c:v>0.16358080506324768</c:v>
                </c:pt>
                <c:pt idx="104">
                  <c:v>0.16360464692115784</c:v>
                </c:pt>
                <c:pt idx="105">
                  <c:v>0.1636294424533844</c:v>
                </c:pt>
                <c:pt idx="106">
                  <c:v>0.16365411877632141</c:v>
                </c:pt>
                <c:pt idx="107">
                  <c:v>0.16367939114570618</c:v>
                </c:pt>
                <c:pt idx="108">
                  <c:v>0.16370561718940735</c:v>
                </c:pt>
                <c:pt idx="109">
                  <c:v>0.16373124718666077</c:v>
                </c:pt>
                <c:pt idx="110">
                  <c:v>0.16375818848609924</c:v>
                </c:pt>
                <c:pt idx="111">
                  <c:v>0.16378512978553772</c:v>
                </c:pt>
                <c:pt idx="112">
                  <c:v>0.16381266713142395</c:v>
                </c:pt>
                <c:pt idx="113">
                  <c:v>0.16384032368659973</c:v>
                </c:pt>
                <c:pt idx="114">
                  <c:v>0.16386845707893372</c:v>
                </c:pt>
                <c:pt idx="115">
                  <c:v>0.16389718651771545</c:v>
                </c:pt>
                <c:pt idx="116">
                  <c:v>0.16392698884010315</c:v>
                </c:pt>
                <c:pt idx="117">
                  <c:v>0.16395655274391174</c:v>
                </c:pt>
                <c:pt idx="118">
                  <c:v>0.16398671269416809</c:v>
                </c:pt>
                <c:pt idx="119">
                  <c:v>0.16401675343513489</c:v>
                </c:pt>
                <c:pt idx="120">
                  <c:v>0.16404798626899719</c:v>
                </c:pt>
                <c:pt idx="121">
                  <c:v>0.16407909989356995</c:v>
                </c:pt>
                <c:pt idx="122">
                  <c:v>0.16411176323890686</c:v>
                </c:pt>
                <c:pt idx="123">
                  <c:v>0.16414394974708557</c:v>
                </c:pt>
                <c:pt idx="124">
                  <c:v>0.16417697072029114</c:v>
                </c:pt>
                <c:pt idx="125">
                  <c:v>0.16421034932136536</c:v>
                </c:pt>
                <c:pt idx="126">
                  <c:v>0.16424444317817688</c:v>
                </c:pt>
                <c:pt idx="127">
                  <c:v>0.16427841782569885</c:v>
                </c:pt>
                <c:pt idx="128">
                  <c:v>0.16431322693824768</c:v>
                </c:pt>
                <c:pt idx="129">
                  <c:v>0.16434851288795471</c:v>
                </c:pt>
                <c:pt idx="130">
                  <c:v>0.1643841564655304</c:v>
                </c:pt>
                <c:pt idx="131">
                  <c:v>0.16442039608955383</c:v>
                </c:pt>
                <c:pt idx="132">
                  <c:v>0.16445687413215637</c:v>
                </c:pt>
                <c:pt idx="133">
                  <c:v>0.16449418663978577</c:v>
                </c:pt>
                <c:pt idx="134">
                  <c:v>0.16453233361244202</c:v>
                </c:pt>
                <c:pt idx="135">
                  <c:v>0.16457012295722961</c:v>
                </c:pt>
                <c:pt idx="136">
                  <c:v>0.16460874676704407</c:v>
                </c:pt>
                <c:pt idx="137">
                  <c:v>0.16464832425117493</c:v>
                </c:pt>
                <c:pt idx="138">
                  <c:v>0.16468754410743713</c:v>
                </c:pt>
                <c:pt idx="139">
                  <c:v>0.1647278368473053</c:v>
                </c:pt>
                <c:pt idx="140">
                  <c:v>0.16476860642433167</c:v>
                </c:pt>
                <c:pt idx="141">
                  <c:v>0.16480949521064758</c:v>
                </c:pt>
                <c:pt idx="142">
                  <c:v>0.16485193371772766</c:v>
                </c:pt>
                <c:pt idx="143">
                  <c:v>0.16489365696907043</c:v>
                </c:pt>
                <c:pt idx="144">
                  <c:v>0.16493669152259827</c:v>
                </c:pt>
                <c:pt idx="145">
                  <c:v>0.16498008370399475</c:v>
                </c:pt>
                <c:pt idx="146">
                  <c:v>0.16502347588539124</c:v>
                </c:pt>
                <c:pt idx="147">
                  <c:v>0.16506817936897278</c:v>
                </c:pt>
                <c:pt idx="148">
                  <c:v>0.16511252522468567</c:v>
                </c:pt>
                <c:pt idx="149">
                  <c:v>0.16515830159187317</c:v>
                </c:pt>
                <c:pt idx="150">
                  <c:v>0.16520395874977112</c:v>
                </c:pt>
                <c:pt idx="151">
                  <c:v>0.16525021195411682</c:v>
                </c:pt>
                <c:pt idx="152">
                  <c:v>0.16529741883277893</c:v>
                </c:pt>
                <c:pt idx="153">
                  <c:v>0.16534450650215149</c:v>
                </c:pt>
                <c:pt idx="154">
                  <c:v>0.16539266705513</c:v>
                </c:pt>
                <c:pt idx="155">
                  <c:v>0.16544106602668762</c:v>
                </c:pt>
                <c:pt idx="156">
                  <c:v>0.16549006104469299</c:v>
                </c:pt>
                <c:pt idx="157">
                  <c:v>0.16553965210914612</c:v>
                </c:pt>
                <c:pt idx="158">
                  <c:v>0.16558972001075745</c:v>
                </c:pt>
                <c:pt idx="159">
                  <c:v>0.16564062237739563</c:v>
                </c:pt>
                <c:pt idx="160">
                  <c:v>0.16569235920906067</c:v>
                </c:pt>
                <c:pt idx="161">
                  <c:v>0.16574385762214661</c:v>
                </c:pt>
                <c:pt idx="162">
                  <c:v>0.1657957136631012</c:v>
                </c:pt>
                <c:pt idx="163">
                  <c:v>0.16584888100624084</c:v>
                </c:pt>
                <c:pt idx="164">
                  <c:v>0.16590228676795959</c:v>
                </c:pt>
                <c:pt idx="165">
                  <c:v>0.1659562885761261</c:v>
                </c:pt>
                <c:pt idx="166">
                  <c:v>0.16601112484931946</c:v>
                </c:pt>
                <c:pt idx="167">
                  <c:v>0.16606619954109192</c:v>
                </c:pt>
                <c:pt idx="168">
                  <c:v>0.16612163186073303</c:v>
                </c:pt>
                <c:pt idx="169">
                  <c:v>0.1661783754825592</c:v>
                </c:pt>
                <c:pt idx="170">
                  <c:v>0.16623511910438538</c:v>
                </c:pt>
                <c:pt idx="171">
                  <c:v>0.1662919819355011</c:v>
                </c:pt>
                <c:pt idx="172">
                  <c:v>0.16635015606880188</c:v>
                </c:pt>
                <c:pt idx="173">
                  <c:v>0.16640880703926086</c:v>
                </c:pt>
                <c:pt idx="174">
                  <c:v>0.1664680540561676</c:v>
                </c:pt>
                <c:pt idx="175">
                  <c:v>0.16652765870094299</c:v>
                </c:pt>
                <c:pt idx="176">
                  <c:v>0.16658726334571838</c:v>
                </c:pt>
                <c:pt idx="177">
                  <c:v>0.16664841771125793</c:v>
                </c:pt>
                <c:pt idx="178">
                  <c:v>0.16670969128608704</c:v>
                </c:pt>
                <c:pt idx="179">
                  <c:v>0.16677191853523254</c:v>
                </c:pt>
                <c:pt idx="180">
                  <c:v>0.1668340265750885</c:v>
                </c:pt>
                <c:pt idx="181">
                  <c:v>0.16689696907997131</c:v>
                </c:pt>
                <c:pt idx="182">
                  <c:v>0.16696086525917053</c:v>
                </c:pt>
                <c:pt idx="183">
                  <c:v>0.1670253574848175</c:v>
                </c:pt>
                <c:pt idx="184">
                  <c:v>0.16709020733833313</c:v>
                </c:pt>
                <c:pt idx="185">
                  <c:v>0.16715577244758606</c:v>
                </c:pt>
                <c:pt idx="186">
                  <c:v>0.16722145676612854</c:v>
                </c:pt>
                <c:pt idx="187">
                  <c:v>0.16728797554969788</c:v>
                </c:pt>
                <c:pt idx="188">
                  <c:v>0.16735544800758362</c:v>
                </c:pt>
                <c:pt idx="189">
                  <c:v>0.16742303967475891</c:v>
                </c:pt>
                <c:pt idx="190">
                  <c:v>0.16749098896980286</c:v>
                </c:pt>
                <c:pt idx="191">
                  <c:v>0.16756036877632141</c:v>
                </c:pt>
                <c:pt idx="192">
                  <c:v>0.16762986779212952</c:v>
                </c:pt>
                <c:pt idx="193">
                  <c:v>0.16769996285438538</c:v>
                </c:pt>
                <c:pt idx="194">
                  <c:v>0.16777125000953674</c:v>
                </c:pt>
                <c:pt idx="195">
                  <c:v>0.16784194111824036</c:v>
                </c:pt>
                <c:pt idx="196">
                  <c:v>0.16791442036628723</c:v>
                </c:pt>
                <c:pt idx="197">
                  <c:v>0.167986661195755</c:v>
                </c:pt>
                <c:pt idx="198">
                  <c:v>0.16805973649024963</c:v>
                </c:pt>
                <c:pt idx="199">
                  <c:v>0.16813388466835022</c:v>
                </c:pt>
                <c:pt idx="200">
                  <c:v>0.16820803284645081</c:v>
                </c:pt>
                <c:pt idx="201">
                  <c:v>0.16828277707099915</c:v>
                </c:pt>
                <c:pt idx="202">
                  <c:v>0.16835907101631165</c:v>
                </c:pt>
                <c:pt idx="203">
                  <c:v>0.16843512654304504</c:v>
                </c:pt>
                <c:pt idx="204">
                  <c:v>0.16851153969764709</c:v>
                </c:pt>
                <c:pt idx="205">
                  <c:v>0.1685892641544342</c:v>
                </c:pt>
                <c:pt idx="206">
                  <c:v>0.16866746544837952</c:v>
                </c:pt>
                <c:pt idx="207">
                  <c:v>0.16874554753303528</c:v>
                </c:pt>
                <c:pt idx="208">
                  <c:v>0.1688249409198761</c:v>
                </c:pt>
                <c:pt idx="209">
                  <c:v>0.16890457272529602</c:v>
                </c:pt>
                <c:pt idx="210">
                  <c:v>0.1689852774143219</c:v>
                </c:pt>
                <c:pt idx="211">
                  <c:v>0.16906633973121643</c:v>
                </c:pt>
                <c:pt idx="212">
                  <c:v>0.16914811730384827</c:v>
                </c:pt>
                <c:pt idx="213">
                  <c:v>0.16923072934150696</c:v>
                </c:pt>
                <c:pt idx="214">
                  <c:v>0.1693132221698761</c:v>
                </c:pt>
                <c:pt idx="215">
                  <c:v>0.16939666867256165</c:v>
                </c:pt>
                <c:pt idx="216">
                  <c:v>0.16948094964027405</c:v>
                </c:pt>
                <c:pt idx="217">
                  <c:v>0.1695658266544342</c:v>
                </c:pt>
                <c:pt idx="218">
                  <c:v>0.16965141892433167</c:v>
                </c:pt>
                <c:pt idx="219">
                  <c:v>0.16973713040351868</c:v>
                </c:pt>
                <c:pt idx="220">
                  <c:v>0.16982391476631165</c:v>
                </c:pt>
                <c:pt idx="221">
                  <c:v>0.16991093754768372</c:v>
                </c:pt>
                <c:pt idx="222">
                  <c:v>0.16999903321266174</c:v>
                </c:pt>
                <c:pt idx="223">
                  <c:v>0.17008724808692932</c:v>
                </c:pt>
                <c:pt idx="224">
                  <c:v>0.17017689347267151</c:v>
                </c:pt>
                <c:pt idx="225">
                  <c:v>0.17026665806770325</c:v>
                </c:pt>
                <c:pt idx="226">
                  <c:v>0.17035725712776184</c:v>
                </c:pt>
                <c:pt idx="227">
                  <c:v>0.17044785618782043</c:v>
                </c:pt>
                <c:pt idx="228">
                  <c:v>0.17053952813148499</c:v>
                </c:pt>
                <c:pt idx="229">
                  <c:v>0.17063203454017639</c:v>
                </c:pt>
                <c:pt idx="230">
                  <c:v>0.1707252562046051</c:v>
                </c:pt>
                <c:pt idx="231">
                  <c:v>0.17081788182258606</c:v>
                </c:pt>
                <c:pt idx="232">
                  <c:v>0.17091253399848938</c:v>
                </c:pt>
                <c:pt idx="233">
                  <c:v>0.1710076630115509</c:v>
                </c:pt>
                <c:pt idx="234">
                  <c:v>0.17110291123390198</c:v>
                </c:pt>
                <c:pt idx="235">
                  <c:v>0.17119875550270081</c:v>
                </c:pt>
                <c:pt idx="236">
                  <c:v>0.17129555344581604</c:v>
                </c:pt>
                <c:pt idx="237">
                  <c:v>0.17139270901679993</c:v>
                </c:pt>
                <c:pt idx="238">
                  <c:v>0.17149093747138977</c:v>
                </c:pt>
                <c:pt idx="239">
                  <c:v>0.17158916592597961</c:v>
                </c:pt>
                <c:pt idx="240">
                  <c:v>0.17168846726417542</c:v>
                </c:pt>
                <c:pt idx="241">
                  <c:v>0.17178860306739807</c:v>
                </c:pt>
                <c:pt idx="242">
                  <c:v>0.17188897728919983</c:v>
                </c:pt>
                <c:pt idx="243">
                  <c:v>0.17199042439460754</c:v>
                </c:pt>
                <c:pt idx="244">
                  <c:v>0.17209151387214661</c:v>
                </c:pt>
                <c:pt idx="245">
                  <c:v>0.17219451069831848</c:v>
                </c:pt>
                <c:pt idx="246">
                  <c:v>0.17229738831520081</c:v>
                </c:pt>
                <c:pt idx="247">
                  <c:v>0.17240133881568909</c:v>
                </c:pt>
                <c:pt idx="248">
                  <c:v>0.17250576615333557</c:v>
                </c:pt>
                <c:pt idx="249">
                  <c:v>0.1726100742816925</c:v>
                </c:pt>
                <c:pt idx="250">
                  <c:v>0.1727159321308136</c:v>
                </c:pt>
                <c:pt idx="251">
                  <c:v>0.1728222668170929</c:v>
                </c:pt>
                <c:pt idx="252">
                  <c:v>0.17292895913124084</c:v>
                </c:pt>
                <c:pt idx="253">
                  <c:v>0.17303672432899475</c:v>
                </c:pt>
                <c:pt idx="254">
                  <c:v>0.17314496636390686</c:v>
                </c:pt>
                <c:pt idx="255">
                  <c:v>0.17325356602668762</c:v>
                </c:pt>
                <c:pt idx="256">
                  <c:v>0.17336347699165344</c:v>
                </c:pt>
                <c:pt idx="257">
                  <c:v>0.17347338795661926</c:v>
                </c:pt>
                <c:pt idx="258">
                  <c:v>0.17358389496803284</c:v>
                </c:pt>
                <c:pt idx="259">
                  <c:v>0.17369523644447327</c:v>
                </c:pt>
                <c:pt idx="260">
                  <c:v>0.1738070547580719</c:v>
                </c:pt>
                <c:pt idx="261">
                  <c:v>0.17391994595527649</c:v>
                </c:pt>
                <c:pt idx="262">
                  <c:v>0.17403295636177063</c:v>
                </c:pt>
                <c:pt idx="263">
                  <c:v>0.17414692044258118</c:v>
                </c:pt>
                <c:pt idx="264">
                  <c:v>0.17426124215126038</c:v>
                </c:pt>
                <c:pt idx="265">
                  <c:v>0.17437639832496643</c:v>
                </c:pt>
                <c:pt idx="266">
                  <c:v>0.17449226975440979</c:v>
                </c:pt>
                <c:pt idx="267">
                  <c:v>0.17460921406745911</c:v>
                </c:pt>
                <c:pt idx="268">
                  <c:v>0.17472651600837708</c:v>
                </c:pt>
                <c:pt idx="269">
                  <c:v>0.17484405636787415</c:v>
                </c:pt>
                <c:pt idx="270">
                  <c:v>0.17496243119239807</c:v>
                </c:pt>
                <c:pt idx="271">
                  <c:v>0.17508164048194885</c:v>
                </c:pt>
                <c:pt idx="272">
                  <c:v>0.17520108819007874</c:v>
                </c:pt>
                <c:pt idx="273">
                  <c:v>0.17532113194465637</c:v>
                </c:pt>
                <c:pt idx="274">
                  <c:v>0.17544248700141907</c:v>
                </c:pt>
                <c:pt idx="275">
                  <c:v>0.17556360363960266</c:v>
                </c:pt>
                <c:pt idx="276">
                  <c:v>0.17568650841712952</c:v>
                </c:pt>
                <c:pt idx="277">
                  <c:v>0.17580929398536682</c:v>
                </c:pt>
                <c:pt idx="278">
                  <c:v>0.17593279480934143</c:v>
                </c:pt>
                <c:pt idx="279">
                  <c:v>0.17605689167976379</c:v>
                </c:pt>
                <c:pt idx="280">
                  <c:v>0.17618182301521301</c:v>
                </c:pt>
                <c:pt idx="281">
                  <c:v>0.17630723118782043</c:v>
                </c:pt>
                <c:pt idx="282">
                  <c:v>0.17643299698829651</c:v>
                </c:pt>
                <c:pt idx="283">
                  <c:v>0.17656031250953674</c:v>
                </c:pt>
                <c:pt idx="284">
                  <c:v>0.17668762803077698</c:v>
                </c:pt>
                <c:pt idx="285">
                  <c:v>0.17681577801704407</c:v>
                </c:pt>
                <c:pt idx="286">
                  <c:v>0.17694404721260071</c:v>
                </c:pt>
                <c:pt idx="287">
                  <c:v>0.17707374691963196</c:v>
                </c:pt>
                <c:pt idx="288">
                  <c:v>0.17720380425453186</c:v>
                </c:pt>
                <c:pt idx="289">
                  <c:v>0.17733421921730042</c:v>
                </c:pt>
                <c:pt idx="290">
                  <c:v>0.17746511101722717</c:v>
                </c:pt>
                <c:pt idx="291">
                  <c:v>0.17759707570075989</c:v>
                </c:pt>
                <c:pt idx="292">
                  <c:v>0.17772963643074036</c:v>
                </c:pt>
                <c:pt idx="293">
                  <c:v>0.17786267399787903</c:v>
                </c:pt>
                <c:pt idx="294">
                  <c:v>0.17799654603004456</c:v>
                </c:pt>
                <c:pt idx="295">
                  <c:v>0.17813125252723694</c:v>
                </c:pt>
                <c:pt idx="296">
                  <c:v>0.17826595902442932</c:v>
                </c:pt>
                <c:pt idx="297">
                  <c:v>0.17840221524238586</c:v>
                </c:pt>
                <c:pt idx="298">
                  <c:v>0.17853835225105286</c:v>
                </c:pt>
                <c:pt idx="299">
                  <c:v>0.17867496609687805</c:v>
                </c:pt>
                <c:pt idx="300">
                  <c:v>0.17881289124488831</c:v>
                </c:pt>
                <c:pt idx="301">
                  <c:v>0.17895093560218811</c:v>
                </c:pt>
                <c:pt idx="302">
                  <c:v>0.17908993363380432</c:v>
                </c:pt>
                <c:pt idx="303">
                  <c:v>0.17922952771186829</c:v>
                </c:pt>
                <c:pt idx="304">
                  <c:v>0.1793694794178009</c:v>
                </c:pt>
                <c:pt idx="305">
                  <c:v>0.17951062321662903</c:v>
                </c:pt>
                <c:pt idx="306">
                  <c:v>0.1796518862247467</c:v>
                </c:pt>
                <c:pt idx="307">
                  <c:v>0.17979374527931213</c:v>
                </c:pt>
                <c:pt idx="308">
                  <c:v>0.17993679642677307</c:v>
                </c:pt>
                <c:pt idx="309">
                  <c:v>0.18008044362068176</c:v>
                </c:pt>
                <c:pt idx="310">
                  <c:v>0.18022421002388</c:v>
                </c:pt>
                <c:pt idx="311">
                  <c:v>0.18036869168281555</c:v>
                </c:pt>
                <c:pt idx="312">
                  <c:v>0.18051424622535706</c:v>
                </c:pt>
                <c:pt idx="313">
                  <c:v>0.18065944314002991</c:v>
                </c:pt>
                <c:pt idx="314">
                  <c:v>0.18080678582191467</c:v>
                </c:pt>
                <c:pt idx="315">
                  <c:v>0.18095305562019348</c:v>
                </c:pt>
                <c:pt idx="316">
                  <c:v>0.18110135197639465</c:v>
                </c:pt>
                <c:pt idx="317">
                  <c:v>0.18124964833259583</c:v>
                </c:pt>
                <c:pt idx="318">
                  <c:v>0.18139854073524475</c:v>
                </c:pt>
                <c:pt idx="319">
                  <c:v>0.18154802918434143</c:v>
                </c:pt>
                <c:pt idx="320">
                  <c:v>0.18169870972633362</c:v>
                </c:pt>
                <c:pt idx="321">
                  <c:v>0.18184974789619446</c:v>
                </c:pt>
                <c:pt idx="322">
                  <c:v>0.18200114369392395</c:v>
                </c:pt>
                <c:pt idx="323">
                  <c:v>0.18215349316596985</c:v>
                </c:pt>
                <c:pt idx="324">
                  <c:v>0.1823059618473053</c:v>
                </c:pt>
                <c:pt idx="325">
                  <c:v>0.18245998024940491</c:v>
                </c:pt>
                <c:pt idx="326">
                  <c:v>0.18261399865150452</c:v>
                </c:pt>
                <c:pt idx="327">
                  <c:v>0.18276837468147278</c:v>
                </c:pt>
                <c:pt idx="328">
                  <c:v>0.1829235851764679</c:v>
                </c:pt>
                <c:pt idx="329">
                  <c:v>0.18307927250862122</c:v>
                </c:pt>
                <c:pt idx="330">
                  <c:v>0.1832367479801178</c:v>
                </c:pt>
                <c:pt idx="331">
                  <c:v>0.18339338898658752</c:v>
                </c:pt>
                <c:pt idx="332">
                  <c:v>0.18355122208595276</c:v>
                </c:pt>
                <c:pt idx="333">
                  <c:v>0.18370941281318665</c:v>
                </c:pt>
                <c:pt idx="334">
                  <c:v>0.18386819958686829</c:v>
                </c:pt>
                <c:pt idx="335">
                  <c:v>0.18402794003486633</c:v>
                </c:pt>
                <c:pt idx="336">
                  <c:v>0.18418851494789124</c:v>
                </c:pt>
                <c:pt idx="337">
                  <c:v>0.18434944748878479</c:v>
                </c:pt>
                <c:pt idx="338">
                  <c:v>0.18451085686683655</c:v>
                </c:pt>
                <c:pt idx="339">
                  <c:v>0.18467286229133606</c:v>
                </c:pt>
                <c:pt idx="340">
                  <c:v>0.18483617901802063</c:v>
                </c:pt>
                <c:pt idx="341">
                  <c:v>0.1849994957447052</c:v>
                </c:pt>
                <c:pt idx="342">
                  <c:v>0.18516317009925842</c:v>
                </c:pt>
                <c:pt idx="343">
                  <c:v>0.1853276789188385</c:v>
                </c:pt>
                <c:pt idx="344">
                  <c:v>0.18549290299415588</c:v>
                </c:pt>
                <c:pt idx="345">
                  <c:v>0.18565919995307922</c:v>
                </c:pt>
                <c:pt idx="346">
                  <c:v>0.18582585453987122</c:v>
                </c:pt>
                <c:pt idx="347">
                  <c:v>0.18599274754524231</c:v>
                </c:pt>
                <c:pt idx="348">
                  <c:v>0.18615999817848206</c:v>
                </c:pt>
                <c:pt idx="349">
                  <c:v>0.18632856011390686</c:v>
                </c:pt>
                <c:pt idx="350">
                  <c:v>0.18649712204933167</c:v>
                </c:pt>
                <c:pt idx="351">
                  <c:v>0.18666651844978333</c:v>
                </c:pt>
                <c:pt idx="352">
                  <c:v>0.18683651089668274</c:v>
                </c:pt>
                <c:pt idx="353">
                  <c:v>0.18700781464576721</c:v>
                </c:pt>
                <c:pt idx="354">
                  <c:v>0.18717852234840393</c:v>
                </c:pt>
                <c:pt idx="355">
                  <c:v>0.18735042214393616</c:v>
                </c:pt>
                <c:pt idx="356">
                  <c:v>0.18752315640449524</c:v>
                </c:pt>
                <c:pt idx="357">
                  <c:v>0.18769672513008118</c:v>
                </c:pt>
                <c:pt idx="358">
                  <c:v>0.18787029385566711</c:v>
                </c:pt>
                <c:pt idx="359">
                  <c:v>0.1880442202091217</c:v>
                </c:pt>
                <c:pt idx="360">
                  <c:v>0.18821969628334045</c:v>
                </c:pt>
                <c:pt idx="361">
                  <c:v>0.1883951723575592</c:v>
                </c:pt>
                <c:pt idx="362">
                  <c:v>0.18857100605964661</c:v>
                </c:pt>
                <c:pt idx="363">
                  <c:v>0.18874815106391907</c:v>
                </c:pt>
                <c:pt idx="364">
                  <c:v>0.18892505764961243</c:v>
                </c:pt>
                <c:pt idx="365">
                  <c:v>0.18910351395606995</c:v>
                </c:pt>
                <c:pt idx="366">
                  <c:v>0.18928161263465881</c:v>
                </c:pt>
                <c:pt idx="367">
                  <c:v>0.18946090340614319</c:v>
                </c:pt>
                <c:pt idx="368">
                  <c:v>0.18963983654975891</c:v>
                </c:pt>
                <c:pt idx="369">
                  <c:v>0.1898205578327179</c:v>
                </c:pt>
                <c:pt idx="370">
                  <c:v>0.19000127911567688</c:v>
                </c:pt>
                <c:pt idx="371">
                  <c:v>0.19018331170082092</c:v>
                </c:pt>
                <c:pt idx="372">
                  <c:v>0.19036522507667542</c:v>
                </c:pt>
                <c:pt idx="373">
                  <c:v>0.19054785370826721</c:v>
                </c:pt>
                <c:pt idx="374">
                  <c:v>0.19073155522346497</c:v>
                </c:pt>
                <c:pt idx="375">
                  <c:v>0.19091513752937317</c:v>
                </c:pt>
                <c:pt idx="376">
                  <c:v>0.19109943509101868</c:v>
                </c:pt>
                <c:pt idx="377">
                  <c:v>0.19128432869911194</c:v>
                </c:pt>
                <c:pt idx="378">
                  <c:v>0.19147053360939026</c:v>
                </c:pt>
                <c:pt idx="379">
                  <c:v>0.19165626168251038</c:v>
                </c:pt>
                <c:pt idx="380">
                  <c:v>0.19184282422065735</c:v>
                </c:pt>
                <c:pt idx="381">
                  <c:v>0.19203022122383118</c:v>
                </c:pt>
                <c:pt idx="382">
                  <c:v>0.19221809506416321</c:v>
                </c:pt>
                <c:pt idx="383">
                  <c:v>0.19240680336952209</c:v>
                </c:pt>
                <c:pt idx="384">
                  <c:v>0.19259610772132874</c:v>
                </c:pt>
                <c:pt idx="385">
                  <c:v>0.19278588891029358</c:v>
                </c:pt>
                <c:pt idx="386">
                  <c:v>0.19297626614570618</c:v>
                </c:pt>
                <c:pt idx="387">
                  <c:v>0.19316676259040833</c:v>
                </c:pt>
                <c:pt idx="388">
                  <c:v>0.19335797429084778</c:v>
                </c:pt>
                <c:pt idx="389">
                  <c:v>0.19355049729347229</c:v>
                </c:pt>
                <c:pt idx="390">
                  <c:v>0.19374290108680725</c:v>
                </c:pt>
                <c:pt idx="391">
                  <c:v>0.19393602013587952</c:v>
                </c:pt>
                <c:pt idx="392">
                  <c:v>0.19412949681282043</c:v>
                </c:pt>
                <c:pt idx="393">
                  <c:v>0.19432380795478821</c:v>
                </c:pt>
                <c:pt idx="394">
                  <c:v>0.19451883435249329</c:v>
                </c:pt>
                <c:pt idx="395">
                  <c:v>0.19471445679664612</c:v>
                </c:pt>
                <c:pt idx="396">
                  <c:v>0.1949101984500885</c:v>
                </c:pt>
                <c:pt idx="397">
                  <c:v>0.19510617852210999</c:v>
                </c:pt>
                <c:pt idx="398">
                  <c:v>0.19530346989631653</c:v>
                </c:pt>
                <c:pt idx="399">
                  <c:v>0.19550135731697083</c:v>
                </c:pt>
                <c:pt idx="400">
                  <c:v>0.19569924473762512</c:v>
                </c:pt>
                <c:pt idx="401">
                  <c:v>0.19589820504188538</c:v>
                </c:pt>
                <c:pt idx="402">
                  <c:v>0.19609704613685608</c:v>
                </c:pt>
                <c:pt idx="403">
                  <c:v>0.19629707932472229</c:v>
                </c:pt>
                <c:pt idx="404">
                  <c:v>0.19649723172187805</c:v>
                </c:pt>
                <c:pt idx="405">
                  <c:v>0.19669869542121887</c:v>
                </c:pt>
                <c:pt idx="406">
                  <c:v>0.1969006359577179</c:v>
                </c:pt>
                <c:pt idx="407">
                  <c:v>0.19710221886634827</c:v>
                </c:pt>
                <c:pt idx="408">
                  <c:v>0.1973051130771637</c:v>
                </c:pt>
                <c:pt idx="409">
                  <c:v>0.19750848412513733</c:v>
                </c:pt>
                <c:pt idx="410">
                  <c:v>0.19771173596382141</c:v>
                </c:pt>
                <c:pt idx="411">
                  <c:v>0.19791606068611145</c:v>
                </c:pt>
                <c:pt idx="412">
                  <c:v>0.19812110066413879</c:v>
                </c:pt>
                <c:pt idx="413">
                  <c:v>0.19832649827003479</c:v>
                </c:pt>
                <c:pt idx="414">
                  <c:v>0.19853273034095764</c:v>
                </c:pt>
                <c:pt idx="415">
                  <c:v>0.1987394392490387</c:v>
                </c:pt>
                <c:pt idx="416">
                  <c:v>0.1989457905292511</c:v>
                </c:pt>
                <c:pt idx="417">
                  <c:v>0.19915345311164856</c:v>
                </c:pt>
                <c:pt idx="418">
                  <c:v>0.19936111569404602</c:v>
                </c:pt>
                <c:pt idx="419">
                  <c:v>0.19957032799720764</c:v>
                </c:pt>
                <c:pt idx="420">
                  <c:v>0.19977942109107971</c:v>
                </c:pt>
                <c:pt idx="421">
                  <c:v>0.19998875260353088</c:v>
                </c:pt>
                <c:pt idx="422">
                  <c:v>0.20019963383674622</c:v>
                </c:pt>
                <c:pt idx="423">
                  <c:v>0.2004101574420929</c:v>
                </c:pt>
                <c:pt idx="424">
                  <c:v>0.20062139630317688</c:v>
                </c:pt>
                <c:pt idx="425">
                  <c:v>0.20083370804786682</c:v>
                </c:pt>
                <c:pt idx="426">
                  <c:v>0.20104590058326721</c:v>
                </c:pt>
                <c:pt idx="427">
                  <c:v>0.2012583315372467</c:v>
                </c:pt>
                <c:pt idx="428">
                  <c:v>0.20147207379341125</c:v>
                </c:pt>
                <c:pt idx="429">
                  <c:v>0.20168617367744446</c:v>
                </c:pt>
                <c:pt idx="430">
                  <c:v>0.20190027356147766</c:v>
                </c:pt>
                <c:pt idx="431">
                  <c:v>0.20211544632911682</c:v>
                </c:pt>
                <c:pt idx="432">
                  <c:v>0.20233121514320374</c:v>
                </c:pt>
                <c:pt idx="433">
                  <c:v>0.20254722237586975</c:v>
                </c:pt>
                <c:pt idx="434">
                  <c:v>0.20276334881782532</c:v>
                </c:pt>
                <c:pt idx="435">
                  <c:v>0.20298054814338684</c:v>
                </c:pt>
                <c:pt idx="436">
                  <c:v>0.20319822430610657</c:v>
                </c:pt>
                <c:pt idx="437">
                  <c:v>0.20341578125953674</c:v>
                </c:pt>
                <c:pt idx="438">
                  <c:v>0.20363488793373108</c:v>
                </c:pt>
                <c:pt idx="439">
                  <c:v>0.20385375618934631</c:v>
                </c:pt>
                <c:pt idx="440">
                  <c:v>0.20407441258430481</c:v>
                </c:pt>
                <c:pt idx="441">
                  <c:v>0.20429375767707825</c:v>
                </c:pt>
                <c:pt idx="442">
                  <c:v>0.2045152485370636</c:v>
                </c:pt>
                <c:pt idx="443">
                  <c:v>0.20473590493202209</c:v>
                </c:pt>
                <c:pt idx="444">
                  <c:v>0.20495763421058655</c:v>
                </c:pt>
                <c:pt idx="445">
                  <c:v>0.2051798403263092</c:v>
                </c:pt>
                <c:pt idx="446">
                  <c:v>0.20540216565132141</c:v>
                </c:pt>
                <c:pt idx="447">
                  <c:v>0.20562580227851868</c:v>
                </c:pt>
                <c:pt idx="448">
                  <c:v>0.20584967732429504</c:v>
                </c:pt>
                <c:pt idx="449">
                  <c:v>0.20607319474220276</c:v>
                </c:pt>
                <c:pt idx="450">
                  <c:v>0.20629778504371643</c:v>
                </c:pt>
                <c:pt idx="451">
                  <c:v>0.20652285218238831</c:v>
                </c:pt>
                <c:pt idx="452">
                  <c:v>0.20674851536750793</c:v>
                </c:pt>
                <c:pt idx="453">
                  <c:v>0.20697525143623352</c:v>
                </c:pt>
                <c:pt idx="454">
                  <c:v>0.20720222592353821</c:v>
                </c:pt>
                <c:pt idx="455">
                  <c:v>0.20742836594581604</c:v>
                </c:pt>
                <c:pt idx="456">
                  <c:v>0.20765653252601624</c:v>
                </c:pt>
                <c:pt idx="457">
                  <c:v>0.20788469910621643</c:v>
                </c:pt>
                <c:pt idx="458">
                  <c:v>0.20811370015144348</c:v>
                </c:pt>
                <c:pt idx="459">
                  <c:v>0.20834282040596008</c:v>
                </c:pt>
                <c:pt idx="460">
                  <c:v>0.20857194066047668</c:v>
                </c:pt>
                <c:pt idx="461">
                  <c:v>0.20880213379859924</c:v>
                </c:pt>
                <c:pt idx="462">
                  <c:v>0.20903244614601135</c:v>
                </c:pt>
                <c:pt idx="463">
                  <c:v>0.20926395058631897</c:v>
                </c:pt>
                <c:pt idx="464">
                  <c:v>0.20949485898017883</c:v>
                </c:pt>
                <c:pt idx="465">
                  <c:v>0.20972755551338196</c:v>
                </c:pt>
                <c:pt idx="466">
                  <c:v>0.20995977520942688</c:v>
                </c:pt>
                <c:pt idx="467">
                  <c:v>0.21019235253334045</c:v>
                </c:pt>
                <c:pt idx="468">
                  <c:v>0.21042624115943909</c:v>
                </c:pt>
                <c:pt idx="469">
                  <c:v>0.21066012978553772</c:v>
                </c:pt>
                <c:pt idx="470">
                  <c:v>0.2108941376209259</c:v>
                </c:pt>
                <c:pt idx="471">
                  <c:v>0.21112897992134094</c:v>
                </c:pt>
                <c:pt idx="472">
                  <c:v>0.21136429905891418</c:v>
                </c:pt>
                <c:pt idx="473">
                  <c:v>0.21160021424293518</c:v>
                </c:pt>
                <c:pt idx="474">
                  <c:v>0.21183624863624573</c:v>
                </c:pt>
                <c:pt idx="475">
                  <c:v>0.21207252144813538</c:v>
                </c:pt>
                <c:pt idx="476">
                  <c:v>0.21230962872505188</c:v>
                </c:pt>
                <c:pt idx="477">
                  <c:v>0.21254757046699524</c:v>
                </c:pt>
                <c:pt idx="478">
                  <c:v>0.2127857506275177</c:v>
                </c:pt>
                <c:pt idx="479">
                  <c:v>0.21302428841590881</c:v>
                </c:pt>
                <c:pt idx="480">
                  <c:v>0.21326342225074768</c:v>
                </c:pt>
                <c:pt idx="481">
                  <c:v>0.21350279450416565</c:v>
                </c:pt>
                <c:pt idx="482">
                  <c:v>0.21374276280403137</c:v>
                </c:pt>
                <c:pt idx="483">
                  <c:v>0.21398308873176575</c:v>
                </c:pt>
                <c:pt idx="484">
                  <c:v>0.21422389149665833</c:v>
                </c:pt>
                <c:pt idx="485">
                  <c:v>0.21446457505226135</c:v>
                </c:pt>
                <c:pt idx="486">
                  <c:v>0.21470633149147034</c:v>
                </c:pt>
                <c:pt idx="487">
                  <c:v>0.21494856476783752</c:v>
                </c:pt>
                <c:pt idx="488">
                  <c:v>0.21519115567207336</c:v>
                </c:pt>
                <c:pt idx="489">
                  <c:v>0.21543410420417786</c:v>
                </c:pt>
                <c:pt idx="490">
                  <c:v>0.21567752957344055</c:v>
                </c:pt>
                <c:pt idx="491">
                  <c:v>0.2159213125705719</c:v>
                </c:pt>
                <c:pt idx="492">
                  <c:v>0.2161659300327301</c:v>
                </c:pt>
                <c:pt idx="493">
                  <c:v>0.2164103090763092</c:v>
                </c:pt>
                <c:pt idx="494">
                  <c:v>0.21665576100349426</c:v>
                </c:pt>
                <c:pt idx="495">
                  <c:v>0.21690133213996887</c:v>
                </c:pt>
                <c:pt idx="496">
                  <c:v>0.21714714169502258</c:v>
                </c:pt>
                <c:pt idx="497">
                  <c:v>0.21739378571510315</c:v>
                </c:pt>
                <c:pt idx="498">
                  <c:v>0.21764078736305237</c:v>
                </c:pt>
                <c:pt idx="499">
                  <c:v>0.21788826584815979</c:v>
                </c:pt>
                <c:pt idx="500">
                  <c:v>0.21813586354255676</c:v>
                </c:pt>
                <c:pt idx="501">
                  <c:v>0.21838429570198059</c:v>
                </c:pt>
                <c:pt idx="502">
                  <c:v>0.21863272786140442</c:v>
                </c:pt>
                <c:pt idx="503">
                  <c:v>0.2188822329044342</c:v>
                </c:pt>
                <c:pt idx="504">
                  <c:v>0.21913114190101624</c:v>
                </c:pt>
                <c:pt idx="505">
                  <c:v>0.21938052773475647</c:v>
                </c:pt>
                <c:pt idx="506">
                  <c:v>0.21963098645210266</c:v>
                </c:pt>
                <c:pt idx="507">
                  <c:v>0.21988204121589661</c:v>
                </c:pt>
                <c:pt idx="508">
                  <c:v>0.22013333439826965</c:v>
                </c:pt>
                <c:pt idx="509">
                  <c:v>0.22038498520851135</c:v>
                </c:pt>
                <c:pt idx="510">
                  <c:v>0.2206362783908844</c:v>
                </c:pt>
                <c:pt idx="511">
                  <c:v>0.22088876366615295</c:v>
                </c:pt>
                <c:pt idx="512">
                  <c:v>0.22114136815071106</c:v>
                </c:pt>
                <c:pt idx="513">
                  <c:v>0.22139480710029602</c:v>
                </c:pt>
                <c:pt idx="514">
                  <c:v>0.22164848446846008</c:v>
                </c:pt>
                <c:pt idx="515">
                  <c:v>0.2219025194644928</c:v>
                </c:pt>
                <c:pt idx="516">
                  <c:v>0.22215643525123596</c:v>
                </c:pt>
                <c:pt idx="517">
                  <c:v>0.22241178154945374</c:v>
                </c:pt>
                <c:pt idx="518">
                  <c:v>0.22266629338264465</c:v>
                </c:pt>
                <c:pt idx="519">
                  <c:v>0.22292187809944153</c:v>
                </c:pt>
                <c:pt idx="520">
                  <c:v>0.22317793965339661</c:v>
                </c:pt>
                <c:pt idx="521">
                  <c:v>0.22343388199806213</c:v>
                </c:pt>
                <c:pt idx="522">
                  <c:v>0.22369065880775452</c:v>
                </c:pt>
                <c:pt idx="523">
                  <c:v>0.22394862771034241</c:v>
                </c:pt>
                <c:pt idx="524">
                  <c:v>0.22420528531074524</c:v>
                </c:pt>
                <c:pt idx="525">
                  <c:v>0.22446373105049133</c:v>
                </c:pt>
                <c:pt idx="526">
                  <c:v>0.22472217679023743</c:v>
                </c:pt>
                <c:pt idx="527">
                  <c:v>0.22498098015785217</c:v>
                </c:pt>
                <c:pt idx="528">
                  <c:v>0.22523942589759827</c:v>
                </c:pt>
                <c:pt idx="529">
                  <c:v>0.22549930214881897</c:v>
                </c:pt>
                <c:pt idx="530">
                  <c:v>0.22575882077217102</c:v>
                </c:pt>
                <c:pt idx="531">
                  <c:v>0.22601917386054993</c:v>
                </c:pt>
                <c:pt idx="532">
                  <c:v>0.22627976536750793</c:v>
                </c:pt>
                <c:pt idx="533">
                  <c:v>0.22654047608375549</c:v>
                </c:pt>
                <c:pt idx="534">
                  <c:v>0.22680178284645081</c:v>
                </c:pt>
                <c:pt idx="535">
                  <c:v>0.22706404328346252</c:v>
                </c:pt>
                <c:pt idx="536">
                  <c:v>0.22732546925544739</c:v>
                </c:pt>
                <c:pt idx="537">
                  <c:v>0.22758796811103821</c:v>
                </c:pt>
                <c:pt idx="538">
                  <c:v>0.22785070538520813</c:v>
                </c:pt>
                <c:pt idx="539">
                  <c:v>0.2281138002872467</c:v>
                </c:pt>
                <c:pt idx="540">
                  <c:v>0.22837701439857483</c:v>
                </c:pt>
                <c:pt idx="541">
                  <c:v>0.22864142060279846</c:v>
                </c:pt>
                <c:pt idx="542">
                  <c:v>0.22890570759773254</c:v>
                </c:pt>
                <c:pt idx="543">
                  <c:v>0.22917011380195618</c:v>
                </c:pt>
                <c:pt idx="544">
                  <c:v>0.22943523526191711</c:v>
                </c:pt>
                <c:pt idx="545">
                  <c:v>0.2297007143497467</c:v>
                </c:pt>
                <c:pt idx="546">
                  <c:v>0.22996607422828674</c:v>
                </c:pt>
                <c:pt idx="547">
                  <c:v>0.23023238778114319</c:v>
                </c:pt>
                <c:pt idx="548">
                  <c:v>0.23049858212471008</c:v>
                </c:pt>
                <c:pt idx="549">
                  <c:v>0.23076513409614563</c:v>
                </c:pt>
                <c:pt idx="550">
                  <c:v>0.23103263974189758</c:v>
                </c:pt>
                <c:pt idx="551">
                  <c:v>0.23129978775978088</c:v>
                </c:pt>
                <c:pt idx="552">
                  <c:v>0.23156800866127014</c:v>
                </c:pt>
                <c:pt idx="553">
                  <c:v>0.2318359911441803</c:v>
                </c:pt>
                <c:pt idx="554">
                  <c:v>0.23210433125495911</c:v>
                </c:pt>
                <c:pt idx="555">
                  <c:v>0.23237302899360657</c:v>
                </c:pt>
                <c:pt idx="556">
                  <c:v>0.23264268040657043</c:v>
                </c:pt>
                <c:pt idx="557">
                  <c:v>0.23291197419166565</c:v>
                </c:pt>
                <c:pt idx="558">
                  <c:v>0.23318138718605042</c:v>
                </c:pt>
                <c:pt idx="559">
                  <c:v>0.23345175385475159</c:v>
                </c:pt>
                <c:pt idx="560">
                  <c:v>0.23372176289558411</c:v>
                </c:pt>
                <c:pt idx="561">
                  <c:v>0.23399284482002258</c:v>
                </c:pt>
                <c:pt idx="562">
                  <c:v>0.23426392674446106</c:v>
                </c:pt>
                <c:pt idx="563">
                  <c:v>0.23453608155250549</c:v>
                </c:pt>
                <c:pt idx="564">
                  <c:v>0.23480764031410217</c:v>
                </c:pt>
                <c:pt idx="565">
                  <c:v>0.23507943749427795</c:v>
                </c:pt>
                <c:pt idx="566">
                  <c:v>0.23535206913948059</c:v>
                </c:pt>
                <c:pt idx="567">
                  <c:v>0.23562505841255188</c:v>
                </c:pt>
                <c:pt idx="568">
                  <c:v>0.23589769005775452</c:v>
                </c:pt>
                <c:pt idx="569">
                  <c:v>0.23617139458656311</c:v>
                </c:pt>
                <c:pt idx="570">
                  <c:v>0.2364448606967926</c:v>
                </c:pt>
                <c:pt idx="571">
                  <c:v>0.23671939969062805</c:v>
                </c:pt>
                <c:pt idx="572">
                  <c:v>0.23699310421943665</c:v>
                </c:pt>
                <c:pt idx="573">
                  <c:v>0.23726776242256165</c:v>
                </c:pt>
                <c:pt idx="574">
                  <c:v>0.2375430166721344</c:v>
                </c:pt>
                <c:pt idx="575">
                  <c:v>0.2378183901309967</c:v>
                </c:pt>
                <c:pt idx="576">
                  <c:v>0.23809424042701721</c:v>
                </c:pt>
                <c:pt idx="577">
                  <c:v>0.23836997151374817</c:v>
                </c:pt>
                <c:pt idx="578">
                  <c:v>0.23864629864692688</c:v>
                </c:pt>
                <c:pt idx="579">
                  <c:v>0.23892286419868469</c:v>
                </c:pt>
                <c:pt idx="580">
                  <c:v>0.23919954895973206</c:v>
                </c:pt>
                <c:pt idx="581">
                  <c:v>0.23947706818580627</c:v>
                </c:pt>
                <c:pt idx="582">
                  <c:v>0.23975387215614319</c:v>
                </c:pt>
                <c:pt idx="583">
                  <c:v>0.24003174901008606</c:v>
                </c:pt>
                <c:pt idx="584">
                  <c:v>0.24030998349189758</c:v>
                </c:pt>
                <c:pt idx="585">
                  <c:v>0.24058821797370911</c:v>
                </c:pt>
                <c:pt idx="586">
                  <c:v>0.24086657166481018</c:v>
                </c:pt>
                <c:pt idx="587">
                  <c:v>0.24114575982093811</c:v>
                </c:pt>
                <c:pt idx="588">
                  <c:v>0.24142470955848694</c:v>
                </c:pt>
                <c:pt idx="589">
                  <c:v>0.24170425534248352</c:v>
                </c:pt>
                <c:pt idx="590">
                  <c:v>0.24198392033576965</c:v>
                </c:pt>
                <c:pt idx="591">
                  <c:v>0.24226406216621399</c:v>
                </c:pt>
                <c:pt idx="592">
                  <c:v>0.24254408478736877</c:v>
                </c:pt>
                <c:pt idx="593">
                  <c:v>0.24282541871070862</c:v>
                </c:pt>
                <c:pt idx="594">
                  <c:v>0.24310579895973206</c:v>
                </c:pt>
                <c:pt idx="595">
                  <c:v>0.24338701367378235</c:v>
                </c:pt>
                <c:pt idx="596">
                  <c:v>0.2436690628528595</c:v>
                </c:pt>
                <c:pt idx="597">
                  <c:v>0.24395063519477844</c:v>
                </c:pt>
                <c:pt idx="598">
                  <c:v>0.24423208832740784</c:v>
                </c:pt>
                <c:pt idx="599">
                  <c:v>0.24451461434364319</c:v>
                </c:pt>
                <c:pt idx="600">
                  <c:v>0.24479690194129944</c:v>
                </c:pt>
                <c:pt idx="601">
                  <c:v>0.24508002400398254</c:v>
                </c:pt>
                <c:pt idx="602">
                  <c:v>0.2453637421131134</c:v>
                </c:pt>
                <c:pt idx="603">
                  <c:v>0.24564650654792786</c:v>
                </c:pt>
                <c:pt idx="604">
                  <c:v>0.24592986702919006</c:v>
                </c:pt>
                <c:pt idx="605">
                  <c:v>0.24621382355690002</c:v>
                </c:pt>
                <c:pt idx="606">
                  <c:v>0.24649849534034729</c:v>
                </c:pt>
                <c:pt idx="607">
                  <c:v>0.2467820942401886</c:v>
                </c:pt>
                <c:pt idx="608">
                  <c:v>0.24706724286079407</c:v>
                </c:pt>
                <c:pt idx="609">
                  <c:v>0.24735239148139954</c:v>
                </c:pt>
                <c:pt idx="610">
                  <c:v>0.24763742089271545</c:v>
                </c:pt>
                <c:pt idx="611">
                  <c:v>0.24792280793190002</c:v>
                </c:pt>
                <c:pt idx="612">
                  <c:v>0.2482086718082428</c:v>
                </c:pt>
                <c:pt idx="613">
                  <c:v>0.24849417805671692</c:v>
                </c:pt>
                <c:pt idx="614">
                  <c:v>0.248780757188797</c:v>
                </c:pt>
                <c:pt idx="615">
                  <c:v>0.24906685948371887</c:v>
                </c:pt>
                <c:pt idx="616">
                  <c:v>0.2493540346622467</c:v>
                </c:pt>
                <c:pt idx="617">
                  <c:v>0.24964085221290588</c:v>
                </c:pt>
                <c:pt idx="618">
                  <c:v>0.24992766976356506</c:v>
                </c:pt>
                <c:pt idx="619">
                  <c:v>0.2502155601978302</c:v>
                </c:pt>
                <c:pt idx="620">
                  <c:v>0.25050261616706848</c:v>
                </c:pt>
                <c:pt idx="621">
                  <c:v>0.25079086422920227</c:v>
                </c:pt>
                <c:pt idx="622">
                  <c:v>0.25107970833778381</c:v>
                </c:pt>
                <c:pt idx="623">
                  <c:v>0.2513674795627594</c:v>
                </c:pt>
                <c:pt idx="624">
                  <c:v>0.25165596604347229</c:v>
                </c:pt>
                <c:pt idx="625">
                  <c:v>0.25194528698921204</c:v>
                </c:pt>
                <c:pt idx="626">
                  <c:v>0.25223425030708313</c:v>
                </c:pt>
                <c:pt idx="627">
                  <c:v>0.25252392888069153</c:v>
                </c:pt>
                <c:pt idx="628">
                  <c:v>0.25281277298927307</c:v>
                </c:pt>
                <c:pt idx="629">
                  <c:v>0.25310268998146057</c:v>
                </c:pt>
                <c:pt idx="630">
                  <c:v>0.25339308381080627</c:v>
                </c:pt>
                <c:pt idx="631">
                  <c:v>0.25368240475654602</c:v>
                </c:pt>
                <c:pt idx="632">
                  <c:v>0.25397375226020813</c:v>
                </c:pt>
                <c:pt idx="633">
                  <c:v>0.25426390767097473</c:v>
                </c:pt>
                <c:pt idx="634">
                  <c:v>0.25455489754676819</c:v>
                </c:pt>
                <c:pt idx="635">
                  <c:v>0.2548460066318512</c:v>
                </c:pt>
                <c:pt idx="636">
                  <c:v>0.25513759255409241</c:v>
                </c:pt>
                <c:pt idx="637">
                  <c:v>0.25542882084846497</c:v>
                </c:pt>
                <c:pt idx="638">
                  <c:v>0.25572088360786438</c:v>
                </c:pt>
                <c:pt idx="639">
                  <c:v>0.25601294636726379</c:v>
                </c:pt>
                <c:pt idx="640">
                  <c:v>0.25630512833595276</c:v>
                </c:pt>
                <c:pt idx="641">
                  <c:v>0.25659766793251038</c:v>
                </c:pt>
                <c:pt idx="642">
                  <c:v>0.25689020752906799</c:v>
                </c:pt>
                <c:pt idx="643">
                  <c:v>0.25718262791633606</c:v>
                </c:pt>
                <c:pt idx="644">
                  <c:v>0.25747588276863098</c:v>
                </c:pt>
                <c:pt idx="645">
                  <c:v>0.2577691376209259</c:v>
                </c:pt>
                <c:pt idx="646">
                  <c:v>0.25806227326393127</c:v>
                </c:pt>
                <c:pt idx="647">
                  <c:v>0.2583562433719635</c:v>
                </c:pt>
                <c:pt idx="648">
                  <c:v>0.25865045189857483</c:v>
                </c:pt>
                <c:pt idx="649">
                  <c:v>0.2589440643787384</c:v>
                </c:pt>
                <c:pt idx="650">
                  <c:v>0.25923851132392883</c:v>
                </c:pt>
                <c:pt idx="651">
                  <c:v>0.25953319668769836</c:v>
                </c:pt>
                <c:pt idx="652">
                  <c:v>0.25982704758644104</c:v>
                </c:pt>
                <c:pt idx="653">
                  <c:v>0.26012197136878967</c:v>
                </c:pt>
                <c:pt idx="654">
                  <c:v>0.26041761040687561</c:v>
                </c:pt>
                <c:pt idx="655">
                  <c:v>0.26071265339851379</c:v>
                </c:pt>
                <c:pt idx="656">
                  <c:v>0.26100757718086243</c:v>
                </c:pt>
                <c:pt idx="657">
                  <c:v>0.26130345463752747</c:v>
                </c:pt>
                <c:pt idx="658">
                  <c:v>0.26159921288490295</c:v>
                </c:pt>
                <c:pt idx="659">
                  <c:v>0.26189532876014709</c:v>
                </c:pt>
                <c:pt idx="660">
                  <c:v>0.26219168305397034</c:v>
                </c:pt>
                <c:pt idx="661">
                  <c:v>0.26248791813850403</c:v>
                </c:pt>
                <c:pt idx="662">
                  <c:v>0.26278474926948547</c:v>
                </c:pt>
                <c:pt idx="663">
                  <c:v>0.26308086514472961</c:v>
                </c:pt>
                <c:pt idx="664">
                  <c:v>0.26337805390357971</c:v>
                </c:pt>
                <c:pt idx="665">
                  <c:v>0.26367488503456116</c:v>
                </c:pt>
                <c:pt idx="666">
                  <c:v>0.26397219300270081</c:v>
                </c:pt>
                <c:pt idx="667">
                  <c:v>0.2642689049243927</c:v>
                </c:pt>
                <c:pt idx="668">
                  <c:v>0.26456716656684875</c:v>
                </c:pt>
                <c:pt idx="669">
                  <c:v>0.2648647129535675</c:v>
                </c:pt>
                <c:pt idx="670">
                  <c:v>0.26516261696815491</c:v>
                </c:pt>
                <c:pt idx="671">
                  <c:v>0.26546087861061096</c:v>
                </c:pt>
                <c:pt idx="672">
                  <c:v>0.26575914025306702</c:v>
                </c:pt>
                <c:pt idx="673">
                  <c:v>0.26605752110481262</c:v>
                </c:pt>
                <c:pt idx="674">
                  <c:v>0.26635625958442688</c:v>
                </c:pt>
                <c:pt idx="675">
                  <c:v>0.26665499806404114</c:v>
                </c:pt>
                <c:pt idx="676">
                  <c:v>0.26695337891578674</c:v>
                </c:pt>
                <c:pt idx="677">
                  <c:v>0.2672525942325592</c:v>
                </c:pt>
                <c:pt idx="678">
                  <c:v>0.26755204796791077</c:v>
                </c:pt>
                <c:pt idx="679">
                  <c:v>0.26785114407539368</c:v>
                </c:pt>
                <c:pt idx="680">
                  <c:v>0.26815083622932434</c:v>
                </c:pt>
                <c:pt idx="681">
                  <c:v>0.26845100522041321</c:v>
                </c:pt>
                <c:pt idx="682">
                  <c:v>0.26875081658363342</c:v>
                </c:pt>
                <c:pt idx="683">
                  <c:v>0.26905074715614319</c:v>
                </c:pt>
                <c:pt idx="684">
                  <c:v>0.26935091614723206</c:v>
                </c:pt>
                <c:pt idx="685">
                  <c:v>0.26965096592903137</c:v>
                </c:pt>
                <c:pt idx="686">
                  <c:v>0.26995137333869934</c:v>
                </c:pt>
                <c:pt idx="687">
                  <c:v>0.27025178074836731</c:v>
                </c:pt>
                <c:pt idx="688">
                  <c:v>0.27055302262306213</c:v>
                </c:pt>
                <c:pt idx="689">
                  <c:v>0.27085390686988831</c:v>
                </c:pt>
                <c:pt idx="690">
                  <c:v>0.27115455269813538</c:v>
                </c:pt>
                <c:pt idx="691">
                  <c:v>0.2714560329914093</c:v>
                </c:pt>
                <c:pt idx="692">
                  <c:v>0.27175667881965637</c:v>
                </c:pt>
                <c:pt idx="693">
                  <c:v>0.27205851674079895</c:v>
                </c:pt>
                <c:pt idx="694">
                  <c:v>0.27236023545265198</c:v>
                </c:pt>
                <c:pt idx="695">
                  <c:v>0.27266207337379456</c:v>
                </c:pt>
                <c:pt idx="696">
                  <c:v>0.27296367287635803</c:v>
                </c:pt>
                <c:pt idx="697">
                  <c:v>0.27326634526252747</c:v>
                </c:pt>
                <c:pt idx="698">
                  <c:v>0.27356770634651184</c:v>
                </c:pt>
                <c:pt idx="699">
                  <c:v>0.27387025952339172</c:v>
                </c:pt>
                <c:pt idx="700">
                  <c:v>0.27417221665382385</c:v>
                </c:pt>
                <c:pt idx="701">
                  <c:v>0.27447548508644104</c:v>
                </c:pt>
                <c:pt idx="702">
                  <c:v>0.27477779984474182</c:v>
                </c:pt>
                <c:pt idx="703">
                  <c:v>0.27508047223091125</c:v>
                </c:pt>
                <c:pt idx="704">
                  <c:v>0.27538374066352844</c:v>
                </c:pt>
                <c:pt idx="705">
                  <c:v>0.27568653225898743</c:v>
                </c:pt>
                <c:pt idx="706">
                  <c:v>0.27598968148231506</c:v>
                </c:pt>
                <c:pt idx="707">
                  <c:v>0.27629294991493225</c:v>
                </c:pt>
                <c:pt idx="708">
                  <c:v>0.27659645676612854</c:v>
                </c:pt>
                <c:pt idx="709">
                  <c:v>0.27690008282661438</c:v>
                </c:pt>
                <c:pt idx="710">
                  <c:v>0.27720358967781067</c:v>
                </c:pt>
                <c:pt idx="711">
                  <c:v>0.27750733494758606</c:v>
                </c:pt>
                <c:pt idx="712">
                  <c:v>0.2778116762638092</c:v>
                </c:pt>
                <c:pt idx="713">
                  <c:v>0.27811542153358459</c:v>
                </c:pt>
                <c:pt idx="714">
                  <c:v>0.27841916680335999</c:v>
                </c:pt>
                <c:pt idx="715">
                  <c:v>0.27872350811958313</c:v>
                </c:pt>
                <c:pt idx="716">
                  <c:v>0.27902773022651672</c:v>
                </c:pt>
                <c:pt idx="717">
                  <c:v>0.27933195233345032</c:v>
                </c:pt>
                <c:pt idx="718">
                  <c:v>0.27963677048683167</c:v>
                </c:pt>
                <c:pt idx="719">
                  <c:v>0.27994146943092346</c:v>
                </c:pt>
                <c:pt idx="720">
                  <c:v>0.28024640679359436</c:v>
                </c:pt>
                <c:pt idx="721">
                  <c:v>0.28055098652839661</c:v>
                </c:pt>
                <c:pt idx="722">
                  <c:v>0.28085616230964661</c:v>
                </c:pt>
                <c:pt idx="723">
                  <c:v>0.2811608612537384</c:v>
                </c:pt>
                <c:pt idx="724">
                  <c:v>0.28146639466285706</c:v>
                </c:pt>
                <c:pt idx="725">
                  <c:v>0.28177157044410706</c:v>
                </c:pt>
                <c:pt idx="726">
                  <c:v>0.28207674622535706</c:v>
                </c:pt>
                <c:pt idx="727">
                  <c:v>0.2823818027973175</c:v>
                </c:pt>
                <c:pt idx="728">
                  <c:v>0.28268840909004211</c:v>
                </c:pt>
                <c:pt idx="729">
                  <c:v>0.28299310803413391</c:v>
                </c:pt>
                <c:pt idx="730">
                  <c:v>0.28329887986183167</c:v>
                </c:pt>
                <c:pt idx="731">
                  <c:v>0.28360477089881897</c:v>
                </c:pt>
                <c:pt idx="732">
                  <c:v>0.28391066193580627</c:v>
                </c:pt>
                <c:pt idx="733">
                  <c:v>0.28421691060066223</c:v>
                </c:pt>
                <c:pt idx="734">
                  <c:v>0.28452304005622864</c:v>
                </c:pt>
                <c:pt idx="735">
                  <c:v>0.28482916951179504</c:v>
                </c:pt>
                <c:pt idx="736">
                  <c:v>0.2851356565952301</c:v>
                </c:pt>
                <c:pt idx="737">
                  <c:v>0.28544178605079651</c:v>
                </c:pt>
                <c:pt idx="738">
                  <c:v>0.28574863076210022</c:v>
                </c:pt>
                <c:pt idx="739">
                  <c:v>0.28605464100837708</c:v>
                </c:pt>
                <c:pt idx="740">
                  <c:v>0.28636100888252258</c:v>
                </c:pt>
                <c:pt idx="741">
                  <c:v>0.2866680920124054</c:v>
                </c:pt>
                <c:pt idx="742">
                  <c:v>0.28697457909584045</c:v>
                </c:pt>
                <c:pt idx="743">
                  <c:v>0.28728190064430237</c:v>
                </c:pt>
                <c:pt idx="744">
                  <c:v>0.28758874535560608</c:v>
                </c:pt>
                <c:pt idx="745">
                  <c:v>0.28789523243904114</c:v>
                </c:pt>
                <c:pt idx="746">
                  <c:v>0.28820303082466125</c:v>
                </c:pt>
                <c:pt idx="747">
                  <c:v>0.28851011395454407</c:v>
                </c:pt>
                <c:pt idx="748">
                  <c:v>0.28881731629371643</c:v>
                </c:pt>
                <c:pt idx="749">
                  <c:v>0.28912416100502014</c:v>
                </c:pt>
                <c:pt idx="750">
                  <c:v>0.28943195939064026</c:v>
                </c:pt>
                <c:pt idx="751">
                  <c:v>0.28973963856697083</c:v>
                </c:pt>
                <c:pt idx="752">
                  <c:v>0.29004624485969543</c:v>
                </c:pt>
                <c:pt idx="753">
                  <c:v>0.29035404324531555</c:v>
                </c:pt>
                <c:pt idx="754">
                  <c:v>0.29066196084022522</c:v>
                </c:pt>
                <c:pt idx="755">
                  <c:v>0.29096952080726624</c:v>
                </c:pt>
                <c:pt idx="756">
                  <c:v>0.29127755761146545</c:v>
                </c:pt>
                <c:pt idx="757">
                  <c:v>0.29158499836921692</c:v>
                </c:pt>
                <c:pt idx="758">
                  <c:v>0.29189351201057434</c:v>
                </c:pt>
                <c:pt idx="759">
                  <c:v>0.29220107197761536</c:v>
                </c:pt>
                <c:pt idx="760">
                  <c:v>0.29250898957252502</c:v>
                </c:pt>
                <c:pt idx="761">
                  <c:v>0.29281702637672424</c:v>
                </c:pt>
                <c:pt idx="762">
                  <c:v>0.29312554001808167</c:v>
                </c:pt>
                <c:pt idx="763">
                  <c:v>0.29343369603157043</c:v>
                </c:pt>
                <c:pt idx="764">
                  <c:v>0.29374220967292786</c:v>
                </c:pt>
                <c:pt idx="765">
                  <c:v>0.29405024647712708</c:v>
                </c:pt>
                <c:pt idx="766">
                  <c:v>0.29435840249061584</c:v>
                </c:pt>
                <c:pt idx="767">
                  <c:v>0.29466739296913147</c:v>
                </c:pt>
                <c:pt idx="768">
                  <c:v>0.29497542977333069</c:v>
                </c:pt>
                <c:pt idx="769">
                  <c:v>0.29528382420539856</c:v>
                </c:pt>
                <c:pt idx="770">
                  <c:v>0.29559257626533508</c:v>
                </c:pt>
                <c:pt idx="771">
                  <c:v>0.2959010899066925</c:v>
                </c:pt>
                <c:pt idx="772">
                  <c:v>0.29620948433876038</c:v>
                </c:pt>
                <c:pt idx="773">
                  <c:v>0.2965187132358551</c:v>
                </c:pt>
                <c:pt idx="774">
                  <c:v>0.29682722687721252</c:v>
                </c:pt>
                <c:pt idx="775">
                  <c:v>0.2971356213092804</c:v>
                </c:pt>
                <c:pt idx="776">
                  <c:v>0.29744508862495422</c:v>
                </c:pt>
                <c:pt idx="777">
                  <c:v>0.29775336384773254</c:v>
                </c:pt>
                <c:pt idx="778">
                  <c:v>0.29806223511695862</c:v>
                </c:pt>
                <c:pt idx="779">
                  <c:v>0.29837098717689514</c:v>
                </c:pt>
                <c:pt idx="780">
                  <c:v>0.29868045449256897</c:v>
                </c:pt>
                <c:pt idx="781">
                  <c:v>0.29898980259895325</c:v>
                </c:pt>
                <c:pt idx="782">
                  <c:v>0.29929879307746887</c:v>
                </c:pt>
                <c:pt idx="783">
                  <c:v>0.2996075451374054</c:v>
                </c:pt>
                <c:pt idx="784">
                  <c:v>0.29991617798805237</c:v>
                </c:pt>
                <c:pt idx="785">
                  <c:v>0.3002261221408844</c:v>
                </c:pt>
                <c:pt idx="786">
                  <c:v>0.30053547024726868</c:v>
                </c:pt>
                <c:pt idx="787">
                  <c:v>0.3008449375629425</c:v>
                </c:pt>
                <c:pt idx="788">
                  <c:v>0.30115368962287903</c:v>
                </c:pt>
                <c:pt idx="789">
                  <c:v>0.3014627993106842</c:v>
                </c:pt>
                <c:pt idx="790">
                  <c:v>0.30177274346351624</c:v>
                </c:pt>
                <c:pt idx="791">
                  <c:v>0.30208173394203186</c:v>
                </c:pt>
                <c:pt idx="792">
                  <c:v>0.30239108204841614</c:v>
                </c:pt>
                <c:pt idx="793">
                  <c:v>0.30270054936408997</c:v>
                </c:pt>
                <c:pt idx="794">
                  <c:v>0.303010493516922</c:v>
                </c:pt>
                <c:pt idx="795">
                  <c:v>0.30331984162330627</c:v>
                </c:pt>
                <c:pt idx="796">
                  <c:v>0.3036295473575592</c:v>
                </c:pt>
                <c:pt idx="797">
                  <c:v>0.30393925309181213</c:v>
                </c:pt>
                <c:pt idx="798">
                  <c:v>0.30424860119819641</c:v>
                </c:pt>
                <c:pt idx="799">
                  <c:v>0.30455806851387024</c:v>
                </c:pt>
                <c:pt idx="800">
                  <c:v>0.30486777424812317</c:v>
                </c:pt>
                <c:pt idx="801">
                  <c:v>0.30517712235450745</c:v>
                </c:pt>
                <c:pt idx="802">
                  <c:v>0.30548635125160217</c:v>
                </c:pt>
                <c:pt idx="803">
                  <c:v>0.30579653382301331</c:v>
                </c:pt>
                <c:pt idx="804">
                  <c:v>0.30610612034797668</c:v>
                </c:pt>
                <c:pt idx="805">
                  <c:v>0.30641558766365051</c:v>
                </c:pt>
                <c:pt idx="806">
                  <c:v>0.30672529339790344</c:v>
                </c:pt>
                <c:pt idx="807">
                  <c:v>0.30703511834144592</c:v>
                </c:pt>
                <c:pt idx="808">
                  <c:v>0.30734482407569885</c:v>
                </c:pt>
                <c:pt idx="809">
                  <c:v>0.30765476822853088</c:v>
                </c:pt>
                <c:pt idx="810">
                  <c:v>0.30796459317207336</c:v>
                </c:pt>
                <c:pt idx="811">
                  <c:v>0.30827429890632629</c:v>
                </c:pt>
                <c:pt idx="812">
                  <c:v>0.30858424305915833</c:v>
                </c:pt>
                <c:pt idx="813">
                  <c:v>0.3088938295841217</c:v>
                </c:pt>
                <c:pt idx="814">
                  <c:v>0.30920377373695374</c:v>
                </c:pt>
                <c:pt idx="815">
                  <c:v>0.30951347947120667</c:v>
                </c:pt>
                <c:pt idx="816">
                  <c:v>0.30982354283332825</c:v>
                </c:pt>
                <c:pt idx="817">
                  <c:v>0.31013301014900208</c:v>
                </c:pt>
                <c:pt idx="818">
                  <c:v>0.31044319272041321</c:v>
                </c:pt>
                <c:pt idx="819">
                  <c:v>0.31075277924537659</c:v>
                </c:pt>
                <c:pt idx="820">
                  <c:v>0.31106272339820862</c:v>
                </c:pt>
                <c:pt idx="821">
                  <c:v>0.31137219071388245</c:v>
                </c:pt>
                <c:pt idx="822">
                  <c:v>0.31168201565742493</c:v>
                </c:pt>
                <c:pt idx="823">
                  <c:v>0.31199243664741516</c:v>
                </c:pt>
                <c:pt idx="824">
                  <c:v>0.31230190396308899</c:v>
                </c:pt>
                <c:pt idx="825">
                  <c:v>0.31261220574378967</c:v>
                </c:pt>
                <c:pt idx="826">
                  <c:v>0.3129216730594635</c:v>
                </c:pt>
                <c:pt idx="827">
                  <c:v>0.31323185563087463</c:v>
                </c:pt>
                <c:pt idx="828">
                  <c:v>0.31354168057441711</c:v>
                </c:pt>
                <c:pt idx="829">
                  <c:v>0.31385138630867004</c:v>
                </c:pt>
                <c:pt idx="830">
                  <c:v>0.31416133046150208</c:v>
                </c:pt>
                <c:pt idx="831">
                  <c:v>0.31447091698646545</c:v>
                </c:pt>
                <c:pt idx="832">
                  <c:v>0.31478109955787659</c:v>
                </c:pt>
                <c:pt idx="833">
                  <c:v>0.31509009003639221</c:v>
                </c:pt>
                <c:pt idx="834">
                  <c:v>0.31540015339851379</c:v>
                </c:pt>
                <c:pt idx="835">
                  <c:v>0.31571009755134583</c:v>
                </c:pt>
                <c:pt idx="836">
                  <c:v>0.31602004170417786</c:v>
                </c:pt>
                <c:pt idx="837">
                  <c:v>0.31633010506629944</c:v>
                </c:pt>
                <c:pt idx="838">
                  <c:v>0.31663981080055237</c:v>
                </c:pt>
                <c:pt idx="839">
                  <c:v>0.3169492781162262</c:v>
                </c:pt>
                <c:pt idx="840">
                  <c:v>0.31725886464118958</c:v>
                </c:pt>
                <c:pt idx="841">
                  <c:v>0.31756880879402161</c:v>
                </c:pt>
                <c:pt idx="842">
                  <c:v>0.31787875294685364</c:v>
                </c:pt>
                <c:pt idx="843">
                  <c:v>0.31818762421607971</c:v>
                </c:pt>
                <c:pt idx="844">
                  <c:v>0.31849780678749084</c:v>
                </c:pt>
                <c:pt idx="845">
                  <c:v>0.31880751252174377</c:v>
                </c:pt>
                <c:pt idx="846">
                  <c:v>0.31911709904670715</c:v>
                </c:pt>
                <c:pt idx="847">
                  <c:v>0.31942680478096008</c:v>
                </c:pt>
                <c:pt idx="848">
                  <c:v>0.31973651051521301</c:v>
                </c:pt>
                <c:pt idx="849">
                  <c:v>0.32004562020301819</c:v>
                </c:pt>
                <c:pt idx="850">
                  <c:v>0.32035556435585022</c:v>
                </c:pt>
                <c:pt idx="851">
                  <c:v>0.32066550850868225</c:v>
                </c:pt>
                <c:pt idx="852">
                  <c:v>0.32097533345222473</c:v>
                </c:pt>
                <c:pt idx="853">
                  <c:v>0.32128432393074036</c:v>
                </c:pt>
                <c:pt idx="854">
                  <c:v>0.32159379124641418</c:v>
                </c:pt>
                <c:pt idx="855">
                  <c:v>0.32190337777137756</c:v>
                </c:pt>
                <c:pt idx="856">
                  <c:v>0.32221308350563049</c:v>
                </c:pt>
                <c:pt idx="857">
                  <c:v>0.32252302765846252</c:v>
                </c:pt>
                <c:pt idx="858">
                  <c:v>0.3228318989276886</c:v>
                </c:pt>
                <c:pt idx="859">
                  <c:v>0.32314112782478333</c:v>
                </c:pt>
                <c:pt idx="860">
                  <c:v>0.32345083355903625</c:v>
                </c:pt>
                <c:pt idx="861">
                  <c:v>0.32375970482826233</c:v>
                </c:pt>
                <c:pt idx="862">
                  <c:v>0.32406917214393616</c:v>
                </c:pt>
                <c:pt idx="863">
                  <c:v>0.32437863945960999</c:v>
                </c:pt>
                <c:pt idx="864">
                  <c:v>0.32468798756599426</c:v>
                </c:pt>
                <c:pt idx="865">
                  <c:v>0.32499745488166809</c:v>
                </c:pt>
                <c:pt idx="866">
                  <c:v>0.32530644536018372</c:v>
                </c:pt>
                <c:pt idx="867">
                  <c:v>0.32561579346656799</c:v>
                </c:pt>
                <c:pt idx="868">
                  <c:v>0.32592454552650452</c:v>
                </c:pt>
                <c:pt idx="869">
                  <c:v>0.32623425126075745</c:v>
                </c:pt>
                <c:pt idx="870">
                  <c:v>0.32654312252998352</c:v>
                </c:pt>
                <c:pt idx="871">
                  <c:v>0.32685211300849915</c:v>
                </c:pt>
                <c:pt idx="872">
                  <c:v>0.32716110348701477</c:v>
                </c:pt>
                <c:pt idx="873">
                  <c:v>0.32747021317481995</c:v>
                </c:pt>
                <c:pt idx="874">
                  <c:v>0.32777944207191467</c:v>
                </c:pt>
                <c:pt idx="875">
                  <c:v>0.32808795571327209</c:v>
                </c:pt>
                <c:pt idx="876">
                  <c:v>0.32839706540107727</c:v>
                </c:pt>
                <c:pt idx="877">
                  <c:v>0.32870534062385559</c:v>
                </c:pt>
                <c:pt idx="878">
                  <c:v>0.32901456952095032</c:v>
                </c:pt>
                <c:pt idx="879">
                  <c:v>0.32932391762733459</c:v>
                </c:pt>
                <c:pt idx="880">
                  <c:v>0.32963219285011292</c:v>
                </c:pt>
                <c:pt idx="881">
                  <c:v>0.32994118332862854</c:v>
                </c:pt>
                <c:pt idx="882">
                  <c:v>0.33024957776069641</c:v>
                </c:pt>
                <c:pt idx="883">
                  <c:v>0.33055856823921204</c:v>
                </c:pt>
                <c:pt idx="884">
                  <c:v>0.33086684346199036</c:v>
                </c:pt>
                <c:pt idx="885">
                  <c:v>0.33117547631263733</c:v>
                </c:pt>
                <c:pt idx="886">
                  <c:v>0.33148398995399475</c:v>
                </c:pt>
                <c:pt idx="887">
                  <c:v>0.33179274201393127</c:v>
                </c:pt>
                <c:pt idx="888">
                  <c:v>0.33210113644599915</c:v>
                </c:pt>
                <c:pt idx="889">
                  <c:v>0.33240941166877747</c:v>
                </c:pt>
                <c:pt idx="890">
                  <c:v>0.33271768689155579</c:v>
                </c:pt>
                <c:pt idx="891">
                  <c:v>0.33302655816078186</c:v>
                </c:pt>
                <c:pt idx="892">
                  <c:v>0.33333411812782288</c:v>
                </c:pt>
                <c:pt idx="893">
                  <c:v>0.3336423933506012</c:v>
                </c:pt>
                <c:pt idx="894">
                  <c:v>0.33395054936408997</c:v>
                </c:pt>
                <c:pt idx="895">
                  <c:v>0.33425834774971008</c:v>
                </c:pt>
                <c:pt idx="896">
                  <c:v>0.3345663845539093</c:v>
                </c:pt>
                <c:pt idx="897">
                  <c:v>0.33487477898597717</c:v>
                </c:pt>
                <c:pt idx="898">
                  <c:v>0.33518233895301819</c:v>
                </c:pt>
                <c:pt idx="899">
                  <c:v>0.33549085259437561</c:v>
                </c:pt>
                <c:pt idx="900">
                  <c:v>0.33579877018928528</c:v>
                </c:pt>
                <c:pt idx="901">
                  <c:v>0.33610609173774719</c:v>
                </c:pt>
                <c:pt idx="902">
                  <c:v>0.33641412854194641</c:v>
                </c:pt>
                <c:pt idx="903">
                  <c:v>0.33672204613685608</c:v>
                </c:pt>
                <c:pt idx="904">
                  <c:v>0.3370303213596344</c:v>
                </c:pt>
                <c:pt idx="905">
                  <c:v>0.33733764290809631</c:v>
                </c:pt>
                <c:pt idx="906">
                  <c:v>0.33764556050300598</c:v>
                </c:pt>
                <c:pt idx="907">
                  <c:v>0.3379528820514679</c:v>
                </c:pt>
                <c:pt idx="908">
                  <c:v>0.33826091885566711</c:v>
                </c:pt>
                <c:pt idx="909">
                  <c:v>0.33856716752052307</c:v>
                </c:pt>
                <c:pt idx="910">
                  <c:v>0.33887520432472229</c:v>
                </c:pt>
                <c:pt idx="911">
                  <c:v>0.3391825258731842</c:v>
                </c:pt>
                <c:pt idx="912">
                  <c:v>0.33948996663093567</c:v>
                </c:pt>
                <c:pt idx="913">
                  <c:v>0.33979704976081848</c:v>
                </c:pt>
                <c:pt idx="914">
                  <c:v>0.34010413289070129</c:v>
                </c:pt>
                <c:pt idx="915">
                  <c:v>0.34041157364845276</c:v>
                </c:pt>
                <c:pt idx="916">
                  <c:v>0.34071865677833557</c:v>
                </c:pt>
                <c:pt idx="917">
                  <c:v>0.34102550148963928</c:v>
                </c:pt>
                <c:pt idx="918">
                  <c:v>0.34133246541023254</c:v>
                </c:pt>
                <c:pt idx="919">
                  <c:v>0.34163907170295715</c:v>
                </c:pt>
                <c:pt idx="920">
                  <c:v>0.34194591641426086</c:v>
                </c:pt>
                <c:pt idx="921">
                  <c:v>0.34225335717201233</c:v>
                </c:pt>
                <c:pt idx="922">
                  <c:v>0.34255948662757874</c:v>
                </c:pt>
                <c:pt idx="923">
                  <c:v>0.34286656975746155</c:v>
                </c:pt>
                <c:pt idx="924">
                  <c:v>0.3431728184223175</c:v>
                </c:pt>
                <c:pt idx="925">
                  <c:v>0.34347966313362122</c:v>
                </c:pt>
                <c:pt idx="926">
                  <c:v>0.34378650784492493</c:v>
                </c:pt>
                <c:pt idx="927">
                  <c:v>0.34409251809120178</c:v>
                </c:pt>
                <c:pt idx="928">
                  <c:v>0.34439936280250549</c:v>
                </c:pt>
                <c:pt idx="929">
                  <c:v>0.3447052538394928</c:v>
                </c:pt>
                <c:pt idx="930">
                  <c:v>0.34501174092292786</c:v>
                </c:pt>
                <c:pt idx="931">
                  <c:v>0.34531858563423157</c:v>
                </c:pt>
                <c:pt idx="932">
                  <c:v>0.34562376141548157</c:v>
                </c:pt>
                <c:pt idx="933">
                  <c:v>0.34593001008033752</c:v>
                </c:pt>
                <c:pt idx="934">
                  <c:v>0.34623613953590393</c:v>
                </c:pt>
                <c:pt idx="935">
                  <c:v>0.34654203057289124</c:v>
                </c:pt>
                <c:pt idx="936">
                  <c:v>0.34684804081916809</c:v>
                </c:pt>
                <c:pt idx="937">
                  <c:v>0.3471541702747345</c:v>
                </c:pt>
                <c:pt idx="938">
                  <c:v>0.3474598228931427</c:v>
                </c:pt>
                <c:pt idx="939">
                  <c:v>0.34776535630226135</c:v>
                </c:pt>
                <c:pt idx="940">
                  <c:v>0.34807172417640686</c:v>
                </c:pt>
                <c:pt idx="941">
                  <c:v>0.34837713837623596</c:v>
                </c:pt>
                <c:pt idx="942">
                  <c:v>0.34868291020393372</c:v>
                </c:pt>
                <c:pt idx="943">
                  <c:v>0.34898784756660461</c:v>
                </c:pt>
                <c:pt idx="944">
                  <c:v>0.34929350018501282</c:v>
                </c:pt>
                <c:pt idx="945">
                  <c:v>0.34959831833839417</c:v>
                </c:pt>
                <c:pt idx="946">
                  <c:v>0.34990397095680237</c:v>
                </c:pt>
                <c:pt idx="947">
                  <c:v>0.35020866990089417</c:v>
                </c:pt>
                <c:pt idx="948">
                  <c:v>0.35051444172859192</c:v>
                </c:pt>
                <c:pt idx="949">
                  <c:v>0.35081937909126282</c:v>
                </c:pt>
                <c:pt idx="950">
                  <c:v>0.35112455487251282</c:v>
                </c:pt>
                <c:pt idx="951">
                  <c:v>0.35142913460731506</c:v>
                </c:pt>
                <c:pt idx="952">
                  <c:v>0.35173383355140686</c:v>
                </c:pt>
                <c:pt idx="953">
                  <c:v>0.35203924775123596</c:v>
                </c:pt>
                <c:pt idx="954">
                  <c:v>0.35234382748603821</c:v>
                </c:pt>
                <c:pt idx="955">
                  <c:v>0.3526482880115509</c:v>
                </c:pt>
                <c:pt idx="956">
                  <c:v>0.3529527485370636</c:v>
                </c:pt>
                <c:pt idx="957">
                  <c:v>0.35325804352760315</c:v>
                </c:pt>
                <c:pt idx="958">
                  <c:v>0.35356202721595764</c:v>
                </c:pt>
                <c:pt idx="959">
                  <c:v>0.35386672616004944</c:v>
                </c:pt>
                <c:pt idx="960">
                  <c:v>0.35417106747627258</c:v>
                </c:pt>
                <c:pt idx="961">
                  <c:v>0.35447552800178528</c:v>
                </c:pt>
                <c:pt idx="962">
                  <c:v>0.35477951169013977</c:v>
                </c:pt>
                <c:pt idx="963">
                  <c:v>0.35508337616920471</c:v>
                </c:pt>
                <c:pt idx="964">
                  <c:v>0.35538759827613831</c:v>
                </c:pt>
                <c:pt idx="965">
                  <c:v>0.35569110512733459</c:v>
                </c:pt>
                <c:pt idx="966">
                  <c:v>0.35599568486213684</c:v>
                </c:pt>
                <c:pt idx="967">
                  <c:v>0.35629966855049133</c:v>
                </c:pt>
                <c:pt idx="968">
                  <c:v>0.35660341382026672</c:v>
                </c:pt>
                <c:pt idx="969">
                  <c:v>0.35690656304359436</c:v>
                </c:pt>
                <c:pt idx="970">
                  <c:v>0.35721078515052795</c:v>
                </c:pt>
                <c:pt idx="971">
                  <c:v>0.35751429200172424</c:v>
                </c:pt>
                <c:pt idx="972">
                  <c:v>0.35781720280647278</c:v>
                </c:pt>
                <c:pt idx="973">
                  <c:v>0.35812166333198547</c:v>
                </c:pt>
                <c:pt idx="974">
                  <c:v>0.35842469334602356</c:v>
                </c:pt>
                <c:pt idx="975">
                  <c:v>0.3587278425693512</c:v>
                </c:pt>
                <c:pt idx="976">
                  <c:v>0.35903039574623108</c:v>
                </c:pt>
                <c:pt idx="977">
                  <c:v>0.35933437943458557</c:v>
                </c:pt>
                <c:pt idx="978">
                  <c:v>0.359637051820755</c:v>
                </c:pt>
                <c:pt idx="979">
                  <c:v>0.35993984341621399</c:v>
                </c:pt>
                <c:pt idx="980">
                  <c:v>0.36024311184883118</c:v>
                </c:pt>
                <c:pt idx="981">
                  <c:v>0.36054626107215881</c:v>
                </c:pt>
                <c:pt idx="982">
                  <c:v>0.3608488142490387</c:v>
                </c:pt>
                <c:pt idx="983">
                  <c:v>0.36115136742591858</c:v>
                </c:pt>
                <c:pt idx="984">
                  <c:v>0.36145380139350891</c:v>
                </c:pt>
                <c:pt idx="985">
                  <c:v>0.361756831407547</c:v>
                </c:pt>
                <c:pt idx="986">
                  <c:v>0.36205890774726868</c:v>
                </c:pt>
                <c:pt idx="987">
                  <c:v>0.36236134171485901</c:v>
                </c:pt>
                <c:pt idx="988">
                  <c:v>0.36266365647315979</c:v>
                </c:pt>
                <c:pt idx="989">
                  <c:v>0.36296620965003967</c:v>
                </c:pt>
                <c:pt idx="990">
                  <c:v>0.3632681667804718</c:v>
                </c:pt>
                <c:pt idx="991">
                  <c:v>0.36357048153877258</c:v>
                </c:pt>
                <c:pt idx="992">
                  <c:v>0.36387231945991516</c:v>
                </c:pt>
                <c:pt idx="993">
                  <c:v>0.36417451500892639</c:v>
                </c:pt>
                <c:pt idx="994">
                  <c:v>0.36447611451148987</c:v>
                </c:pt>
                <c:pt idx="995">
                  <c:v>0.36477795243263245</c:v>
                </c:pt>
                <c:pt idx="996">
                  <c:v>0.36507990956306458</c:v>
                </c:pt>
                <c:pt idx="997">
                  <c:v>0.36538127064704895</c:v>
                </c:pt>
                <c:pt idx="998">
                  <c:v>0.36568310856819153</c:v>
                </c:pt>
                <c:pt idx="999">
                  <c:v>0.36598458886146545</c:v>
                </c:pt>
                <c:pt idx="1000">
                  <c:v>0.36628618836402893</c:v>
                </c:pt>
                <c:pt idx="1001">
                  <c:v>0.3665873110294342</c:v>
                </c:pt>
                <c:pt idx="1002">
                  <c:v>0.36688926815986633</c:v>
                </c:pt>
                <c:pt idx="1003">
                  <c:v>0.3671899139881134</c:v>
                </c:pt>
                <c:pt idx="1004">
                  <c:v>0.36749091744422913</c:v>
                </c:pt>
                <c:pt idx="1005">
                  <c:v>0.3677918016910553</c:v>
                </c:pt>
                <c:pt idx="1006">
                  <c:v>0.36809316277503967</c:v>
                </c:pt>
                <c:pt idx="1007">
                  <c:v>0.36839392781257629</c:v>
                </c:pt>
                <c:pt idx="1008">
                  <c:v>0.36869457364082336</c:v>
                </c:pt>
                <c:pt idx="1009">
                  <c:v>0.36899521946907043</c:v>
                </c:pt>
                <c:pt idx="1010">
                  <c:v>0.36929622292518616</c:v>
                </c:pt>
                <c:pt idx="1011">
                  <c:v>0.36959663033485413</c:v>
                </c:pt>
                <c:pt idx="1012">
                  <c:v>0.3698977530002594</c:v>
                </c:pt>
                <c:pt idx="1013">
                  <c:v>0.37019780278205872</c:v>
                </c:pt>
                <c:pt idx="1014">
                  <c:v>0.37049797177314758</c:v>
                </c:pt>
                <c:pt idx="1015">
                  <c:v>0.37079861760139465</c:v>
                </c:pt>
                <c:pt idx="1016">
                  <c:v>0.37109890580177307</c:v>
                </c:pt>
                <c:pt idx="1017">
                  <c:v>0.37139859795570374</c:v>
                </c:pt>
                <c:pt idx="1018">
                  <c:v>0.3716985285282135</c:v>
                </c:pt>
                <c:pt idx="1019">
                  <c:v>0.37199881672859192</c:v>
                </c:pt>
                <c:pt idx="1020">
                  <c:v>0.37229827046394348</c:v>
                </c:pt>
                <c:pt idx="1021">
                  <c:v>0.37259772419929504</c:v>
                </c:pt>
                <c:pt idx="1022">
                  <c:v>0.37289777398109436</c:v>
                </c:pt>
                <c:pt idx="1023">
                  <c:v>0.37319722771644592</c:v>
                </c:pt>
                <c:pt idx="1024">
                  <c:v>0.37349739670753479</c:v>
                </c:pt>
                <c:pt idx="1025">
                  <c:v>0.3737967312335968</c:v>
                </c:pt>
                <c:pt idx="1026">
                  <c:v>0.37409618496894836</c:v>
                </c:pt>
                <c:pt idx="1027">
                  <c:v>0.37439611554145813</c:v>
                </c:pt>
                <c:pt idx="1028">
                  <c:v>0.37469473481178284</c:v>
                </c:pt>
                <c:pt idx="1029">
                  <c:v>0.37499347329139709</c:v>
                </c:pt>
                <c:pt idx="1030">
                  <c:v>0.37529340386390686</c:v>
                </c:pt>
                <c:pt idx="1031">
                  <c:v>0.37559226155281067</c:v>
                </c:pt>
                <c:pt idx="1032">
                  <c:v>0.37589123845100403</c:v>
                </c:pt>
                <c:pt idx="1033">
                  <c:v>0.37619021534919739</c:v>
                </c:pt>
                <c:pt idx="1034">
                  <c:v>0.3764890730381012</c:v>
                </c:pt>
                <c:pt idx="1035">
                  <c:v>0.37678757309913635</c:v>
                </c:pt>
                <c:pt idx="1036">
                  <c:v>0.37708631157875061</c:v>
                </c:pt>
                <c:pt idx="1037">
                  <c:v>0.37738445401191711</c:v>
                </c:pt>
                <c:pt idx="1038">
                  <c:v>0.37768295407295227</c:v>
                </c:pt>
                <c:pt idx="1039">
                  <c:v>0.37798193097114563</c:v>
                </c:pt>
                <c:pt idx="1040">
                  <c:v>0.37827983498573303</c:v>
                </c:pt>
                <c:pt idx="1041">
                  <c:v>0.37857833504676819</c:v>
                </c:pt>
                <c:pt idx="1042">
                  <c:v>0.37887659668922424</c:v>
                </c:pt>
                <c:pt idx="1043">
                  <c:v>0.37917473912239075</c:v>
                </c:pt>
                <c:pt idx="1044">
                  <c:v>0.3794727623462677</c:v>
                </c:pt>
                <c:pt idx="1045">
                  <c:v>0.37977078557014465</c:v>
                </c:pt>
                <c:pt idx="1046">
                  <c:v>0.38006797432899475</c:v>
                </c:pt>
                <c:pt idx="1047">
                  <c:v>0.3803657591342926</c:v>
                </c:pt>
                <c:pt idx="1048">
                  <c:v>0.38066402077674866</c:v>
                </c:pt>
                <c:pt idx="1049">
                  <c:v>0.38096144795417786</c:v>
                </c:pt>
                <c:pt idx="1050">
                  <c:v>0.3812587559223175</c:v>
                </c:pt>
                <c:pt idx="1051">
                  <c:v>0.38155654072761536</c:v>
                </c:pt>
                <c:pt idx="1052">
                  <c:v>0.38185372948646545</c:v>
                </c:pt>
                <c:pt idx="1053">
                  <c:v>0.382150799036026</c:v>
                </c:pt>
                <c:pt idx="1054">
                  <c:v>0.38244810700416565</c:v>
                </c:pt>
                <c:pt idx="1055">
                  <c:v>0.38274529576301575</c:v>
                </c:pt>
                <c:pt idx="1056">
                  <c:v>0.38304212689399719</c:v>
                </c:pt>
                <c:pt idx="1057">
                  <c:v>0.38333967328071594</c:v>
                </c:pt>
                <c:pt idx="1058">
                  <c:v>0.38363614678382874</c:v>
                </c:pt>
                <c:pt idx="1059">
                  <c:v>0.38393273949623108</c:v>
                </c:pt>
                <c:pt idx="1060">
                  <c:v>0.38422980904579163</c:v>
                </c:pt>
                <c:pt idx="1061">
                  <c:v>0.38452652096748352</c:v>
                </c:pt>
                <c:pt idx="1062">
                  <c:v>0.38482311367988586</c:v>
                </c:pt>
                <c:pt idx="1063">
                  <c:v>0.38511970639228821</c:v>
                </c:pt>
                <c:pt idx="1064">
                  <c:v>0.3854159414768219</c:v>
                </c:pt>
                <c:pt idx="1065">
                  <c:v>0.38571253418922424</c:v>
                </c:pt>
                <c:pt idx="1066">
                  <c:v>0.38600888848304749</c:v>
                </c:pt>
                <c:pt idx="1067">
                  <c:v>0.38630488514900208</c:v>
                </c:pt>
                <c:pt idx="1068">
                  <c:v>0.38660123944282532</c:v>
                </c:pt>
                <c:pt idx="1069">
                  <c:v>0.38689735531806946</c:v>
                </c:pt>
                <c:pt idx="1070">
                  <c:v>0.38719359040260315</c:v>
                </c:pt>
                <c:pt idx="1071">
                  <c:v>0.38748899102210999</c:v>
                </c:pt>
                <c:pt idx="1072">
                  <c:v>0.38778439164161682</c:v>
                </c:pt>
                <c:pt idx="1073">
                  <c:v>0.38808038830757141</c:v>
                </c:pt>
                <c:pt idx="1074">
                  <c:v>0.38837602734565735</c:v>
                </c:pt>
                <c:pt idx="1075">
                  <c:v>0.38867166638374329</c:v>
                </c:pt>
                <c:pt idx="1076">
                  <c:v>0.38896694779396057</c:v>
                </c:pt>
                <c:pt idx="1077">
                  <c:v>0.38926306366920471</c:v>
                </c:pt>
                <c:pt idx="1078">
                  <c:v>0.38955798745155334</c:v>
                </c:pt>
                <c:pt idx="1079">
                  <c:v>0.38985303044319153</c:v>
                </c:pt>
                <c:pt idx="1080">
                  <c:v>0.39014819264411926</c:v>
                </c:pt>
                <c:pt idx="1081">
                  <c:v>0.3904435932636261</c:v>
                </c:pt>
                <c:pt idx="1082">
                  <c:v>0.39073887467384338</c:v>
                </c:pt>
                <c:pt idx="1083">
                  <c:v>0.39103332161903381</c:v>
                </c:pt>
                <c:pt idx="1084">
                  <c:v>0.39132824540138245</c:v>
                </c:pt>
                <c:pt idx="1085">
                  <c:v>0.39162328839302063</c:v>
                </c:pt>
                <c:pt idx="1086">
                  <c:v>0.39191797375679016</c:v>
                </c:pt>
                <c:pt idx="1087">
                  <c:v>0.39221265912055969</c:v>
                </c:pt>
                <c:pt idx="1088">
                  <c:v>0.39250674843788147</c:v>
                </c:pt>
                <c:pt idx="1089">
                  <c:v>0.392801433801651</c:v>
                </c:pt>
                <c:pt idx="1090">
                  <c:v>0.39309611916542053</c:v>
                </c:pt>
                <c:pt idx="1091">
                  <c:v>0.39339068531990051</c:v>
                </c:pt>
                <c:pt idx="1092">
                  <c:v>0.39368465542793274</c:v>
                </c:pt>
                <c:pt idx="1093">
                  <c:v>0.39397862553596497</c:v>
                </c:pt>
                <c:pt idx="1094">
                  <c:v>0.39427271485328674</c:v>
                </c:pt>
                <c:pt idx="1095">
                  <c:v>0.39456692337989807</c:v>
                </c:pt>
                <c:pt idx="1096">
                  <c:v>0.3948606550693512</c:v>
                </c:pt>
                <c:pt idx="1097">
                  <c:v>0.39515474438667297</c:v>
                </c:pt>
                <c:pt idx="1098">
                  <c:v>0.3954487144947052</c:v>
                </c:pt>
                <c:pt idx="1099">
                  <c:v>0.39574173092842102</c:v>
                </c:pt>
                <c:pt idx="1100">
                  <c:v>0.3960355818271637</c:v>
                </c:pt>
                <c:pt idx="1101">
                  <c:v>0.39632931351661682</c:v>
                </c:pt>
                <c:pt idx="1102">
                  <c:v>0.39662256836891174</c:v>
                </c:pt>
                <c:pt idx="1103">
                  <c:v>0.39691594243049622</c:v>
                </c:pt>
                <c:pt idx="1104">
                  <c:v>0.39720919728279114</c:v>
                </c:pt>
                <c:pt idx="1105">
                  <c:v>0.39750269055366516</c:v>
                </c:pt>
                <c:pt idx="1106">
                  <c:v>0.39779606461524963</c:v>
                </c:pt>
                <c:pt idx="1107">
                  <c:v>0.39808931946754456</c:v>
                </c:pt>
                <c:pt idx="1108">
                  <c:v>0.39838185906410217</c:v>
                </c:pt>
                <c:pt idx="1109">
                  <c:v>0.39867427945137024</c:v>
                </c:pt>
                <c:pt idx="1110">
                  <c:v>0.39896801114082336</c:v>
                </c:pt>
                <c:pt idx="1111">
                  <c:v>0.39926007390022278</c:v>
                </c:pt>
                <c:pt idx="1112">
                  <c:v>0.39955344796180725</c:v>
                </c:pt>
                <c:pt idx="1113">
                  <c:v>0.39984551072120667</c:v>
                </c:pt>
                <c:pt idx="1114">
                  <c:v>0.40013828873634338</c:v>
                </c:pt>
                <c:pt idx="1115">
                  <c:v>0.40043118596076965</c:v>
                </c:pt>
                <c:pt idx="1116">
                  <c:v>0.40072301030158997</c:v>
                </c:pt>
                <c:pt idx="1117">
                  <c:v>0.40101531147956848</c:v>
                </c:pt>
                <c:pt idx="1118">
                  <c:v>0.40130820870399475</c:v>
                </c:pt>
                <c:pt idx="1119">
                  <c:v>0.40160074830055237</c:v>
                </c:pt>
                <c:pt idx="1120">
                  <c:v>0.40189257264137268</c:v>
                </c:pt>
                <c:pt idx="1121">
                  <c:v>0.40218380093574524</c:v>
                </c:pt>
                <c:pt idx="1122">
                  <c:v>0.40247657895088196</c:v>
                </c:pt>
                <c:pt idx="1123">
                  <c:v>0.40276840329170227</c:v>
                </c:pt>
                <c:pt idx="1124">
                  <c:v>0.40306010842323303</c:v>
                </c:pt>
                <c:pt idx="1125">
                  <c:v>0.40335145592689514</c:v>
                </c:pt>
                <c:pt idx="1126">
                  <c:v>0.40364280343055725</c:v>
                </c:pt>
                <c:pt idx="1127">
                  <c:v>0.40393427014350891</c:v>
                </c:pt>
                <c:pt idx="1128">
                  <c:v>0.40422633290290833</c:v>
                </c:pt>
                <c:pt idx="1129">
                  <c:v>0.40451768040657043</c:v>
                </c:pt>
                <c:pt idx="1130">
                  <c:v>0.40480890870094299</c:v>
                </c:pt>
                <c:pt idx="1131">
                  <c:v>0.4051004946231842</c:v>
                </c:pt>
                <c:pt idx="1132">
                  <c:v>0.40539160370826721</c:v>
                </c:pt>
                <c:pt idx="1133">
                  <c:v>0.40568259358406067</c:v>
                </c:pt>
                <c:pt idx="1134">
                  <c:v>0.40597370266914368</c:v>
                </c:pt>
                <c:pt idx="1135">
                  <c:v>0.40626457333564758</c:v>
                </c:pt>
                <c:pt idx="1136">
                  <c:v>0.40655532479286194</c:v>
                </c:pt>
                <c:pt idx="1137">
                  <c:v>0.40684691071510315</c:v>
                </c:pt>
                <c:pt idx="1138">
                  <c:v>0.40713706612586975</c:v>
                </c:pt>
                <c:pt idx="1139">
                  <c:v>0.407427579164505</c:v>
                </c:pt>
                <c:pt idx="1140">
                  <c:v>0.40771821141242981</c:v>
                </c:pt>
                <c:pt idx="1141">
                  <c:v>0.40800860524177551</c:v>
                </c:pt>
                <c:pt idx="1142">
                  <c:v>0.40829911828041077</c:v>
                </c:pt>
                <c:pt idx="1143">
                  <c:v>0.40858927369117737</c:v>
                </c:pt>
                <c:pt idx="1144">
                  <c:v>0.40888014435768127</c:v>
                </c:pt>
                <c:pt idx="1145">
                  <c:v>0.40917089581489563</c:v>
                </c:pt>
                <c:pt idx="1146">
                  <c:v>0.40946033596992493</c:v>
                </c:pt>
                <c:pt idx="1147">
                  <c:v>0.40975049138069153</c:v>
                </c:pt>
                <c:pt idx="1148">
                  <c:v>0.41004005074501038</c:v>
                </c:pt>
                <c:pt idx="1149">
                  <c:v>0.41033044457435608</c:v>
                </c:pt>
                <c:pt idx="1150">
                  <c:v>0.41061988472938538</c:v>
                </c:pt>
                <c:pt idx="1151">
                  <c:v>0.41091015934944153</c:v>
                </c:pt>
                <c:pt idx="1152">
                  <c:v>0.41119959950447083</c:v>
                </c:pt>
                <c:pt idx="1153">
                  <c:v>0.41148951649665833</c:v>
                </c:pt>
                <c:pt idx="1154">
                  <c:v>0.41177883744239807</c:v>
                </c:pt>
                <c:pt idx="1155">
                  <c:v>0.41206875443458557</c:v>
                </c:pt>
                <c:pt idx="1156">
                  <c:v>0.41235747933387756</c:v>
                </c:pt>
                <c:pt idx="1157">
                  <c:v>0.41264751553535461</c:v>
                </c:pt>
                <c:pt idx="1158">
                  <c:v>0.41293647885322571</c:v>
                </c:pt>
                <c:pt idx="1159">
                  <c:v>0.4132254421710968</c:v>
                </c:pt>
                <c:pt idx="1160">
                  <c:v>0.41351428627967834</c:v>
                </c:pt>
                <c:pt idx="1161">
                  <c:v>0.41380396485328674</c:v>
                </c:pt>
                <c:pt idx="1162">
                  <c:v>0.41409268975257874</c:v>
                </c:pt>
                <c:pt idx="1163">
                  <c:v>0.41438153386116028</c:v>
                </c:pt>
                <c:pt idx="1164">
                  <c:v>0.41467073559761047</c:v>
                </c:pt>
                <c:pt idx="1165">
                  <c:v>0.41495946049690247</c:v>
                </c:pt>
                <c:pt idx="1166">
                  <c:v>0.41524782776832581</c:v>
                </c:pt>
                <c:pt idx="1167">
                  <c:v>0.4155365526676178</c:v>
                </c:pt>
                <c:pt idx="1168">
                  <c:v>0.41582575440406799</c:v>
                </c:pt>
                <c:pt idx="1169">
                  <c:v>0.41611364483833313</c:v>
                </c:pt>
                <c:pt idx="1170">
                  <c:v>0.41640165448188782</c:v>
                </c:pt>
                <c:pt idx="1171">
                  <c:v>0.41669061779975891</c:v>
                </c:pt>
                <c:pt idx="1172">
                  <c:v>0.41697898507118225</c:v>
                </c:pt>
                <c:pt idx="1173">
                  <c:v>0.41726699471473694</c:v>
                </c:pt>
                <c:pt idx="1174">
                  <c:v>0.41755524277687073</c:v>
                </c:pt>
                <c:pt idx="1175">
                  <c:v>0.41784289479255676</c:v>
                </c:pt>
                <c:pt idx="1176">
                  <c:v>0.41813042759895325</c:v>
                </c:pt>
                <c:pt idx="1177">
                  <c:v>0.41841843724250793</c:v>
                </c:pt>
                <c:pt idx="1178">
                  <c:v>0.41870632767677307</c:v>
                </c:pt>
                <c:pt idx="1179">
                  <c:v>0.41899433732032776</c:v>
                </c:pt>
                <c:pt idx="1180">
                  <c:v>0.41928187012672424</c:v>
                </c:pt>
                <c:pt idx="1181">
                  <c:v>0.41956928372383118</c:v>
                </c:pt>
                <c:pt idx="1182">
                  <c:v>0.41985681653022766</c:v>
                </c:pt>
                <c:pt idx="1183">
                  <c:v>0.42014434933662415</c:v>
                </c:pt>
                <c:pt idx="1184">
                  <c:v>0.42043176293373108</c:v>
                </c:pt>
                <c:pt idx="1185">
                  <c:v>0.42071905732154846</c:v>
                </c:pt>
                <c:pt idx="1186">
                  <c:v>0.42100635170936584</c:v>
                </c:pt>
                <c:pt idx="1187">
                  <c:v>0.42129328846931458</c:v>
                </c:pt>
                <c:pt idx="1188">
                  <c:v>0.42158034443855286</c:v>
                </c:pt>
                <c:pt idx="1189">
                  <c:v>0.42186740040779114</c:v>
                </c:pt>
                <c:pt idx="1190">
                  <c:v>0.42215409874916077</c:v>
                </c:pt>
                <c:pt idx="1191">
                  <c:v>0.42244139313697815</c:v>
                </c:pt>
                <c:pt idx="1192">
                  <c:v>0.42272797226905823</c:v>
                </c:pt>
                <c:pt idx="1193">
                  <c:v>0.42301490902900696</c:v>
                </c:pt>
                <c:pt idx="1194">
                  <c:v>0.42330196499824524</c:v>
                </c:pt>
                <c:pt idx="1195">
                  <c:v>0.42358830571174622</c:v>
                </c:pt>
                <c:pt idx="1196">
                  <c:v>0.42387500405311584</c:v>
                </c:pt>
                <c:pt idx="1197">
                  <c:v>0.42416110634803772</c:v>
                </c:pt>
                <c:pt idx="1198">
                  <c:v>0.4244474470615387</c:v>
                </c:pt>
                <c:pt idx="1199">
                  <c:v>0.42473343014717102</c:v>
                </c:pt>
                <c:pt idx="1200">
                  <c:v>0.42501929402351379</c:v>
                </c:pt>
                <c:pt idx="1201">
                  <c:v>0.42530634999275208</c:v>
                </c:pt>
                <c:pt idx="1202">
                  <c:v>0.4255918562412262</c:v>
                </c:pt>
                <c:pt idx="1203">
                  <c:v>0.42587795853614807</c:v>
                </c:pt>
                <c:pt idx="1204">
                  <c:v>0.42616406083106995</c:v>
                </c:pt>
                <c:pt idx="1205">
                  <c:v>0.42645004391670227</c:v>
                </c:pt>
                <c:pt idx="1206">
                  <c:v>0.42673566937446594</c:v>
                </c:pt>
                <c:pt idx="1207">
                  <c:v>0.42702129483222961</c:v>
                </c:pt>
                <c:pt idx="1208">
                  <c:v>0.42730680108070374</c:v>
                </c:pt>
                <c:pt idx="1209">
                  <c:v>0.42759218811988831</c:v>
                </c:pt>
                <c:pt idx="1210">
                  <c:v>0.42787829041481018</c:v>
                </c:pt>
                <c:pt idx="1211">
                  <c:v>0.428163081407547</c:v>
                </c:pt>
                <c:pt idx="1212">
                  <c:v>0.42844894528388977</c:v>
                </c:pt>
                <c:pt idx="1213">
                  <c:v>0.42873385548591614</c:v>
                </c:pt>
                <c:pt idx="1214">
                  <c:v>0.42901864647865295</c:v>
                </c:pt>
                <c:pt idx="1215">
                  <c:v>0.42930403351783752</c:v>
                </c:pt>
                <c:pt idx="1216">
                  <c:v>0.42958870530128479</c:v>
                </c:pt>
                <c:pt idx="1217">
                  <c:v>0.42987373471260071</c:v>
                </c:pt>
                <c:pt idx="1218">
                  <c:v>0.43015864491462708</c:v>
                </c:pt>
                <c:pt idx="1219">
                  <c:v>0.4304441511631012</c:v>
                </c:pt>
                <c:pt idx="1220">
                  <c:v>0.43072810769081116</c:v>
                </c:pt>
                <c:pt idx="1221">
                  <c:v>0.43101325631141663</c:v>
                </c:pt>
                <c:pt idx="1222">
                  <c:v>0.43129757046699524</c:v>
                </c:pt>
                <c:pt idx="1223">
                  <c:v>0.4315820038318634</c:v>
                </c:pt>
                <c:pt idx="1224">
                  <c:v>0.43186619877815247</c:v>
                </c:pt>
                <c:pt idx="1225">
                  <c:v>0.43215075135231018</c:v>
                </c:pt>
                <c:pt idx="1226">
                  <c:v>0.43243566155433655</c:v>
                </c:pt>
                <c:pt idx="1227">
                  <c:v>0.43271937966346741</c:v>
                </c:pt>
                <c:pt idx="1228">
                  <c:v>0.43300440907478333</c:v>
                </c:pt>
                <c:pt idx="1229">
                  <c:v>0.43328788876533508</c:v>
                </c:pt>
                <c:pt idx="1230">
                  <c:v>0.43357208371162415</c:v>
                </c:pt>
                <c:pt idx="1231">
                  <c:v>0.43385568261146545</c:v>
                </c:pt>
                <c:pt idx="1232">
                  <c:v>0.43413987755775452</c:v>
                </c:pt>
                <c:pt idx="1233">
                  <c:v>0.43442359566688538</c:v>
                </c:pt>
                <c:pt idx="1234">
                  <c:v>0.43470671772956848</c:v>
                </c:pt>
                <c:pt idx="1235">
                  <c:v>0.43499043583869934</c:v>
                </c:pt>
                <c:pt idx="1236">
                  <c:v>0.4352741539478302</c:v>
                </c:pt>
                <c:pt idx="1237">
                  <c:v>0.4355570375919342</c:v>
                </c:pt>
                <c:pt idx="1238">
                  <c:v>0.43584099411964417</c:v>
                </c:pt>
                <c:pt idx="1239">
                  <c:v>0.43612423539161682</c:v>
                </c:pt>
                <c:pt idx="1240">
                  <c:v>0.43640735745429993</c:v>
                </c:pt>
                <c:pt idx="1241">
                  <c:v>0.43669012188911438</c:v>
                </c:pt>
                <c:pt idx="1242">
                  <c:v>0.43697336316108704</c:v>
                </c:pt>
                <c:pt idx="1243">
                  <c:v>0.43725648522377014</c:v>
                </c:pt>
                <c:pt idx="1244">
                  <c:v>0.43753924965858459</c:v>
                </c:pt>
                <c:pt idx="1245">
                  <c:v>0.43782225251197815</c:v>
                </c:pt>
                <c:pt idx="1246">
                  <c:v>0.43810465931892395</c:v>
                </c:pt>
                <c:pt idx="1247">
                  <c:v>0.4383874237537384</c:v>
                </c:pt>
                <c:pt idx="1248">
                  <c:v>0.43867018818855286</c:v>
                </c:pt>
                <c:pt idx="1249">
                  <c:v>0.43895235657691956</c:v>
                </c:pt>
                <c:pt idx="1250">
                  <c:v>0.43923512101173401</c:v>
                </c:pt>
                <c:pt idx="1251">
                  <c:v>0.43951764702796936</c:v>
                </c:pt>
                <c:pt idx="1252">
                  <c:v>0.43979910016059875</c:v>
                </c:pt>
                <c:pt idx="1253">
                  <c:v>0.44008186459541321</c:v>
                </c:pt>
                <c:pt idx="1254">
                  <c:v>0.44036415219306946</c:v>
                </c:pt>
                <c:pt idx="1255">
                  <c:v>0.44064584374427795</c:v>
                </c:pt>
                <c:pt idx="1256">
                  <c:v>0.4409281313419342</c:v>
                </c:pt>
                <c:pt idx="1257">
                  <c:v>0.44121041893959045</c:v>
                </c:pt>
                <c:pt idx="1258">
                  <c:v>0.44149211049079895</c:v>
                </c:pt>
                <c:pt idx="1259">
                  <c:v>0.44177320599555969</c:v>
                </c:pt>
                <c:pt idx="1260">
                  <c:v>0.44205573201179504</c:v>
                </c:pt>
                <c:pt idx="1261">
                  <c:v>0.44233670830726624</c:v>
                </c:pt>
                <c:pt idx="1262">
                  <c:v>0.44261828064918518</c:v>
                </c:pt>
                <c:pt idx="1263">
                  <c:v>0.44289985299110413</c:v>
                </c:pt>
                <c:pt idx="1264">
                  <c:v>0.44318106770515442</c:v>
                </c:pt>
                <c:pt idx="1265">
                  <c:v>0.44346168637275696</c:v>
                </c:pt>
                <c:pt idx="1266">
                  <c:v>0.4437432587146759</c:v>
                </c:pt>
                <c:pt idx="1267">
                  <c:v>0.4440244734287262</c:v>
                </c:pt>
                <c:pt idx="1268">
                  <c:v>0.44430485367774963</c:v>
                </c:pt>
                <c:pt idx="1269">
                  <c:v>0.44458642601966858</c:v>
                </c:pt>
                <c:pt idx="1270">
                  <c:v>0.44486621022224426</c:v>
                </c:pt>
                <c:pt idx="1271">
                  <c:v>0.44514778256416321</c:v>
                </c:pt>
                <c:pt idx="1272">
                  <c:v>0.44542840123176575</c:v>
                </c:pt>
                <c:pt idx="1273">
                  <c:v>0.44570842385292053</c:v>
                </c:pt>
                <c:pt idx="1274">
                  <c:v>0.44598951935768127</c:v>
                </c:pt>
                <c:pt idx="1275">
                  <c:v>0.44626966118812561</c:v>
                </c:pt>
                <c:pt idx="1276">
                  <c:v>0.4465501606464386</c:v>
                </c:pt>
                <c:pt idx="1277">
                  <c:v>0.44683006405830383</c:v>
                </c:pt>
                <c:pt idx="1278">
                  <c:v>0.44710996747016907</c:v>
                </c:pt>
                <c:pt idx="1279">
                  <c:v>0.44739022850990295</c:v>
                </c:pt>
                <c:pt idx="1280">
                  <c:v>0.44767037034034729</c:v>
                </c:pt>
                <c:pt idx="1281">
                  <c:v>0.44795003533363342</c:v>
                </c:pt>
                <c:pt idx="1282">
                  <c:v>0.44822981953620911</c:v>
                </c:pt>
                <c:pt idx="1283">
                  <c:v>0.44850924611091614</c:v>
                </c:pt>
                <c:pt idx="1284">
                  <c:v>0.44878891110420227</c:v>
                </c:pt>
                <c:pt idx="1285">
                  <c:v>0.44906798005104065</c:v>
                </c:pt>
                <c:pt idx="1286">
                  <c:v>0.44934836030006409</c:v>
                </c:pt>
                <c:pt idx="1287">
                  <c:v>0.44962754845619202</c:v>
                </c:pt>
                <c:pt idx="1288">
                  <c:v>0.44990637898445129</c:v>
                </c:pt>
                <c:pt idx="1289">
                  <c:v>0.45018556714057922</c:v>
                </c:pt>
                <c:pt idx="1290">
                  <c:v>0.45046451687812805</c:v>
                </c:pt>
                <c:pt idx="1291">
                  <c:v>0.45074358582496643</c:v>
                </c:pt>
                <c:pt idx="1292">
                  <c:v>0.45102229714393616</c:v>
                </c:pt>
                <c:pt idx="1293">
                  <c:v>0.45130100846290588</c:v>
                </c:pt>
                <c:pt idx="1294">
                  <c:v>0.45157983899116516</c:v>
                </c:pt>
                <c:pt idx="1295">
                  <c:v>0.45185807347297668</c:v>
                </c:pt>
                <c:pt idx="1296">
                  <c:v>0.45213678479194641</c:v>
                </c:pt>
                <c:pt idx="1297">
                  <c:v>0.45241490006446838</c:v>
                </c:pt>
                <c:pt idx="1298">
                  <c:v>0.45269289612770081</c:v>
                </c:pt>
                <c:pt idx="1299">
                  <c:v>0.45297136902809143</c:v>
                </c:pt>
                <c:pt idx="1300">
                  <c:v>0.4532497227191925</c:v>
                </c:pt>
                <c:pt idx="1301">
                  <c:v>0.45352724194526672</c:v>
                </c:pt>
                <c:pt idx="1302">
                  <c:v>0.45380595326423645</c:v>
                </c:pt>
                <c:pt idx="1303">
                  <c:v>0.45408359169960022</c:v>
                </c:pt>
                <c:pt idx="1304">
                  <c:v>0.45436111092567444</c:v>
                </c:pt>
                <c:pt idx="1305">
                  <c:v>0.45463910698890686</c:v>
                </c:pt>
                <c:pt idx="1306">
                  <c:v>0.45491626858711243</c:v>
                </c:pt>
                <c:pt idx="1307">
                  <c:v>0.45519354939460754</c:v>
                </c:pt>
                <c:pt idx="1308">
                  <c:v>0.45547083020210266</c:v>
                </c:pt>
                <c:pt idx="1309">
                  <c:v>0.45574799180030823</c:v>
                </c:pt>
                <c:pt idx="1310">
                  <c:v>0.45602503418922424</c:v>
                </c:pt>
                <c:pt idx="1311">
                  <c:v>0.45630183815956116</c:v>
                </c:pt>
                <c:pt idx="1312">
                  <c:v>0.45657876133918762</c:v>
                </c:pt>
                <c:pt idx="1313">
                  <c:v>0.45685556530952454</c:v>
                </c:pt>
                <c:pt idx="1314">
                  <c:v>0.45713213086128235</c:v>
                </c:pt>
                <c:pt idx="1315">
                  <c:v>0.45740929245948792</c:v>
                </c:pt>
                <c:pt idx="1316">
                  <c:v>0.45768514275550842</c:v>
                </c:pt>
                <c:pt idx="1317">
                  <c:v>0.45796123147010803</c:v>
                </c:pt>
                <c:pt idx="1318">
                  <c:v>0.45823767781257629</c:v>
                </c:pt>
                <c:pt idx="1319">
                  <c:v>0.458514004945755</c:v>
                </c:pt>
                <c:pt idx="1320">
                  <c:v>0.45878985524177551</c:v>
                </c:pt>
                <c:pt idx="1321">
                  <c:v>0.45906582474708557</c:v>
                </c:pt>
                <c:pt idx="1322">
                  <c:v>0.45934167504310608</c:v>
                </c:pt>
                <c:pt idx="1323">
                  <c:v>0.45961776375770569</c:v>
                </c:pt>
                <c:pt idx="1324">
                  <c:v>0.45989277958869934</c:v>
                </c:pt>
                <c:pt idx="1325">
                  <c:v>0.46016815304756165</c:v>
                </c:pt>
                <c:pt idx="1326">
                  <c:v>0.46044376492500305</c:v>
                </c:pt>
                <c:pt idx="1327">
                  <c:v>0.46071925759315491</c:v>
                </c:pt>
                <c:pt idx="1328">
                  <c:v>0.46099391579627991</c:v>
                </c:pt>
                <c:pt idx="1329">
                  <c:v>0.46126928925514221</c:v>
                </c:pt>
                <c:pt idx="1330">
                  <c:v>0.46154382824897766</c:v>
                </c:pt>
                <c:pt idx="1331">
                  <c:v>0.46181872487068176</c:v>
                </c:pt>
                <c:pt idx="1332">
                  <c:v>0.46209338307380676</c:v>
                </c:pt>
                <c:pt idx="1333">
                  <c:v>0.46236792206764221</c:v>
                </c:pt>
                <c:pt idx="1334">
                  <c:v>0.46264258027076721</c:v>
                </c:pt>
                <c:pt idx="1335">
                  <c:v>0.46291676163673401</c:v>
                </c:pt>
                <c:pt idx="1336">
                  <c:v>0.46319034695625305</c:v>
                </c:pt>
                <c:pt idx="1337">
                  <c:v>0.46346500515937805</c:v>
                </c:pt>
                <c:pt idx="1338">
                  <c:v>0.46373870968818665</c:v>
                </c:pt>
                <c:pt idx="1339">
                  <c:v>0.46401229500770569</c:v>
                </c:pt>
                <c:pt idx="1340">
                  <c:v>0.46428599953651428</c:v>
                </c:pt>
                <c:pt idx="1341">
                  <c:v>0.46455994248390198</c:v>
                </c:pt>
                <c:pt idx="1342">
                  <c:v>0.46483352780342102</c:v>
                </c:pt>
                <c:pt idx="1343">
                  <c:v>0.46510651707649231</c:v>
                </c:pt>
                <c:pt idx="1344">
                  <c:v>0.4653797447681427</c:v>
                </c:pt>
                <c:pt idx="1345">
                  <c:v>0.46565237641334534</c:v>
                </c:pt>
                <c:pt idx="1346">
                  <c:v>0.46592608094215393</c:v>
                </c:pt>
                <c:pt idx="1347">
                  <c:v>0.46619859337806702</c:v>
                </c:pt>
                <c:pt idx="1348">
                  <c:v>0.46647122502326965</c:v>
                </c:pt>
                <c:pt idx="1349">
                  <c:v>0.46674421429634094</c:v>
                </c:pt>
                <c:pt idx="1350">
                  <c:v>0.46701648831367493</c:v>
                </c:pt>
                <c:pt idx="1351">
                  <c:v>0.46728816628456116</c:v>
                </c:pt>
                <c:pt idx="1352">
                  <c:v>0.46756044030189514</c:v>
                </c:pt>
                <c:pt idx="1353">
                  <c:v>0.46783223748207092</c:v>
                </c:pt>
                <c:pt idx="1354">
                  <c:v>0.46810439229011536</c:v>
                </c:pt>
                <c:pt idx="1355">
                  <c:v>0.46837642788887024</c:v>
                </c:pt>
                <c:pt idx="1356">
                  <c:v>0.46864750981330872</c:v>
                </c:pt>
                <c:pt idx="1357">
                  <c:v>0.46891918778419495</c:v>
                </c:pt>
                <c:pt idx="1358">
                  <c:v>0.46919003129005432</c:v>
                </c:pt>
                <c:pt idx="1359">
                  <c:v>0.4694620668888092</c:v>
                </c:pt>
                <c:pt idx="1360">
                  <c:v>0.46973231434822083</c:v>
                </c:pt>
                <c:pt idx="1361">
                  <c:v>0.4700033962726593</c:v>
                </c:pt>
                <c:pt idx="1362">
                  <c:v>0.47027376294136047</c:v>
                </c:pt>
                <c:pt idx="1363">
                  <c:v>0.4705449640750885</c:v>
                </c:pt>
                <c:pt idx="1364">
                  <c:v>0.47081533074378967</c:v>
                </c:pt>
                <c:pt idx="1365">
                  <c:v>0.47108569741249084</c:v>
                </c:pt>
                <c:pt idx="1366">
                  <c:v>0.47135546803474426</c:v>
                </c:pt>
                <c:pt idx="1367">
                  <c:v>0.47162583470344543</c:v>
                </c:pt>
                <c:pt idx="1368">
                  <c:v>0.4718954861164093</c:v>
                </c:pt>
                <c:pt idx="1369">
                  <c:v>0.47216501832008362</c:v>
                </c:pt>
                <c:pt idx="1370">
                  <c:v>0.47243466973304749</c:v>
                </c:pt>
                <c:pt idx="1371">
                  <c:v>0.47270408272743225</c:v>
                </c:pt>
                <c:pt idx="1372">
                  <c:v>0.47297337651252747</c:v>
                </c:pt>
                <c:pt idx="1373">
                  <c:v>0.47324278950691223</c:v>
                </c:pt>
                <c:pt idx="1374">
                  <c:v>0.47351148724555969</c:v>
                </c:pt>
                <c:pt idx="1375">
                  <c:v>0.4737798273563385</c:v>
                </c:pt>
                <c:pt idx="1376">
                  <c:v>0.47404828667640686</c:v>
                </c:pt>
                <c:pt idx="1377">
                  <c:v>0.47431698441505432</c:v>
                </c:pt>
                <c:pt idx="1378">
                  <c:v>0.47458508610725403</c:v>
                </c:pt>
                <c:pt idx="1379">
                  <c:v>0.47485306859016418</c:v>
                </c:pt>
                <c:pt idx="1380">
                  <c:v>0.47512081265449524</c:v>
                </c:pt>
                <c:pt idx="1381">
                  <c:v>0.47538867592811584</c:v>
                </c:pt>
                <c:pt idx="1382">
                  <c:v>0.4756564199924469</c:v>
                </c:pt>
                <c:pt idx="1383">
                  <c:v>0.47592392563819885</c:v>
                </c:pt>
                <c:pt idx="1384">
                  <c:v>0.47619131207466125</c:v>
                </c:pt>
                <c:pt idx="1385">
                  <c:v>0.4764578640460968</c:v>
                </c:pt>
                <c:pt idx="1386">
                  <c:v>0.47672489285469055</c:v>
                </c:pt>
                <c:pt idx="1387">
                  <c:v>0.47699180245399475</c:v>
                </c:pt>
                <c:pt idx="1388">
                  <c:v>0.4772588312625885</c:v>
                </c:pt>
                <c:pt idx="1389">
                  <c:v>0.47752466797828674</c:v>
                </c:pt>
                <c:pt idx="1390">
                  <c:v>0.47779086232185364</c:v>
                </c:pt>
                <c:pt idx="1391">
                  <c:v>0.47805669903755188</c:v>
                </c:pt>
                <c:pt idx="1392">
                  <c:v>0.47832301259040833</c:v>
                </c:pt>
                <c:pt idx="1393">
                  <c:v>0.47858825325965881</c:v>
                </c:pt>
                <c:pt idx="1394">
                  <c:v>0.47885408997535706</c:v>
                </c:pt>
                <c:pt idx="1395">
                  <c:v>0.47911944985389709</c:v>
                </c:pt>
                <c:pt idx="1396">
                  <c:v>0.47938397526741028</c:v>
                </c:pt>
                <c:pt idx="1397">
                  <c:v>0.47964861989021301</c:v>
                </c:pt>
                <c:pt idx="1398">
                  <c:v>0.47991445660591125</c:v>
                </c:pt>
                <c:pt idx="1399">
                  <c:v>0.48017898201942444</c:v>
                </c:pt>
                <c:pt idx="1400">
                  <c:v>0.48044267296791077</c:v>
                </c:pt>
                <c:pt idx="1401">
                  <c:v>0.4807068407535553</c:v>
                </c:pt>
                <c:pt idx="1402">
                  <c:v>0.48097088932991028</c:v>
                </c:pt>
                <c:pt idx="1403">
                  <c:v>0.4812341034412384</c:v>
                </c:pt>
                <c:pt idx="1404">
                  <c:v>0.48149779438972473</c:v>
                </c:pt>
                <c:pt idx="1405">
                  <c:v>0.48176136612892151</c:v>
                </c:pt>
                <c:pt idx="1406">
                  <c:v>0.48202434182167053</c:v>
                </c:pt>
                <c:pt idx="1407">
                  <c:v>0.48228755593299866</c:v>
                </c:pt>
                <c:pt idx="1408">
                  <c:v>0.48255065083503723</c:v>
                </c:pt>
                <c:pt idx="1409">
                  <c:v>0.48281314969062805</c:v>
                </c:pt>
                <c:pt idx="1410">
                  <c:v>0.48307541012763977</c:v>
                </c:pt>
                <c:pt idx="1411">
                  <c:v>0.48333707451820374</c:v>
                </c:pt>
                <c:pt idx="1412">
                  <c:v>0.48359933495521545</c:v>
                </c:pt>
                <c:pt idx="1413">
                  <c:v>0.48386111855506897</c:v>
                </c:pt>
                <c:pt idx="1414">
                  <c:v>0.48412254452705383</c:v>
                </c:pt>
                <c:pt idx="1415">
                  <c:v>0.48438289761543274</c:v>
                </c:pt>
                <c:pt idx="1416">
                  <c:v>0.48464444279670715</c:v>
                </c:pt>
                <c:pt idx="1417">
                  <c:v>0.48490539193153381</c:v>
                </c:pt>
                <c:pt idx="1418">
                  <c:v>0.48516550660133362</c:v>
                </c:pt>
                <c:pt idx="1419">
                  <c:v>0.48542633652687073</c:v>
                </c:pt>
                <c:pt idx="1420">
                  <c:v>0.48568657040596008</c:v>
                </c:pt>
                <c:pt idx="1421">
                  <c:v>0.48594644665718079</c:v>
                </c:pt>
                <c:pt idx="1422">
                  <c:v>0.48620608448982239</c:v>
                </c:pt>
                <c:pt idx="1423">
                  <c:v>0.48646560311317444</c:v>
                </c:pt>
                <c:pt idx="1424">
                  <c:v>0.48672428727149963</c:v>
                </c:pt>
                <c:pt idx="1425">
                  <c:v>0.48698368668556213</c:v>
                </c:pt>
                <c:pt idx="1426">
                  <c:v>0.48724177479743958</c:v>
                </c:pt>
                <c:pt idx="1427">
                  <c:v>0.48750093579292297</c:v>
                </c:pt>
                <c:pt idx="1428">
                  <c:v>0.48775914311408997</c:v>
                </c:pt>
                <c:pt idx="1429">
                  <c:v>0.48801723122596741</c:v>
                </c:pt>
                <c:pt idx="1430">
                  <c:v>0.4882754385471344</c:v>
                </c:pt>
                <c:pt idx="1431">
                  <c:v>0.48853245377540588</c:v>
                </c:pt>
                <c:pt idx="1432">
                  <c:v>0.48878958821296692</c:v>
                </c:pt>
                <c:pt idx="1433">
                  <c:v>0.4890468418598175</c:v>
                </c:pt>
                <c:pt idx="1434">
                  <c:v>0.48930338025093079</c:v>
                </c:pt>
                <c:pt idx="1435">
                  <c:v>0.48956027626991272</c:v>
                </c:pt>
                <c:pt idx="1436">
                  <c:v>0.4898163378238678</c:v>
                </c:pt>
                <c:pt idx="1437">
                  <c:v>0.49007228016853333</c:v>
                </c:pt>
                <c:pt idx="1438">
                  <c:v>0.4903281033039093</c:v>
                </c:pt>
                <c:pt idx="1439">
                  <c:v>0.49058344960212708</c:v>
                </c:pt>
                <c:pt idx="1440">
                  <c:v>0.4908393919467926</c:v>
                </c:pt>
                <c:pt idx="1441">
                  <c:v>0.49109402298927307</c:v>
                </c:pt>
                <c:pt idx="1442">
                  <c:v>0.49134865403175354</c:v>
                </c:pt>
                <c:pt idx="1443">
                  <c:v>0.49160316586494446</c:v>
                </c:pt>
                <c:pt idx="1444">
                  <c:v>0.49185732007026672</c:v>
                </c:pt>
                <c:pt idx="1445">
                  <c:v>0.49211123585700989</c:v>
                </c:pt>
                <c:pt idx="1446">
                  <c:v>0.4923647940158844</c:v>
                </c:pt>
                <c:pt idx="1447">
                  <c:v>0.49261823296546936</c:v>
                </c:pt>
                <c:pt idx="1448">
                  <c:v>0.49287095665931702</c:v>
                </c:pt>
                <c:pt idx="1449">
                  <c:v>0.49312356114387512</c:v>
                </c:pt>
                <c:pt idx="1450">
                  <c:v>0.49337652325630188</c:v>
                </c:pt>
                <c:pt idx="1451">
                  <c:v>0.49362853169441223</c:v>
                </c:pt>
                <c:pt idx="1452">
                  <c:v>0.49388018250465393</c:v>
                </c:pt>
                <c:pt idx="1453">
                  <c:v>0.49413242936134338</c:v>
                </c:pt>
                <c:pt idx="1454">
                  <c:v>0.49438348412513733</c:v>
                </c:pt>
                <c:pt idx="1455">
                  <c:v>0.49463465809822083</c:v>
                </c:pt>
                <c:pt idx="1456">
                  <c:v>0.49488547444343567</c:v>
                </c:pt>
                <c:pt idx="1457">
                  <c:v>0.49513581395149231</c:v>
                </c:pt>
                <c:pt idx="1458">
                  <c:v>0.4953857958316803</c:v>
                </c:pt>
                <c:pt idx="1459">
                  <c:v>0.49563565850257874</c:v>
                </c:pt>
                <c:pt idx="1460">
                  <c:v>0.49588504433631897</c:v>
                </c:pt>
                <c:pt idx="1461">
                  <c:v>0.49613431096076965</c:v>
                </c:pt>
                <c:pt idx="1462">
                  <c:v>0.49638321995735168</c:v>
                </c:pt>
                <c:pt idx="1463">
                  <c:v>0.49663165211677551</c:v>
                </c:pt>
                <c:pt idx="1464">
                  <c:v>0.49688020348548889</c:v>
                </c:pt>
                <c:pt idx="1465">
                  <c:v>0.49712768197059631</c:v>
                </c:pt>
                <c:pt idx="1466">
                  <c:v>0.49737563729286194</c:v>
                </c:pt>
                <c:pt idx="1467">
                  <c:v>0.49762275815010071</c:v>
                </c:pt>
                <c:pt idx="1468">
                  <c:v>0.49786975979804993</c:v>
                </c:pt>
                <c:pt idx="1469">
                  <c:v>0.49811628460884094</c:v>
                </c:pt>
                <c:pt idx="1470">
                  <c:v>0.49836245179176331</c:v>
                </c:pt>
                <c:pt idx="1471">
                  <c:v>0.49860897660255432</c:v>
                </c:pt>
                <c:pt idx="1472">
                  <c:v>0.49885478615760803</c:v>
                </c:pt>
                <c:pt idx="1473">
                  <c:v>0.49909928441047668</c:v>
                </c:pt>
                <c:pt idx="1474">
                  <c:v>0.4993450939655304</c:v>
                </c:pt>
                <c:pt idx="1475">
                  <c:v>0.4995897114276886</c:v>
                </c:pt>
                <c:pt idx="1476">
                  <c:v>0.49983325600624084</c:v>
                </c:pt>
                <c:pt idx="1477">
                  <c:v>0.50007763504981995</c:v>
                </c:pt>
                <c:pt idx="1478">
                  <c:v>0.50032082200050354</c:v>
                </c:pt>
                <c:pt idx="1479">
                  <c:v>0.50056388974189758</c:v>
                </c:pt>
                <c:pt idx="1480">
                  <c:v>0.50080731511116028</c:v>
                </c:pt>
                <c:pt idx="1481">
                  <c:v>0.50105002522468567</c:v>
                </c:pt>
                <c:pt idx="1482">
                  <c:v>0.5012919008731842</c:v>
                </c:pt>
                <c:pt idx="1483">
                  <c:v>0.50153365731239319</c:v>
                </c:pt>
                <c:pt idx="1484">
                  <c:v>0.50177493691444397</c:v>
                </c:pt>
                <c:pt idx="1485">
                  <c:v>0.502015620470047</c:v>
                </c:pt>
                <c:pt idx="1486">
                  <c:v>0.50225666165351868</c:v>
                </c:pt>
                <c:pt idx="1487">
                  <c:v>0.50249722599983215</c:v>
                </c:pt>
                <c:pt idx="1488">
                  <c:v>0.50273647904396057</c:v>
                </c:pt>
                <c:pt idx="1489">
                  <c:v>0.50297585129737854</c:v>
                </c:pt>
                <c:pt idx="1490">
                  <c:v>0.50321546196937561</c:v>
                </c:pt>
                <c:pt idx="1491">
                  <c:v>0.50345447659492493</c:v>
                </c:pt>
                <c:pt idx="1492">
                  <c:v>0.50369241833686829</c:v>
                </c:pt>
                <c:pt idx="1493">
                  <c:v>0.50393036007881165</c:v>
                </c:pt>
                <c:pt idx="1494">
                  <c:v>0.50416794419288635</c:v>
                </c:pt>
                <c:pt idx="1495">
                  <c:v>0.50440493226051331</c:v>
                </c:pt>
                <c:pt idx="1496">
                  <c:v>0.50464168190956116</c:v>
                </c:pt>
                <c:pt idx="1497">
                  <c:v>0.50487855076789856</c:v>
                </c:pt>
                <c:pt idx="1498">
                  <c:v>0.5051141083240509</c:v>
                </c:pt>
                <c:pt idx="1499">
                  <c:v>0.50534942746162415</c:v>
                </c:pt>
                <c:pt idx="1500">
                  <c:v>0.50558462738990784</c:v>
                </c:pt>
                <c:pt idx="1501">
                  <c:v>0.50581970810890198</c:v>
                </c:pt>
                <c:pt idx="1502">
                  <c:v>0.50605359673500061</c:v>
                </c:pt>
                <c:pt idx="1503">
                  <c:v>0.5062878429889679</c:v>
                </c:pt>
                <c:pt idx="1504">
                  <c:v>0.50652101635932922</c:v>
                </c:pt>
                <c:pt idx="1505">
                  <c:v>0.50675418972969055</c:v>
                </c:pt>
                <c:pt idx="1506">
                  <c:v>0.50698676705360413</c:v>
                </c:pt>
                <c:pt idx="1507">
                  <c:v>0.50721898674964905</c:v>
                </c:pt>
                <c:pt idx="1508">
                  <c:v>0.50745001435279846</c:v>
                </c:pt>
                <c:pt idx="1509">
                  <c:v>0.50768187642097473</c:v>
                </c:pt>
                <c:pt idx="1510">
                  <c:v>0.50791266560554504</c:v>
                </c:pt>
                <c:pt idx="1511">
                  <c:v>0.50814297795295715</c:v>
                </c:pt>
                <c:pt idx="1512">
                  <c:v>0.50837269425392151</c:v>
                </c:pt>
                <c:pt idx="1513">
                  <c:v>0.50860205292701721</c:v>
                </c:pt>
                <c:pt idx="1514">
                  <c:v>0.50883141160011292</c:v>
                </c:pt>
                <c:pt idx="1515">
                  <c:v>0.50905922055244446</c:v>
                </c:pt>
                <c:pt idx="1516">
                  <c:v>0.50928762555122375</c:v>
                </c:pt>
                <c:pt idx="1517">
                  <c:v>0.50951507687568665</c:v>
                </c:pt>
                <c:pt idx="1518">
                  <c:v>0.50974240899085999</c:v>
                </c:pt>
                <c:pt idx="1519">
                  <c:v>0.50996938347816467</c:v>
                </c:pt>
                <c:pt idx="1520">
                  <c:v>0.51019492745399475</c:v>
                </c:pt>
                <c:pt idx="1521">
                  <c:v>0.51042082905769348</c:v>
                </c:pt>
                <c:pt idx="1522">
                  <c:v>0.51064541935920715</c:v>
                </c:pt>
                <c:pt idx="1523">
                  <c:v>0.51087072491645813</c:v>
                </c:pt>
                <c:pt idx="1524">
                  <c:v>0.51109471917152405</c:v>
                </c:pt>
                <c:pt idx="1525">
                  <c:v>0.51131835579872131</c:v>
                </c:pt>
                <c:pt idx="1526">
                  <c:v>0.51154127717018127</c:v>
                </c:pt>
                <c:pt idx="1527">
                  <c:v>0.51176407933235168</c:v>
                </c:pt>
                <c:pt idx="1528">
                  <c:v>0.51198628544807434</c:v>
                </c:pt>
                <c:pt idx="1529">
                  <c:v>0.5122087299823761</c:v>
                </c:pt>
                <c:pt idx="1530">
                  <c:v>0.51242938637733459</c:v>
                </c:pt>
                <c:pt idx="1531">
                  <c:v>0.51264968514442444</c:v>
                </c:pt>
                <c:pt idx="1532">
                  <c:v>0.51286998391151428</c:v>
                </c:pt>
                <c:pt idx="1533">
                  <c:v>0.51308968663215637</c:v>
                </c:pt>
                <c:pt idx="1534">
                  <c:v>0.51330879330635071</c:v>
                </c:pt>
                <c:pt idx="1535">
                  <c:v>0.51352742314338684</c:v>
                </c:pt>
                <c:pt idx="1536">
                  <c:v>0.51374545693397522</c:v>
                </c:pt>
                <c:pt idx="1537">
                  <c:v>0.51396265625953674</c:v>
                </c:pt>
                <c:pt idx="1538">
                  <c:v>0.51417937874794006</c:v>
                </c:pt>
                <c:pt idx="1539">
                  <c:v>0.51439574360847473</c:v>
                </c:pt>
                <c:pt idx="1540">
                  <c:v>0.51461127400398254</c:v>
                </c:pt>
                <c:pt idx="1541">
                  <c:v>0.51482751965522766</c:v>
                </c:pt>
                <c:pt idx="1542">
                  <c:v>0.51504150032997131</c:v>
                </c:pt>
                <c:pt idx="1543">
                  <c:v>0.51525560021400452</c:v>
                </c:pt>
                <c:pt idx="1544">
                  <c:v>0.51546898484230042</c:v>
                </c:pt>
                <c:pt idx="1545">
                  <c:v>0.51568225026130676</c:v>
                </c:pt>
                <c:pt idx="1546">
                  <c:v>0.51589491963386536</c:v>
                </c:pt>
                <c:pt idx="1547">
                  <c:v>0.51610615849494934</c:v>
                </c:pt>
                <c:pt idx="1548">
                  <c:v>0.51631775498390198</c:v>
                </c:pt>
                <c:pt idx="1549">
                  <c:v>0.51652804017066956</c:v>
                </c:pt>
                <c:pt idx="1550">
                  <c:v>0.51673832535743713</c:v>
                </c:pt>
                <c:pt idx="1551">
                  <c:v>0.51694777607917786</c:v>
                </c:pt>
                <c:pt idx="1552">
                  <c:v>0.51715639233589172</c:v>
                </c:pt>
                <c:pt idx="1553">
                  <c:v>0.51736477017402649</c:v>
                </c:pt>
                <c:pt idx="1554">
                  <c:v>0.5175723135471344</c:v>
                </c:pt>
                <c:pt idx="1555">
                  <c:v>0.51777902245521545</c:v>
                </c:pt>
                <c:pt idx="1556">
                  <c:v>0.51798596978187561</c:v>
                </c:pt>
                <c:pt idx="1557">
                  <c:v>0.51819136738777161</c:v>
                </c:pt>
                <c:pt idx="1558">
                  <c:v>0.51839640736579895</c:v>
                </c:pt>
                <c:pt idx="1559">
                  <c:v>0.51860097050666809</c:v>
                </c:pt>
                <c:pt idx="1560">
                  <c:v>0.51880469918251038</c:v>
                </c:pt>
                <c:pt idx="1561">
                  <c:v>0.51900759339332581</c:v>
                </c:pt>
                <c:pt idx="1562">
                  <c:v>0.51921096444129944</c:v>
                </c:pt>
                <c:pt idx="1563">
                  <c:v>0.51941278576850891</c:v>
                </c:pt>
                <c:pt idx="1564">
                  <c:v>0.51961448788642883</c:v>
                </c:pt>
                <c:pt idx="1565">
                  <c:v>0.51981452107429504</c:v>
                </c:pt>
                <c:pt idx="1566">
                  <c:v>0.5200144350528717</c:v>
                </c:pt>
                <c:pt idx="1567">
                  <c:v>0.52021375298500061</c:v>
                </c:pt>
                <c:pt idx="1568">
                  <c:v>0.52041259407997131</c:v>
                </c:pt>
                <c:pt idx="1569">
                  <c:v>0.52061012387275696</c:v>
                </c:pt>
                <c:pt idx="1570">
                  <c:v>0.52080753445625305</c:v>
                </c:pt>
                <c:pt idx="1571">
                  <c:v>0.52100422978401184</c:v>
                </c:pt>
                <c:pt idx="1572">
                  <c:v>0.52120009064674377</c:v>
                </c:pt>
                <c:pt idx="1573">
                  <c:v>0.52139559388160706</c:v>
                </c:pt>
                <c:pt idx="1574">
                  <c:v>0.52159014344215393</c:v>
                </c:pt>
                <c:pt idx="1575">
                  <c:v>0.52178409695625305</c:v>
                </c:pt>
                <c:pt idx="1576">
                  <c:v>0.52197673916816711</c:v>
                </c:pt>
                <c:pt idx="1577">
                  <c:v>0.52216914296150208</c:v>
                </c:pt>
                <c:pt idx="1578">
                  <c:v>0.52236047387123108</c:v>
                </c:pt>
                <c:pt idx="1579">
                  <c:v>0.52255168557167053</c:v>
                </c:pt>
                <c:pt idx="1580">
                  <c:v>0.52274194359779358</c:v>
                </c:pt>
                <c:pt idx="1581">
                  <c:v>0.52293160557746887</c:v>
                </c:pt>
                <c:pt idx="1582">
                  <c:v>0.52312043309211731</c:v>
                </c:pt>
                <c:pt idx="1583">
                  <c:v>0.52330830693244934</c:v>
                </c:pt>
                <c:pt idx="1584">
                  <c:v>0.52349558472633362</c:v>
                </c:pt>
                <c:pt idx="1585">
                  <c:v>0.52368202805519104</c:v>
                </c:pt>
                <c:pt idx="1586">
                  <c:v>0.52386799454689026</c:v>
                </c:pt>
                <c:pt idx="1587">
                  <c:v>0.52405264973640442</c:v>
                </c:pt>
                <c:pt idx="1588">
                  <c:v>0.52423647046089172</c:v>
                </c:pt>
                <c:pt idx="1589">
                  <c:v>0.52442076802253723</c:v>
                </c:pt>
                <c:pt idx="1590">
                  <c:v>0.52460351586341858</c:v>
                </c:pt>
                <c:pt idx="1591">
                  <c:v>0.52478471398353577</c:v>
                </c:pt>
                <c:pt idx="1592">
                  <c:v>0.52496638894081116</c:v>
                </c:pt>
                <c:pt idx="1593">
                  <c:v>0.52514651417732239</c:v>
                </c:pt>
                <c:pt idx="1594">
                  <c:v>0.52532580494880676</c:v>
                </c:pt>
                <c:pt idx="1595">
                  <c:v>0.52550509572029114</c:v>
                </c:pt>
                <c:pt idx="1596">
                  <c:v>0.52568259835243225</c:v>
                </c:pt>
                <c:pt idx="1597">
                  <c:v>0.52586022019386292</c:v>
                </c:pt>
                <c:pt idx="1598">
                  <c:v>0.52603593468666077</c:v>
                </c:pt>
                <c:pt idx="1599">
                  <c:v>0.52621105313301086</c:v>
                </c:pt>
                <c:pt idx="1600">
                  <c:v>0.52638652920722961</c:v>
                </c:pt>
                <c:pt idx="1601">
                  <c:v>0.52656009793281555</c:v>
                </c:pt>
                <c:pt idx="1602">
                  <c:v>0.52673307061195374</c:v>
                </c:pt>
                <c:pt idx="1603">
                  <c:v>0.52690520882606506</c:v>
                </c:pt>
                <c:pt idx="1604">
                  <c:v>0.52707663178443909</c:v>
                </c:pt>
                <c:pt idx="1605">
                  <c:v>0.52724698185920715</c:v>
                </c:pt>
                <c:pt idx="1606">
                  <c:v>0.52741625905036926</c:v>
                </c:pt>
                <c:pt idx="1607">
                  <c:v>0.52758529782295227</c:v>
                </c:pt>
                <c:pt idx="1608">
                  <c:v>0.52775278687477112</c:v>
                </c:pt>
                <c:pt idx="1609">
                  <c:v>0.52791967988014221</c:v>
                </c:pt>
                <c:pt idx="1610">
                  <c:v>0.5280860960483551</c:v>
                </c:pt>
                <c:pt idx="1611">
                  <c:v>0.52825143933296204</c:v>
                </c:pt>
                <c:pt idx="1612">
                  <c:v>0.52841547131538391</c:v>
                </c:pt>
                <c:pt idx="1613">
                  <c:v>0.52857902646064758</c:v>
                </c:pt>
                <c:pt idx="1614">
                  <c:v>0.5287412703037262</c:v>
                </c:pt>
                <c:pt idx="1615">
                  <c:v>0.52890267968177795</c:v>
                </c:pt>
                <c:pt idx="1616">
                  <c:v>0.52906361222267151</c:v>
                </c:pt>
                <c:pt idx="1617">
                  <c:v>0.52922323346138</c:v>
                </c:pt>
                <c:pt idx="1618">
                  <c:v>0.52938178181648254</c:v>
                </c:pt>
                <c:pt idx="1619">
                  <c:v>0.52953961491584778</c:v>
                </c:pt>
                <c:pt idx="1620">
                  <c:v>0.52969685196876526</c:v>
                </c:pt>
                <c:pt idx="1621">
                  <c:v>0.52985277771949768</c:v>
                </c:pt>
                <c:pt idx="1622">
                  <c:v>0.5300077497959137</c:v>
                </c:pt>
                <c:pt idx="1623">
                  <c:v>0.53016188740730286</c:v>
                </c:pt>
                <c:pt idx="1624">
                  <c:v>0.53031471371650696</c:v>
                </c:pt>
                <c:pt idx="1625">
                  <c:v>0.53046634793281555</c:v>
                </c:pt>
                <c:pt idx="1626">
                  <c:v>0.5306181013584137</c:v>
                </c:pt>
                <c:pt idx="1627">
                  <c:v>0.53076878190040588</c:v>
                </c:pt>
                <c:pt idx="1628">
                  <c:v>0.53091779351234436</c:v>
                </c:pt>
                <c:pt idx="1629">
                  <c:v>0.53106549382209778</c:v>
                </c:pt>
                <c:pt idx="1630">
                  <c:v>0.53121307492256165</c:v>
                </c:pt>
                <c:pt idx="1631">
                  <c:v>0.5313592255115509</c:v>
                </c:pt>
                <c:pt idx="1632">
                  <c:v>0.5315043032169342</c:v>
                </c:pt>
                <c:pt idx="1633">
                  <c:v>0.53164806962013245</c:v>
                </c:pt>
                <c:pt idx="1634">
                  <c:v>0.53179207444190979</c:v>
                </c:pt>
                <c:pt idx="1635">
                  <c:v>0.53193333745002747</c:v>
                </c:pt>
                <c:pt idx="1636">
                  <c:v>0.53207495808601379</c:v>
                </c:pt>
                <c:pt idx="1637">
                  <c:v>0.53221490979194641</c:v>
                </c:pt>
                <c:pt idx="1638">
                  <c:v>0.53235402703285217</c:v>
                </c:pt>
                <c:pt idx="1639">
                  <c:v>0.53249135613441467</c:v>
                </c:pt>
                <c:pt idx="1640">
                  <c:v>0.53262892365455627</c:v>
                </c:pt>
                <c:pt idx="1641">
                  <c:v>0.53276398777961731</c:v>
                </c:pt>
                <c:pt idx="1642">
                  <c:v>0.5328991711139679</c:v>
                </c:pt>
                <c:pt idx="1643">
                  <c:v>0.53303268551826477</c:v>
                </c:pt>
                <c:pt idx="1644">
                  <c:v>0.53316512703895569</c:v>
                </c:pt>
                <c:pt idx="1645">
                  <c:v>0.53329649567604065</c:v>
                </c:pt>
                <c:pt idx="1646">
                  <c:v>0.5334266722202301</c:v>
                </c:pt>
                <c:pt idx="1647">
                  <c:v>0.5335562527179718</c:v>
                </c:pt>
                <c:pt idx="1648">
                  <c:v>0.53368404507637024</c:v>
                </c:pt>
                <c:pt idx="1649">
                  <c:v>0.53381112217903137</c:v>
                </c:pt>
                <c:pt idx="1650">
                  <c:v>0.53393688797950745</c:v>
                </c:pt>
                <c:pt idx="1651">
                  <c:v>0.53406181931495667</c:v>
                </c:pt>
                <c:pt idx="1652">
                  <c:v>0.53418508172035217</c:v>
                </c:pt>
                <c:pt idx="1653">
                  <c:v>0.53430798649787903</c:v>
                </c:pt>
                <c:pt idx="1654">
                  <c:v>0.53442910313606262</c:v>
                </c:pt>
                <c:pt idx="1655">
                  <c:v>0.53454962372779846</c:v>
                </c:pt>
                <c:pt idx="1656">
                  <c:v>0.53466787934303284</c:v>
                </c:pt>
                <c:pt idx="1657">
                  <c:v>0.53478613495826721</c:v>
                </c:pt>
                <c:pt idx="1658">
                  <c:v>0.53490188717842102</c:v>
                </c:pt>
                <c:pt idx="1659">
                  <c:v>0.53501752018928528</c:v>
                </c:pt>
                <c:pt idx="1660">
                  <c:v>0.53513219952583313</c:v>
                </c:pt>
                <c:pt idx="1661">
                  <c:v>0.53524509072303772</c:v>
                </c:pt>
                <c:pt idx="1662">
                  <c:v>0.53535690903663635</c:v>
                </c:pt>
                <c:pt idx="1663">
                  <c:v>0.53546753525733948</c:v>
                </c:pt>
                <c:pt idx="1664">
                  <c:v>0.53557685017585754</c:v>
                </c:pt>
                <c:pt idx="1665">
                  <c:v>0.53568413853645325</c:v>
                </c:pt>
                <c:pt idx="1666">
                  <c:v>0.53579142689704895</c:v>
                </c:pt>
                <c:pt idx="1667">
                  <c:v>0.53589692711830139</c:v>
                </c:pt>
                <c:pt idx="1668">
                  <c:v>0.53600111603736877</c:v>
                </c:pt>
                <c:pt idx="1669">
                  <c:v>0.53610482811927795</c:v>
                </c:pt>
                <c:pt idx="1670">
                  <c:v>0.53620603680610657</c:v>
                </c:pt>
                <c:pt idx="1671">
                  <c:v>0.53630664944648743</c:v>
                </c:pt>
                <c:pt idx="1672">
                  <c:v>0.53640583157539368</c:v>
                </c:pt>
                <c:pt idx="1673">
                  <c:v>0.53650417923927307</c:v>
                </c:pt>
                <c:pt idx="1674">
                  <c:v>0.5366007387638092</c:v>
                </c:pt>
                <c:pt idx="1675">
                  <c:v>0.53669562935829163</c:v>
                </c:pt>
                <c:pt idx="1676">
                  <c:v>0.5367904007434845</c:v>
                </c:pt>
                <c:pt idx="1677">
                  <c:v>0.5368824303150177</c:v>
                </c:pt>
                <c:pt idx="1678">
                  <c:v>0.5369744598865509</c:v>
                </c:pt>
                <c:pt idx="1679">
                  <c:v>0.53706398606300354</c:v>
                </c:pt>
                <c:pt idx="1680">
                  <c:v>0.53715291619300842</c:v>
                </c:pt>
                <c:pt idx="1681">
                  <c:v>0.5372404158115387</c:v>
                </c:pt>
                <c:pt idx="1682">
                  <c:v>0.5373256504535675</c:v>
                </c:pt>
                <c:pt idx="1683">
                  <c:v>0.53741052746772766</c:v>
                </c:pt>
                <c:pt idx="1684">
                  <c:v>0.537493497133255</c:v>
                </c:pt>
                <c:pt idx="1685">
                  <c:v>0.5375763475894928</c:v>
                </c:pt>
                <c:pt idx="1686">
                  <c:v>0.53765597939491272</c:v>
                </c:pt>
                <c:pt idx="1687">
                  <c:v>0.53773513436317444</c:v>
                </c:pt>
                <c:pt idx="1688">
                  <c:v>0.537812739610672</c:v>
                </c:pt>
                <c:pt idx="1689">
                  <c:v>0.5378887951374054</c:v>
                </c:pt>
                <c:pt idx="1690">
                  <c:v>0.53796389698982239</c:v>
                </c:pt>
                <c:pt idx="1691">
                  <c:v>0.53803721070289612</c:v>
                </c:pt>
                <c:pt idx="1692">
                  <c:v>0.53810921311378479</c:v>
                </c:pt>
                <c:pt idx="1693">
                  <c:v>0.53817954659461975</c:v>
                </c:pt>
                <c:pt idx="1694">
                  <c:v>0.53824880719184875</c:v>
                </c:pt>
                <c:pt idx="1695">
                  <c:v>0.5383162796497345</c:v>
                </c:pt>
                <c:pt idx="1696">
                  <c:v>0.53838208317756653</c:v>
                </c:pt>
                <c:pt idx="1697">
                  <c:v>0.5384465754032135</c:v>
                </c:pt>
                <c:pt idx="1698">
                  <c:v>0.53851047158241272</c:v>
                </c:pt>
                <c:pt idx="1699">
                  <c:v>0.53857174515724182</c:v>
                </c:pt>
                <c:pt idx="1700">
                  <c:v>0.53863099217414856</c:v>
                </c:pt>
                <c:pt idx="1701">
                  <c:v>0.53869035840034485</c:v>
                </c:pt>
                <c:pt idx="1702">
                  <c:v>0.53874710202217102</c:v>
                </c:pt>
                <c:pt idx="1703">
                  <c:v>0.53880229592323303</c:v>
                </c:pt>
                <c:pt idx="1704">
                  <c:v>0.53885617852210999</c:v>
                </c:pt>
                <c:pt idx="1705">
                  <c:v>0.53890934586524963</c:v>
                </c:pt>
                <c:pt idx="1706">
                  <c:v>0.53895977139472961</c:v>
                </c:pt>
                <c:pt idx="1707">
                  <c:v>0.53900912404060364</c:v>
                </c:pt>
                <c:pt idx="1708">
                  <c:v>0.53905704617500305</c:v>
                </c:pt>
                <c:pt idx="1709">
                  <c:v>0.5391031801700592</c:v>
                </c:pt>
                <c:pt idx="1710">
                  <c:v>0.53914752602577209</c:v>
                </c:pt>
                <c:pt idx="1711">
                  <c:v>0.53919091820716858</c:v>
                </c:pt>
                <c:pt idx="1712">
                  <c:v>0.5392318069934845</c:v>
                </c:pt>
                <c:pt idx="1713">
                  <c:v>0.53927162289619446</c:v>
                </c:pt>
                <c:pt idx="1714">
                  <c:v>0.53930953145027161</c:v>
                </c:pt>
                <c:pt idx="1715">
                  <c:v>0.53934589028358459</c:v>
                </c:pt>
                <c:pt idx="1716">
                  <c:v>0.53938141465187073</c:v>
                </c:pt>
                <c:pt idx="1717">
                  <c:v>0.53941431641578674</c:v>
                </c:pt>
                <c:pt idx="1718">
                  <c:v>0.5394456684589386</c:v>
                </c:pt>
                <c:pt idx="1719">
                  <c:v>0.53947523236274719</c:v>
                </c:pt>
                <c:pt idx="1720">
                  <c:v>0.53950384259223938</c:v>
                </c:pt>
                <c:pt idx="1721">
                  <c:v>0.539529949426651</c:v>
                </c:pt>
                <c:pt idx="1722">
                  <c:v>0.53955450654029846</c:v>
                </c:pt>
                <c:pt idx="1723">
                  <c:v>0.53957787156105042</c:v>
                </c:pt>
                <c:pt idx="1724">
                  <c:v>0.5395984947681427</c:v>
                </c:pt>
                <c:pt idx="1725">
                  <c:v>0.53961852192878723</c:v>
                </c:pt>
                <c:pt idx="1726">
                  <c:v>0.53963640332221985</c:v>
                </c:pt>
                <c:pt idx="1727">
                  <c:v>0.53965273499488831</c:v>
                </c:pt>
                <c:pt idx="1728">
                  <c:v>0.5396665632724762</c:v>
                </c:pt>
                <c:pt idx="1729">
                  <c:v>0.53967967629432678</c:v>
                </c:pt>
                <c:pt idx="1730">
                  <c:v>0.539690762758255</c:v>
                </c:pt>
                <c:pt idx="1731">
                  <c:v>0.53969958424568176</c:v>
                </c:pt>
                <c:pt idx="1732">
                  <c:v>0.53970673680305481</c:v>
                </c:pt>
                <c:pt idx="1733">
                  <c:v>0.53971162438392639</c:v>
                </c:pt>
                <c:pt idx="1734">
                  <c:v>0.53971543908119202</c:v>
                </c:pt>
                <c:pt idx="1735">
                  <c:v>0.53971782326698303</c:v>
                </c:pt>
                <c:pt idx="1736">
                  <c:v>0.53971698880195618</c:v>
                </c:pt>
                <c:pt idx="1737">
                  <c:v>0.53971531987190247</c:v>
                </c:pt>
                <c:pt idx="1738">
                  <c:v>0.53971150517463684</c:v>
                </c:pt>
                <c:pt idx="1739">
                  <c:v>0.53970566391944885</c:v>
                </c:pt>
                <c:pt idx="1740">
                  <c:v>0.53969851136207581</c:v>
                </c:pt>
                <c:pt idx="1741">
                  <c:v>0.53968873620033264</c:v>
                </c:pt>
                <c:pt idx="1742">
                  <c:v>0.53967788815498352</c:v>
                </c:pt>
                <c:pt idx="1743">
                  <c:v>0.53966477513313293</c:v>
                </c:pt>
                <c:pt idx="1744">
                  <c:v>0.53964975476264954</c:v>
                </c:pt>
                <c:pt idx="1745">
                  <c:v>0.53963199257850647</c:v>
                </c:pt>
                <c:pt idx="1746">
                  <c:v>0.53961339592933655</c:v>
                </c:pt>
                <c:pt idx="1747">
                  <c:v>0.53959336876869202</c:v>
                </c:pt>
                <c:pt idx="1748">
                  <c:v>0.53956988453865051</c:v>
                </c:pt>
                <c:pt idx="1749">
                  <c:v>0.53954485058784485</c:v>
                </c:pt>
                <c:pt idx="1750">
                  <c:v>0.53951814770698547</c:v>
                </c:pt>
                <c:pt idx="1751">
                  <c:v>0.53948917984962463</c:v>
                </c:pt>
                <c:pt idx="1752">
                  <c:v>0.53945913910865784</c:v>
                </c:pt>
                <c:pt idx="1753">
                  <c:v>0.53942576050758362</c:v>
                </c:pt>
                <c:pt idx="1754">
                  <c:v>0.53939083218574524</c:v>
                </c:pt>
                <c:pt idx="1755">
                  <c:v>0.5393548309803009</c:v>
                </c:pt>
                <c:pt idx="1756">
                  <c:v>0.53931596875190735</c:v>
                </c:pt>
                <c:pt idx="1757">
                  <c:v>0.53927484154701233</c:v>
                </c:pt>
                <c:pt idx="1758">
                  <c:v>0.53923168778419495</c:v>
                </c:pt>
                <c:pt idx="1759">
                  <c:v>0.53918686509132385</c:v>
                </c:pt>
                <c:pt idx="1760">
                  <c:v>0.53913977742195129</c:v>
                </c:pt>
                <c:pt idx="1761">
                  <c:v>0.53909066319465637</c:v>
                </c:pt>
                <c:pt idx="1762">
                  <c:v>0.53903964161872864</c:v>
                </c:pt>
                <c:pt idx="1763">
                  <c:v>0.53898587822914124</c:v>
                </c:pt>
                <c:pt idx="1764">
                  <c:v>0.53893056511878967</c:v>
                </c:pt>
                <c:pt idx="1765">
                  <c:v>0.5388731062412262</c:v>
                </c:pt>
                <c:pt idx="1766">
                  <c:v>0.53881314396858215</c:v>
                </c:pt>
                <c:pt idx="1767">
                  <c:v>0.53875139355659485</c:v>
                </c:pt>
                <c:pt idx="1768">
                  <c:v>0.53868773579597473</c:v>
                </c:pt>
                <c:pt idx="1769">
                  <c:v>0.53862038254737854</c:v>
                </c:pt>
                <c:pt idx="1770">
                  <c:v>0.53855243325233459</c:v>
                </c:pt>
                <c:pt idx="1771">
                  <c:v>0.53848162293434143</c:v>
                </c:pt>
                <c:pt idx="1772">
                  <c:v>0.5384087860584259</c:v>
                </c:pt>
                <c:pt idx="1773">
                  <c:v>0.53833368420600891</c:v>
                </c:pt>
                <c:pt idx="1774">
                  <c:v>0.5382561981678009</c:v>
                </c:pt>
                <c:pt idx="1775">
                  <c:v>0.53817716240882874</c:v>
                </c:pt>
                <c:pt idx="1776">
                  <c:v>0.5380953848361969</c:v>
                </c:pt>
                <c:pt idx="1777">
                  <c:v>0.53801122307777405</c:v>
                </c:pt>
                <c:pt idx="1778">
                  <c:v>0.53792455792427063</c:v>
                </c:pt>
                <c:pt idx="1779">
                  <c:v>0.53783586621284485</c:v>
                </c:pt>
                <c:pt idx="1780">
                  <c:v>0.53774550557136536</c:v>
                </c:pt>
                <c:pt idx="1781">
                  <c:v>0.53765121102333069</c:v>
                </c:pt>
                <c:pt idx="1782">
                  <c:v>0.53755584359169006</c:v>
                </c:pt>
                <c:pt idx="1783">
                  <c:v>0.53745856881141663</c:v>
                </c:pt>
                <c:pt idx="1784">
                  <c:v>0.53735831379890442</c:v>
                </c:pt>
                <c:pt idx="1785">
                  <c:v>0.53725531697273254</c:v>
                </c:pt>
                <c:pt idx="1786">
                  <c:v>0.53715041279792786</c:v>
                </c:pt>
                <c:pt idx="1787">
                  <c:v>0.5370430052280426</c:v>
                </c:pt>
                <c:pt idx="1788">
                  <c:v>0.53693333268165588</c:v>
                </c:pt>
                <c:pt idx="1789">
                  <c:v>0.53682103753089905</c:v>
                </c:pt>
                <c:pt idx="1790">
                  <c:v>0.53670695424079895</c:v>
                </c:pt>
                <c:pt idx="1791">
                  <c:v>0.53658941388130188</c:v>
                </c:pt>
                <c:pt idx="1792">
                  <c:v>0.5364697277545929</c:v>
                </c:pt>
                <c:pt idx="1793">
                  <c:v>0.53634777665138245</c:v>
                </c:pt>
                <c:pt idx="1794">
                  <c:v>0.53622403740882874</c:v>
                </c:pt>
                <c:pt idx="1795">
                  <c:v>0.53609743714332581</c:v>
                </c:pt>
                <c:pt idx="1796">
                  <c:v>0.5359673798084259</c:v>
                </c:pt>
                <c:pt idx="1797">
                  <c:v>0.53583553433418274</c:v>
                </c:pt>
                <c:pt idx="1798">
                  <c:v>0.53570154309272766</c:v>
                </c:pt>
                <c:pt idx="1799">
                  <c:v>0.53556457161903381</c:v>
                </c:pt>
                <c:pt idx="1800">
                  <c:v>0.5354246199131012</c:v>
                </c:pt>
                <c:pt idx="1801">
                  <c:v>0.53528299927711487</c:v>
                </c:pt>
                <c:pt idx="1802">
                  <c:v>0.53513815999031067</c:v>
                </c:pt>
                <c:pt idx="1803">
                  <c:v>0.53499177098274231</c:v>
                </c:pt>
                <c:pt idx="1804">
                  <c:v>0.53484132885932922</c:v>
                </c:pt>
                <c:pt idx="1805">
                  <c:v>0.53469005227088928</c:v>
                </c:pt>
                <c:pt idx="1806">
                  <c:v>0.53453460335731506</c:v>
                </c:pt>
                <c:pt idx="1807">
                  <c:v>0.53437700867652893</c:v>
                </c:pt>
                <c:pt idx="1808">
                  <c:v>0.53421691060066223</c:v>
                </c:pt>
                <c:pt idx="1809">
                  <c:v>0.53405383229255676</c:v>
                </c:pt>
                <c:pt idx="1810">
                  <c:v>0.53388836979866028</c:v>
                </c:pt>
                <c:pt idx="1811">
                  <c:v>0.53372064232826233</c:v>
                </c:pt>
                <c:pt idx="1812">
                  <c:v>0.5335489809513092</c:v>
                </c:pt>
                <c:pt idx="1813">
                  <c:v>0.53337612748146057</c:v>
                </c:pt>
                <c:pt idx="1814">
                  <c:v>0.53319957852363586</c:v>
                </c:pt>
                <c:pt idx="1815">
                  <c:v>0.53302076458930969</c:v>
                </c:pt>
                <c:pt idx="1816">
                  <c:v>0.5328388512134552</c:v>
                </c:pt>
                <c:pt idx="1817">
                  <c:v>0.53265443444252014</c:v>
                </c:pt>
                <c:pt idx="1818">
                  <c:v>0.53246703743934631</c:v>
                </c:pt>
                <c:pt idx="1819">
                  <c:v>0.53227677941322327</c:v>
                </c:pt>
                <c:pt idx="1820">
                  <c:v>0.53208354115486145</c:v>
                </c:pt>
                <c:pt idx="1821">
                  <c:v>0.53188827633857727</c:v>
                </c:pt>
                <c:pt idx="1822">
                  <c:v>0.53168967366218567</c:v>
                </c:pt>
                <c:pt idx="1823">
                  <c:v>0.5314883291721344</c:v>
                </c:pt>
                <c:pt idx="1824">
                  <c:v>0.53128424286842346</c:v>
                </c:pt>
                <c:pt idx="1825">
                  <c:v>0.53107729554176331</c:v>
                </c:pt>
                <c:pt idx="1826">
                  <c:v>0.53086712956428528</c:v>
                </c:pt>
                <c:pt idx="1827">
                  <c:v>0.53065469861030579</c:v>
                </c:pt>
                <c:pt idx="1828">
                  <c:v>0.53043892979621887</c:v>
                </c:pt>
                <c:pt idx="1829">
                  <c:v>0.53022018074989319</c:v>
                </c:pt>
                <c:pt idx="1830">
                  <c:v>0.52999868988990784</c:v>
                </c:pt>
                <c:pt idx="1831">
                  <c:v>0.52977481484413147</c:v>
                </c:pt>
                <c:pt idx="1832">
                  <c:v>0.52954676747322083</c:v>
                </c:pt>
                <c:pt idx="1833">
                  <c:v>0.52931621670722961</c:v>
                </c:pt>
                <c:pt idx="1834">
                  <c:v>0.52908280491828918</c:v>
                </c:pt>
                <c:pt idx="1835">
                  <c:v>0.52884617447853088</c:v>
                </c:pt>
                <c:pt idx="1836">
                  <c:v>0.52860632538795471</c:v>
                </c:pt>
                <c:pt idx="1837">
                  <c:v>0.52836361527442932</c:v>
                </c:pt>
                <c:pt idx="1838">
                  <c:v>0.52811792492866516</c:v>
                </c:pt>
                <c:pt idx="1839">
                  <c:v>0.52786973118782043</c:v>
                </c:pt>
                <c:pt idx="1840">
                  <c:v>0.52761843800544739</c:v>
                </c:pt>
                <c:pt idx="1841">
                  <c:v>0.52736368775367737</c:v>
                </c:pt>
                <c:pt idx="1842">
                  <c:v>0.52710619568824768</c:v>
                </c:pt>
                <c:pt idx="1843">
                  <c:v>0.52684465050697327</c:v>
                </c:pt>
                <c:pt idx="1844">
                  <c:v>0.52658084034919739</c:v>
                </c:pt>
                <c:pt idx="1845">
                  <c:v>0.52631381154060364</c:v>
                </c:pt>
                <c:pt idx="1846">
                  <c:v>0.52604296803474426</c:v>
                </c:pt>
                <c:pt idx="1847">
                  <c:v>0.52576962113380432</c:v>
                </c:pt>
                <c:pt idx="1848">
                  <c:v>0.52549281716346741</c:v>
                </c:pt>
                <c:pt idx="1849">
                  <c:v>0.52521291375160217</c:v>
                </c:pt>
                <c:pt idx="1850">
                  <c:v>0.52492979168891907</c:v>
                </c:pt>
                <c:pt idx="1851">
                  <c:v>0.52464368939399719</c:v>
                </c:pt>
                <c:pt idx="1852">
                  <c:v>0.52435377240180969</c:v>
                </c:pt>
                <c:pt idx="1853">
                  <c:v>0.52406087517738342</c:v>
                </c:pt>
                <c:pt idx="1854">
                  <c:v>0.52376475930213928</c:v>
                </c:pt>
                <c:pt idx="1855">
                  <c:v>0.52346530556678772</c:v>
                </c:pt>
                <c:pt idx="1856">
                  <c:v>0.52316239476203918</c:v>
                </c:pt>
                <c:pt idx="1857">
                  <c:v>0.52285626530647278</c:v>
                </c:pt>
                <c:pt idx="1858">
                  <c:v>0.52254679799079895</c:v>
                </c:pt>
                <c:pt idx="1859">
                  <c:v>0.52223387360572815</c:v>
                </c:pt>
                <c:pt idx="1860">
                  <c:v>0.52191749215126038</c:v>
                </c:pt>
                <c:pt idx="1861">
                  <c:v>0.52159824967384338</c:v>
                </c:pt>
                <c:pt idx="1862">
                  <c:v>0.52127531170845032</c:v>
                </c:pt>
                <c:pt idx="1863">
                  <c:v>0.52094867825508118</c:v>
                </c:pt>
                <c:pt idx="1864">
                  <c:v>0.52061870694160461</c:v>
                </c:pt>
                <c:pt idx="1865">
                  <c:v>0.52028599381446838</c:v>
                </c:pt>
                <c:pt idx="1866">
                  <c:v>0.51994958519935608</c:v>
                </c:pt>
                <c:pt idx="1867">
                  <c:v>0.51960912346839905</c:v>
                </c:pt>
                <c:pt idx="1868">
                  <c:v>0.51926520466804504</c:v>
                </c:pt>
                <c:pt idx="1869">
                  <c:v>0.51891854405403137</c:v>
                </c:pt>
                <c:pt idx="1870">
                  <c:v>0.51856747269630432</c:v>
                </c:pt>
                <c:pt idx="1871">
                  <c:v>0.5182134211063385</c:v>
                </c:pt>
                <c:pt idx="1872">
                  <c:v>0.51785555481910706</c:v>
                </c:pt>
                <c:pt idx="1873">
                  <c:v>0.51749399304389954</c:v>
                </c:pt>
                <c:pt idx="1874">
                  <c:v>0.51712945103645325</c:v>
                </c:pt>
                <c:pt idx="1875">
                  <c:v>0.51676109433174133</c:v>
                </c:pt>
                <c:pt idx="1876">
                  <c:v>0.51638856530189514</c:v>
                </c:pt>
                <c:pt idx="1877">
                  <c:v>0.51601281762123108</c:v>
                </c:pt>
                <c:pt idx="1878">
                  <c:v>0.51563349366188049</c:v>
                </c:pt>
                <c:pt idx="1879">
                  <c:v>0.51525023579597473</c:v>
                </c:pt>
                <c:pt idx="1880">
                  <c:v>0.514863520860672</c:v>
                </c:pt>
                <c:pt idx="1881">
                  <c:v>0.51447299122810364</c:v>
                </c:pt>
                <c:pt idx="1882">
                  <c:v>0.51407900452613831</c:v>
                </c:pt>
                <c:pt idx="1883">
                  <c:v>0.5136813223361969</c:v>
                </c:pt>
                <c:pt idx="1884">
                  <c:v>0.51327982544898987</c:v>
                </c:pt>
                <c:pt idx="1885">
                  <c:v>0.51287367939949036</c:v>
                </c:pt>
                <c:pt idx="1886">
                  <c:v>0.51246479153633118</c:v>
                </c:pt>
                <c:pt idx="1887">
                  <c:v>0.51205185055732727</c:v>
                </c:pt>
                <c:pt idx="1888">
                  <c:v>0.51163497567176819</c:v>
                </c:pt>
                <c:pt idx="1889">
                  <c:v>0.51121440529823303</c:v>
                </c:pt>
                <c:pt idx="1890">
                  <c:v>0.51079002022743225</c:v>
                </c:pt>
                <c:pt idx="1891">
                  <c:v>0.51036122441291809</c:v>
                </c:pt>
                <c:pt idx="1892">
                  <c:v>0.50992873311042786</c:v>
                </c:pt>
                <c:pt idx="1893">
                  <c:v>0.5094929039478302</c:v>
                </c:pt>
                <c:pt idx="1894">
                  <c:v>0.50905290246009827</c:v>
                </c:pt>
                <c:pt idx="1895">
                  <c:v>0.50860872864723206</c:v>
                </c:pt>
                <c:pt idx="1896">
                  <c:v>0.50816121697425842</c:v>
                </c:pt>
                <c:pt idx="1897">
                  <c:v>0.507708340883255</c:v>
                </c:pt>
                <c:pt idx="1898">
                  <c:v>0.50725319981575012</c:v>
                </c:pt>
                <c:pt idx="1899">
                  <c:v>0.50679329037666321</c:v>
                </c:pt>
                <c:pt idx="1900">
                  <c:v>0.50632873177528381</c:v>
                </c:pt>
                <c:pt idx="1901">
                  <c:v>0.50586143136024475</c:v>
                </c:pt>
                <c:pt idx="1902">
                  <c:v>0.50538936257362366</c:v>
                </c:pt>
                <c:pt idx="1903">
                  <c:v>0.50491288304328918</c:v>
                </c:pt>
                <c:pt idx="1904">
                  <c:v>0.50443246960639954</c:v>
                </c:pt>
                <c:pt idx="1905">
                  <c:v>0.50394824147224426</c:v>
                </c:pt>
                <c:pt idx="1906">
                  <c:v>0.50345984101295471</c:v>
                </c:pt>
                <c:pt idx="1907">
                  <c:v>0.50296774506568909</c:v>
                </c:pt>
                <c:pt idx="1908">
                  <c:v>0.50247111916542053</c:v>
                </c:pt>
                <c:pt idx="1909">
                  <c:v>0.5019703209400177</c:v>
                </c:pt>
                <c:pt idx="1910">
                  <c:v>0.50146463513374329</c:v>
                </c:pt>
                <c:pt idx="1911">
                  <c:v>0.50095584988594055</c:v>
                </c:pt>
                <c:pt idx="1912">
                  <c:v>0.50044217705726624</c:v>
                </c:pt>
                <c:pt idx="1913">
                  <c:v>0.49992433190345764</c:v>
                </c:pt>
                <c:pt idx="1914">
                  <c:v>0.49940171837806702</c:v>
                </c:pt>
                <c:pt idx="1915">
                  <c:v>0.49887564778327942</c:v>
                </c:pt>
                <c:pt idx="1916">
                  <c:v>0.49834516644477844</c:v>
                </c:pt>
                <c:pt idx="1917">
                  <c:v>0.49781039357185364</c:v>
                </c:pt>
                <c:pt idx="1918">
                  <c:v>0.49727097153663635</c:v>
                </c:pt>
                <c:pt idx="1919">
                  <c:v>0.49672690033912659</c:v>
                </c:pt>
                <c:pt idx="1920">
                  <c:v>0.4961794912815094</c:v>
                </c:pt>
                <c:pt idx="1921">
                  <c:v>0.49562671780586243</c:v>
                </c:pt>
                <c:pt idx="1922">
                  <c:v>0.49506977200508118</c:v>
                </c:pt>
                <c:pt idx="1923">
                  <c:v>0.4945085346698761</c:v>
                </c:pt>
                <c:pt idx="1924">
                  <c:v>0.49394240975379944</c:v>
                </c:pt>
                <c:pt idx="1925">
                  <c:v>0.49337306618690491</c:v>
                </c:pt>
                <c:pt idx="1926">
                  <c:v>0.49279823899269104</c:v>
                </c:pt>
                <c:pt idx="1927">
                  <c:v>0.49221804738044739</c:v>
                </c:pt>
                <c:pt idx="1928">
                  <c:v>0.49163487553596497</c:v>
                </c:pt>
                <c:pt idx="1929">
                  <c:v>0.49104645848274231</c:v>
                </c:pt>
                <c:pt idx="1930">
                  <c:v>0.49045363068580627</c:v>
                </c:pt>
                <c:pt idx="1931">
                  <c:v>0.48985567688941956</c:v>
                </c:pt>
                <c:pt idx="1932">
                  <c:v>0.48925343155860901</c:v>
                </c:pt>
                <c:pt idx="1933">
                  <c:v>0.48864749073982239</c:v>
                </c:pt>
                <c:pt idx="1934">
                  <c:v>0.48803570866584778</c:v>
                </c:pt>
                <c:pt idx="1935">
                  <c:v>0.48741987347602844</c:v>
                </c:pt>
                <c:pt idx="1936">
                  <c:v>0.48679915070533752</c:v>
                </c:pt>
                <c:pt idx="1937">
                  <c:v>0.48617377877235413</c:v>
                </c:pt>
                <c:pt idx="1938">
                  <c:v>0.4855441153049469</c:v>
                </c:pt>
                <c:pt idx="1939">
                  <c:v>0.48490861058235168</c:v>
                </c:pt>
                <c:pt idx="1940">
                  <c:v>0.48426917195320129</c:v>
                </c:pt>
                <c:pt idx="1941">
                  <c:v>0.48362448811531067</c:v>
                </c:pt>
                <c:pt idx="1942">
                  <c:v>0.48297563195228577</c:v>
                </c:pt>
                <c:pt idx="1943">
                  <c:v>0.48232164978981018</c:v>
                </c:pt>
                <c:pt idx="1944">
                  <c:v>0.48166242241859436</c:v>
                </c:pt>
                <c:pt idx="1945">
                  <c:v>0.48099902272224426</c:v>
                </c:pt>
                <c:pt idx="1946">
                  <c:v>0.48033049702644348</c:v>
                </c:pt>
                <c:pt idx="1947">
                  <c:v>0.47965720295906067</c:v>
                </c:pt>
                <c:pt idx="1948">
                  <c:v>0.47897854447364807</c:v>
                </c:pt>
                <c:pt idx="1949">
                  <c:v>0.47829547524452209</c:v>
                </c:pt>
                <c:pt idx="1950">
                  <c:v>0.47760716080665588</c:v>
                </c:pt>
                <c:pt idx="1951">
                  <c:v>0.47691372036933899</c:v>
                </c:pt>
                <c:pt idx="1952">
                  <c:v>0.47621515393257141</c:v>
                </c:pt>
                <c:pt idx="1953">
                  <c:v>0.47551229596138</c:v>
                </c:pt>
                <c:pt idx="1954">
                  <c:v>0.47480311989784241</c:v>
                </c:pt>
                <c:pt idx="1955">
                  <c:v>0.47409000992774963</c:v>
                </c:pt>
                <c:pt idx="1956">
                  <c:v>0.47337141633033752</c:v>
                </c:pt>
                <c:pt idx="1957">
                  <c:v>0.47264745831489563</c:v>
                </c:pt>
                <c:pt idx="1958">
                  <c:v>0.47191932797431946</c:v>
                </c:pt>
                <c:pt idx="1959">
                  <c:v>0.47118547558784485</c:v>
                </c:pt>
                <c:pt idx="1960">
                  <c:v>0.47044602036476135</c:v>
                </c:pt>
                <c:pt idx="1961">
                  <c:v>0.46970143914222717</c:v>
                </c:pt>
                <c:pt idx="1962">
                  <c:v>0.46895256638526917</c:v>
                </c:pt>
                <c:pt idx="1963">
                  <c:v>0.46819785237312317</c:v>
                </c:pt>
                <c:pt idx="1964">
                  <c:v>0.46743777394294739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930432"/>
        <c:axId val="1795921184"/>
      </c:scatterChart>
      <c:valAx>
        <c:axId val="179593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921184"/>
        <c:crosses val="autoZero"/>
        <c:crossBetween val="midCat"/>
      </c:valAx>
      <c:valAx>
        <c:axId val="179592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93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Data'!$O$9:$O$1973</c:f>
              <c:numCache>
                <c:formatCode>General</c:formatCode>
                <c:ptCount val="1965"/>
                <c:pt idx="0">
                  <c:v>31007</c:v>
                </c:pt>
                <c:pt idx="1">
                  <c:v>31008</c:v>
                </c:pt>
                <c:pt idx="2">
                  <c:v>31009</c:v>
                </c:pt>
                <c:pt idx="3">
                  <c:v>31010</c:v>
                </c:pt>
                <c:pt idx="4">
                  <c:v>31011</c:v>
                </c:pt>
                <c:pt idx="5">
                  <c:v>31012</c:v>
                </c:pt>
                <c:pt idx="6">
                  <c:v>31013</c:v>
                </c:pt>
                <c:pt idx="7">
                  <c:v>31014</c:v>
                </c:pt>
                <c:pt idx="8">
                  <c:v>31015</c:v>
                </c:pt>
                <c:pt idx="9">
                  <c:v>31016</c:v>
                </c:pt>
                <c:pt idx="10">
                  <c:v>31017</c:v>
                </c:pt>
                <c:pt idx="11">
                  <c:v>31018</c:v>
                </c:pt>
                <c:pt idx="12">
                  <c:v>31019</c:v>
                </c:pt>
                <c:pt idx="13">
                  <c:v>31020</c:v>
                </c:pt>
                <c:pt idx="14">
                  <c:v>31021</c:v>
                </c:pt>
                <c:pt idx="15">
                  <c:v>31022</c:v>
                </c:pt>
                <c:pt idx="16">
                  <c:v>31023</c:v>
                </c:pt>
                <c:pt idx="17">
                  <c:v>31024</c:v>
                </c:pt>
                <c:pt idx="18">
                  <c:v>31025</c:v>
                </c:pt>
                <c:pt idx="19">
                  <c:v>31026</c:v>
                </c:pt>
                <c:pt idx="20">
                  <c:v>31027</c:v>
                </c:pt>
                <c:pt idx="21">
                  <c:v>31028</c:v>
                </c:pt>
                <c:pt idx="22">
                  <c:v>31029</c:v>
                </c:pt>
                <c:pt idx="23">
                  <c:v>31030</c:v>
                </c:pt>
                <c:pt idx="24">
                  <c:v>31031</c:v>
                </c:pt>
                <c:pt idx="25">
                  <c:v>31032</c:v>
                </c:pt>
                <c:pt idx="26">
                  <c:v>31033</c:v>
                </c:pt>
                <c:pt idx="27">
                  <c:v>31034</c:v>
                </c:pt>
                <c:pt idx="28">
                  <c:v>31035</c:v>
                </c:pt>
                <c:pt idx="29">
                  <c:v>31036</c:v>
                </c:pt>
                <c:pt idx="30">
                  <c:v>31037</c:v>
                </c:pt>
                <c:pt idx="31">
                  <c:v>31038</c:v>
                </c:pt>
                <c:pt idx="32">
                  <c:v>31039</c:v>
                </c:pt>
                <c:pt idx="33">
                  <c:v>31040</c:v>
                </c:pt>
                <c:pt idx="34">
                  <c:v>31041</c:v>
                </c:pt>
                <c:pt idx="35">
                  <c:v>31042</c:v>
                </c:pt>
                <c:pt idx="36">
                  <c:v>31043</c:v>
                </c:pt>
                <c:pt idx="37">
                  <c:v>31044</c:v>
                </c:pt>
                <c:pt idx="38">
                  <c:v>31045</c:v>
                </c:pt>
                <c:pt idx="39">
                  <c:v>31046</c:v>
                </c:pt>
                <c:pt idx="40">
                  <c:v>31047</c:v>
                </c:pt>
                <c:pt idx="41">
                  <c:v>31048</c:v>
                </c:pt>
                <c:pt idx="42">
                  <c:v>31049</c:v>
                </c:pt>
                <c:pt idx="43">
                  <c:v>31050</c:v>
                </c:pt>
                <c:pt idx="44">
                  <c:v>31051</c:v>
                </c:pt>
                <c:pt idx="45">
                  <c:v>31052</c:v>
                </c:pt>
                <c:pt idx="46">
                  <c:v>31053</c:v>
                </c:pt>
                <c:pt idx="47">
                  <c:v>31054</c:v>
                </c:pt>
                <c:pt idx="48">
                  <c:v>31055</c:v>
                </c:pt>
                <c:pt idx="49">
                  <c:v>31056</c:v>
                </c:pt>
                <c:pt idx="50">
                  <c:v>31057</c:v>
                </c:pt>
                <c:pt idx="51">
                  <c:v>31058</c:v>
                </c:pt>
                <c:pt idx="52">
                  <c:v>31059</c:v>
                </c:pt>
                <c:pt idx="53">
                  <c:v>31060</c:v>
                </c:pt>
                <c:pt idx="54">
                  <c:v>31061</c:v>
                </c:pt>
                <c:pt idx="55">
                  <c:v>31062</c:v>
                </c:pt>
                <c:pt idx="56">
                  <c:v>31063</c:v>
                </c:pt>
                <c:pt idx="57">
                  <c:v>31064</c:v>
                </c:pt>
                <c:pt idx="58">
                  <c:v>31065</c:v>
                </c:pt>
                <c:pt idx="59">
                  <c:v>31066</c:v>
                </c:pt>
                <c:pt idx="60">
                  <c:v>31067</c:v>
                </c:pt>
                <c:pt idx="61">
                  <c:v>31068</c:v>
                </c:pt>
                <c:pt idx="62">
                  <c:v>31069</c:v>
                </c:pt>
                <c:pt idx="63">
                  <c:v>31070</c:v>
                </c:pt>
                <c:pt idx="64">
                  <c:v>31071</c:v>
                </c:pt>
                <c:pt idx="65">
                  <c:v>31072</c:v>
                </c:pt>
                <c:pt idx="66">
                  <c:v>31073</c:v>
                </c:pt>
                <c:pt idx="67">
                  <c:v>31074</c:v>
                </c:pt>
                <c:pt idx="68">
                  <c:v>31075</c:v>
                </c:pt>
                <c:pt idx="69">
                  <c:v>31076</c:v>
                </c:pt>
                <c:pt idx="70">
                  <c:v>31077</c:v>
                </c:pt>
                <c:pt idx="71">
                  <c:v>31078</c:v>
                </c:pt>
                <c:pt idx="72">
                  <c:v>31079</c:v>
                </c:pt>
                <c:pt idx="73">
                  <c:v>31080</c:v>
                </c:pt>
                <c:pt idx="74">
                  <c:v>31081</c:v>
                </c:pt>
                <c:pt idx="75">
                  <c:v>31082</c:v>
                </c:pt>
                <c:pt idx="76">
                  <c:v>31083</c:v>
                </c:pt>
                <c:pt idx="77">
                  <c:v>31084</c:v>
                </c:pt>
                <c:pt idx="78">
                  <c:v>31085</c:v>
                </c:pt>
                <c:pt idx="79">
                  <c:v>31086</c:v>
                </c:pt>
                <c:pt idx="80">
                  <c:v>31087</c:v>
                </c:pt>
                <c:pt idx="81">
                  <c:v>31088</c:v>
                </c:pt>
                <c:pt idx="82">
                  <c:v>31089</c:v>
                </c:pt>
                <c:pt idx="83">
                  <c:v>31090</c:v>
                </c:pt>
                <c:pt idx="84">
                  <c:v>31091</c:v>
                </c:pt>
                <c:pt idx="85">
                  <c:v>31092</c:v>
                </c:pt>
                <c:pt idx="86">
                  <c:v>31093</c:v>
                </c:pt>
                <c:pt idx="87">
                  <c:v>31094</c:v>
                </c:pt>
                <c:pt idx="88">
                  <c:v>31095</c:v>
                </c:pt>
                <c:pt idx="89">
                  <c:v>31096</c:v>
                </c:pt>
                <c:pt idx="90">
                  <c:v>31097</c:v>
                </c:pt>
                <c:pt idx="91">
                  <c:v>31098</c:v>
                </c:pt>
                <c:pt idx="92">
                  <c:v>31099</c:v>
                </c:pt>
                <c:pt idx="93">
                  <c:v>31100</c:v>
                </c:pt>
                <c:pt idx="94">
                  <c:v>31101</c:v>
                </c:pt>
                <c:pt idx="95">
                  <c:v>31102</c:v>
                </c:pt>
                <c:pt idx="96">
                  <c:v>31103</c:v>
                </c:pt>
                <c:pt idx="97">
                  <c:v>31104</c:v>
                </c:pt>
                <c:pt idx="98">
                  <c:v>31105</c:v>
                </c:pt>
                <c:pt idx="99">
                  <c:v>31106</c:v>
                </c:pt>
                <c:pt idx="100">
                  <c:v>31107</c:v>
                </c:pt>
                <c:pt idx="101">
                  <c:v>31108</c:v>
                </c:pt>
                <c:pt idx="102">
                  <c:v>31109</c:v>
                </c:pt>
                <c:pt idx="103">
                  <c:v>31110</c:v>
                </c:pt>
                <c:pt idx="104">
                  <c:v>31111</c:v>
                </c:pt>
                <c:pt idx="105">
                  <c:v>31112</c:v>
                </c:pt>
                <c:pt idx="106">
                  <c:v>31113</c:v>
                </c:pt>
                <c:pt idx="107">
                  <c:v>31114</c:v>
                </c:pt>
                <c:pt idx="108">
                  <c:v>31115</c:v>
                </c:pt>
                <c:pt idx="109">
                  <c:v>31116</c:v>
                </c:pt>
                <c:pt idx="110">
                  <c:v>31117</c:v>
                </c:pt>
                <c:pt idx="111">
                  <c:v>31118</c:v>
                </c:pt>
                <c:pt idx="112">
                  <c:v>31119</c:v>
                </c:pt>
                <c:pt idx="113">
                  <c:v>31120</c:v>
                </c:pt>
                <c:pt idx="114">
                  <c:v>31121</c:v>
                </c:pt>
                <c:pt idx="115">
                  <c:v>31122</c:v>
                </c:pt>
                <c:pt idx="116">
                  <c:v>31123</c:v>
                </c:pt>
                <c:pt idx="117">
                  <c:v>31124</c:v>
                </c:pt>
                <c:pt idx="118">
                  <c:v>31125</c:v>
                </c:pt>
                <c:pt idx="119">
                  <c:v>31126</c:v>
                </c:pt>
                <c:pt idx="120">
                  <c:v>31127</c:v>
                </c:pt>
                <c:pt idx="121">
                  <c:v>31128</c:v>
                </c:pt>
                <c:pt idx="122">
                  <c:v>31129</c:v>
                </c:pt>
                <c:pt idx="123">
                  <c:v>31130</c:v>
                </c:pt>
                <c:pt idx="124">
                  <c:v>31131</c:v>
                </c:pt>
                <c:pt idx="125">
                  <c:v>31132</c:v>
                </c:pt>
                <c:pt idx="126">
                  <c:v>31133</c:v>
                </c:pt>
                <c:pt idx="127">
                  <c:v>31134</c:v>
                </c:pt>
                <c:pt idx="128">
                  <c:v>31135</c:v>
                </c:pt>
                <c:pt idx="129">
                  <c:v>31136</c:v>
                </c:pt>
                <c:pt idx="130">
                  <c:v>31137</c:v>
                </c:pt>
                <c:pt idx="131">
                  <c:v>31138</c:v>
                </c:pt>
                <c:pt idx="132">
                  <c:v>31139</c:v>
                </c:pt>
                <c:pt idx="133">
                  <c:v>31140</c:v>
                </c:pt>
                <c:pt idx="134">
                  <c:v>31141</c:v>
                </c:pt>
                <c:pt idx="135">
                  <c:v>31142</c:v>
                </c:pt>
                <c:pt idx="136">
                  <c:v>31143</c:v>
                </c:pt>
                <c:pt idx="137">
                  <c:v>31144</c:v>
                </c:pt>
                <c:pt idx="138">
                  <c:v>31145</c:v>
                </c:pt>
                <c:pt idx="139">
                  <c:v>31146</c:v>
                </c:pt>
                <c:pt idx="140">
                  <c:v>31147</c:v>
                </c:pt>
                <c:pt idx="141">
                  <c:v>31148</c:v>
                </c:pt>
                <c:pt idx="142">
                  <c:v>31149</c:v>
                </c:pt>
                <c:pt idx="143">
                  <c:v>31150</c:v>
                </c:pt>
                <c:pt idx="144">
                  <c:v>31151</c:v>
                </c:pt>
                <c:pt idx="145">
                  <c:v>31152</c:v>
                </c:pt>
                <c:pt idx="146">
                  <c:v>31153</c:v>
                </c:pt>
                <c:pt idx="147">
                  <c:v>31154</c:v>
                </c:pt>
                <c:pt idx="148">
                  <c:v>31155</c:v>
                </c:pt>
                <c:pt idx="149">
                  <c:v>31156</c:v>
                </c:pt>
                <c:pt idx="150">
                  <c:v>31157</c:v>
                </c:pt>
                <c:pt idx="151">
                  <c:v>31158</c:v>
                </c:pt>
                <c:pt idx="152">
                  <c:v>31159</c:v>
                </c:pt>
                <c:pt idx="153">
                  <c:v>31160</c:v>
                </c:pt>
                <c:pt idx="154">
                  <c:v>31161</c:v>
                </c:pt>
                <c:pt idx="155">
                  <c:v>31162</c:v>
                </c:pt>
                <c:pt idx="156">
                  <c:v>31163</c:v>
                </c:pt>
                <c:pt idx="157">
                  <c:v>31164</c:v>
                </c:pt>
                <c:pt idx="158">
                  <c:v>31165</c:v>
                </c:pt>
                <c:pt idx="159">
                  <c:v>31166</c:v>
                </c:pt>
                <c:pt idx="160">
                  <c:v>31167</c:v>
                </c:pt>
                <c:pt idx="161">
                  <c:v>31168</c:v>
                </c:pt>
                <c:pt idx="162">
                  <c:v>31169</c:v>
                </c:pt>
                <c:pt idx="163">
                  <c:v>31170</c:v>
                </c:pt>
                <c:pt idx="164">
                  <c:v>31171</c:v>
                </c:pt>
                <c:pt idx="165">
                  <c:v>31172</c:v>
                </c:pt>
                <c:pt idx="166">
                  <c:v>31173</c:v>
                </c:pt>
                <c:pt idx="167">
                  <c:v>31174</c:v>
                </c:pt>
                <c:pt idx="168">
                  <c:v>31175</c:v>
                </c:pt>
                <c:pt idx="169">
                  <c:v>31176</c:v>
                </c:pt>
                <c:pt idx="170">
                  <c:v>31177</c:v>
                </c:pt>
                <c:pt idx="171">
                  <c:v>31178</c:v>
                </c:pt>
                <c:pt idx="172">
                  <c:v>31179</c:v>
                </c:pt>
                <c:pt idx="173">
                  <c:v>31180</c:v>
                </c:pt>
                <c:pt idx="174">
                  <c:v>31181</c:v>
                </c:pt>
                <c:pt idx="175">
                  <c:v>31182</c:v>
                </c:pt>
                <c:pt idx="176">
                  <c:v>31183</c:v>
                </c:pt>
                <c:pt idx="177">
                  <c:v>31184</c:v>
                </c:pt>
                <c:pt idx="178">
                  <c:v>31185</c:v>
                </c:pt>
                <c:pt idx="179">
                  <c:v>31186</c:v>
                </c:pt>
                <c:pt idx="180">
                  <c:v>31187</c:v>
                </c:pt>
                <c:pt idx="181">
                  <c:v>31188</c:v>
                </c:pt>
                <c:pt idx="182">
                  <c:v>31189</c:v>
                </c:pt>
                <c:pt idx="183">
                  <c:v>31190</c:v>
                </c:pt>
                <c:pt idx="184">
                  <c:v>31191</c:v>
                </c:pt>
                <c:pt idx="185">
                  <c:v>31192</c:v>
                </c:pt>
                <c:pt idx="186">
                  <c:v>31193</c:v>
                </c:pt>
                <c:pt idx="187">
                  <c:v>31194</c:v>
                </c:pt>
                <c:pt idx="188">
                  <c:v>31195</c:v>
                </c:pt>
                <c:pt idx="189">
                  <c:v>31196</c:v>
                </c:pt>
                <c:pt idx="190">
                  <c:v>31197</c:v>
                </c:pt>
                <c:pt idx="191">
                  <c:v>31198</c:v>
                </c:pt>
                <c:pt idx="192">
                  <c:v>31199</c:v>
                </c:pt>
                <c:pt idx="193">
                  <c:v>31200</c:v>
                </c:pt>
                <c:pt idx="194">
                  <c:v>31201</c:v>
                </c:pt>
                <c:pt idx="195">
                  <c:v>31202</c:v>
                </c:pt>
                <c:pt idx="196">
                  <c:v>31203</c:v>
                </c:pt>
                <c:pt idx="197">
                  <c:v>31204</c:v>
                </c:pt>
                <c:pt idx="198">
                  <c:v>31205</c:v>
                </c:pt>
                <c:pt idx="199">
                  <c:v>31206</c:v>
                </c:pt>
                <c:pt idx="200">
                  <c:v>31207</c:v>
                </c:pt>
                <c:pt idx="201">
                  <c:v>31208</c:v>
                </c:pt>
                <c:pt idx="202">
                  <c:v>31209</c:v>
                </c:pt>
                <c:pt idx="203">
                  <c:v>31210</c:v>
                </c:pt>
                <c:pt idx="204">
                  <c:v>31211</c:v>
                </c:pt>
                <c:pt idx="205">
                  <c:v>31212</c:v>
                </c:pt>
                <c:pt idx="206">
                  <c:v>31213</c:v>
                </c:pt>
                <c:pt idx="207">
                  <c:v>31214</c:v>
                </c:pt>
                <c:pt idx="208">
                  <c:v>31215</c:v>
                </c:pt>
                <c:pt idx="209">
                  <c:v>31216</c:v>
                </c:pt>
                <c:pt idx="210">
                  <c:v>31217</c:v>
                </c:pt>
                <c:pt idx="211">
                  <c:v>31218</c:v>
                </c:pt>
                <c:pt idx="212">
                  <c:v>31219</c:v>
                </c:pt>
                <c:pt idx="213">
                  <c:v>31220</c:v>
                </c:pt>
                <c:pt idx="214">
                  <c:v>31221</c:v>
                </c:pt>
                <c:pt idx="215">
                  <c:v>31222</c:v>
                </c:pt>
                <c:pt idx="216">
                  <c:v>31223</c:v>
                </c:pt>
                <c:pt idx="217">
                  <c:v>31224</c:v>
                </c:pt>
                <c:pt idx="218">
                  <c:v>31225</c:v>
                </c:pt>
                <c:pt idx="219">
                  <c:v>31226</c:v>
                </c:pt>
                <c:pt idx="220">
                  <c:v>31227</c:v>
                </c:pt>
                <c:pt idx="221">
                  <c:v>31228</c:v>
                </c:pt>
                <c:pt idx="222">
                  <c:v>31229</c:v>
                </c:pt>
                <c:pt idx="223">
                  <c:v>31230</c:v>
                </c:pt>
                <c:pt idx="224">
                  <c:v>31231</c:v>
                </c:pt>
                <c:pt idx="225">
                  <c:v>31232</c:v>
                </c:pt>
                <c:pt idx="226">
                  <c:v>31233</c:v>
                </c:pt>
                <c:pt idx="227">
                  <c:v>31234</c:v>
                </c:pt>
                <c:pt idx="228">
                  <c:v>31235</c:v>
                </c:pt>
                <c:pt idx="229">
                  <c:v>31236</c:v>
                </c:pt>
                <c:pt idx="230">
                  <c:v>31237</c:v>
                </c:pt>
                <c:pt idx="231">
                  <c:v>31238</c:v>
                </c:pt>
                <c:pt idx="232">
                  <c:v>31239</c:v>
                </c:pt>
                <c:pt idx="233">
                  <c:v>31240</c:v>
                </c:pt>
                <c:pt idx="234">
                  <c:v>31241</c:v>
                </c:pt>
                <c:pt idx="235">
                  <c:v>31242</c:v>
                </c:pt>
                <c:pt idx="236">
                  <c:v>31243</c:v>
                </c:pt>
                <c:pt idx="237">
                  <c:v>31244</c:v>
                </c:pt>
                <c:pt idx="238">
                  <c:v>31245</c:v>
                </c:pt>
                <c:pt idx="239">
                  <c:v>31246</c:v>
                </c:pt>
                <c:pt idx="240">
                  <c:v>31247</c:v>
                </c:pt>
                <c:pt idx="241">
                  <c:v>31248</c:v>
                </c:pt>
                <c:pt idx="242">
                  <c:v>31249</c:v>
                </c:pt>
                <c:pt idx="243">
                  <c:v>31250</c:v>
                </c:pt>
                <c:pt idx="244">
                  <c:v>31251</c:v>
                </c:pt>
                <c:pt idx="245">
                  <c:v>31252</c:v>
                </c:pt>
                <c:pt idx="246">
                  <c:v>31253</c:v>
                </c:pt>
                <c:pt idx="247">
                  <c:v>31254</c:v>
                </c:pt>
                <c:pt idx="248">
                  <c:v>31255</c:v>
                </c:pt>
                <c:pt idx="249">
                  <c:v>31256</c:v>
                </c:pt>
                <c:pt idx="250">
                  <c:v>31257</c:v>
                </c:pt>
                <c:pt idx="251">
                  <c:v>31258</c:v>
                </c:pt>
                <c:pt idx="252">
                  <c:v>31259</c:v>
                </c:pt>
                <c:pt idx="253">
                  <c:v>31260</c:v>
                </c:pt>
                <c:pt idx="254">
                  <c:v>31261</c:v>
                </c:pt>
                <c:pt idx="255">
                  <c:v>31262</c:v>
                </c:pt>
                <c:pt idx="256">
                  <c:v>31263</c:v>
                </c:pt>
                <c:pt idx="257">
                  <c:v>31264</c:v>
                </c:pt>
                <c:pt idx="258">
                  <c:v>31265</c:v>
                </c:pt>
                <c:pt idx="259">
                  <c:v>31266</c:v>
                </c:pt>
                <c:pt idx="260">
                  <c:v>31267</c:v>
                </c:pt>
                <c:pt idx="261">
                  <c:v>31268</c:v>
                </c:pt>
                <c:pt idx="262">
                  <c:v>31269</c:v>
                </c:pt>
                <c:pt idx="263">
                  <c:v>31270</c:v>
                </c:pt>
                <c:pt idx="264">
                  <c:v>31271</c:v>
                </c:pt>
                <c:pt idx="265">
                  <c:v>31272</c:v>
                </c:pt>
                <c:pt idx="266">
                  <c:v>31273</c:v>
                </c:pt>
                <c:pt idx="267">
                  <c:v>31274</c:v>
                </c:pt>
                <c:pt idx="268">
                  <c:v>31275</c:v>
                </c:pt>
                <c:pt idx="269">
                  <c:v>31276</c:v>
                </c:pt>
                <c:pt idx="270">
                  <c:v>31277</c:v>
                </c:pt>
                <c:pt idx="271">
                  <c:v>31278</c:v>
                </c:pt>
                <c:pt idx="272">
                  <c:v>31279</c:v>
                </c:pt>
                <c:pt idx="273">
                  <c:v>31280</c:v>
                </c:pt>
                <c:pt idx="274">
                  <c:v>31281</c:v>
                </c:pt>
                <c:pt idx="275">
                  <c:v>31282</c:v>
                </c:pt>
                <c:pt idx="276">
                  <c:v>31283</c:v>
                </c:pt>
                <c:pt idx="277">
                  <c:v>31284</c:v>
                </c:pt>
                <c:pt idx="278">
                  <c:v>31285</c:v>
                </c:pt>
                <c:pt idx="279">
                  <c:v>31286</c:v>
                </c:pt>
                <c:pt idx="280">
                  <c:v>31287</c:v>
                </c:pt>
                <c:pt idx="281">
                  <c:v>31288</c:v>
                </c:pt>
                <c:pt idx="282">
                  <c:v>31289</c:v>
                </c:pt>
                <c:pt idx="283">
                  <c:v>31290</c:v>
                </c:pt>
                <c:pt idx="284">
                  <c:v>31291</c:v>
                </c:pt>
                <c:pt idx="285">
                  <c:v>31292</c:v>
                </c:pt>
                <c:pt idx="286">
                  <c:v>31293</c:v>
                </c:pt>
                <c:pt idx="287">
                  <c:v>31294</c:v>
                </c:pt>
                <c:pt idx="288">
                  <c:v>31295</c:v>
                </c:pt>
                <c:pt idx="289">
                  <c:v>31296</c:v>
                </c:pt>
                <c:pt idx="290">
                  <c:v>31297</c:v>
                </c:pt>
                <c:pt idx="291">
                  <c:v>31298</c:v>
                </c:pt>
                <c:pt idx="292">
                  <c:v>31299</c:v>
                </c:pt>
                <c:pt idx="293">
                  <c:v>31300</c:v>
                </c:pt>
                <c:pt idx="294">
                  <c:v>31301</c:v>
                </c:pt>
                <c:pt idx="295">
                  <c:v>31302</c:v>
                </c:pt>
                <c:pt idx="296">
                  <c:v>31303</c:v>
                </c:pt>
                <c:pt idx="297">
                  <c:v>31304</c:v>
                </c:pt>
                <c:pt idx="298">
                  <c:v>31305</c:v>
                </c:pt>
                <c:pt idx="299">
                  <c:v>31306</c:v>
                </c:pt>
                <c:pt idx="300">
                  <c:v>31307</c:v>
                </c:pt>
                <c:pt idx="301">
                  <c:v>31308</c:v>
                </c:pt>
                <c:pt idx="302">
                  <c:v>31309</c:v>
                </c:pt>
                <c:pt idx="303">
                  <c:v>31310</c:v>
                </c:pt>
                <c:pt idx="304">
                  <c:v>31311</c:v>
                </c:pt>
                <c:pt idx="305">
                  <c:v>31312</c:v>
                </c:pt>
                <c:pt idx="306">
                  <c:v>31313</c:v>
                </c:pt>
                <c:pt idx="307">
                  <c:v>31314</c:v>
                </c:pt>
                <c:pt idx="308">
                  <c:v>31315</c:v>
                </c:pt>
                <c:pt idx="309">
                  <c:v>31316</c:v>
                </c:pt>
                <c:pt idx="310">
                  <c:v>31317</c:v>
                </c:pt>
                <c:pt idx="311">
                  <c:v>31318</c:v>
                </c:pt>
                <c:pt idx="312">
                  <c:v>31319</c:v>
                </c:pt>
                <c:pt idx="313">
                  <c:v>31320</c:v>
                </c:pt>
                <c:pt idx="314">
                  <c:v>31321</c:v>
                </c:pt>
                <c:pt idx="315">
                  <c:v>31322</c:v>
                </c:pt>
                <c:pt idx="316">
                  <c:v>31323</c:v>
                </c:pt>
                <c:pt idx="317">
                  <c:v>31324</c:v>
                </c:pt>
                <c:pt idx="318">
                  <c:v>31325</c:v>
                </c:pt>
                <c:pt idx="319">
                  <c:v>31326</c:v>
                </c:pt>
                <c:pt idx="320">
                  <c:v>31327</c:v>
                </c:pt>
                <c:pt idx="321">
                  <c:v>31328</c:v>
                </c:pt>
                <c:pt idx="322">
                  <c:v>31329</c:v>
                </c:pt>
                <c:pt idx="323">
                  <c:v>31330</c:v>
                </c:pt>
                <c:pt idx="324">
                  <c:v>31331</c:v>
                </c:pt>
                <c:pt idx="325">
                  <c:v>31332</c:v>
                </c:pt>
                <c:pt idx="326">
                  <c:v>31333</c:v>
                </c:pt>
                <c:pt idx="327">
                  <c:v>31334</c:v>
                </c:pt>
                <c:pt idx="328">
                  <c:v>31335</c:v>
                </c:pt>
                <c:pt idx="329">
                  <c:v>31336</c:v>
                </c:pt>
                <c:pt idx="330">
                  <c:v>31337</c:v>
                </c:pt>
                <c:pt idx="331">
                  <c:v>31338</c:v>
                </c:pt>
                <c:pt idx="332">
                  <c:v>31339</c:v>
                </c:pt>
                <c:pt idx="333">
                  <c:v>31340</c:v>
                </c:pt>
                <c:pt idx="334">
                  <c:v>31341</c:v>
                </c:pt>
                <c:pt idx="335">
                  <c:v>31342</c:v>
                </c:pt>
                <c:pt idx="336">
                  <c:v>31343</c:v>
                </c:pt>
                <c:pt idx="337">
                  <c:v>31344</c:v>
                </c:pt>
                <c:pt idx="338">
                  <c:v>31345</c:v>
                </c:pt>
                <c:pt idx="339">
                  <c:v>31346</c:v>
                </c:pt>
                <c:pt idx="340">
                  <c:v>31347</c:v>
                </c:pt>
                <c:pt idx="341">
                  <c:v>31348</c:v>
                </c:pt>
                <c:pt idx="342">
                  <c:v>31349</c:v>
                </c:pt>
                <c:pt idx="343">
                  <c:v>31350</c:v>
                </c:pt>
                <c:pt idx="344">
                  <c:v>31351</c:v>
                </c:pt>
                <c:pt idx="345">
                  <c:v>31352</c:v>
                </c:pt>
                <c:pt idx="346">
                  <c:v>31353</c:v>
                </c:pt>
                <c:pt idx="347">
                  <c:v>31354</c:v>
                </c:pt>
                <c:pt idx="348">
                  <c:v>31355</c:v>
                </c:pt>
                <c:pt idx="349">
                  <c:v>31356</c:v>
                </c:pt>
                <c:pt idx="350">
                  <c:v>31357</c:v>
                </c:pt>
                <c:pt idx="351">
                  <c:v>31358</c:v>
                </c:pt>
                <c:pt idx="352">
                  <c:v>31359</c:v>
                </c:pt>
                <c:pt idx="353">
                  <c:v>31360</c:v>
                </c:pt>
                <c:pt idx="354">
                  <c:v>31361</c:v>
                </c:pt>
                <c:pt idx="355">
                  <c:v>31362</c:v>
                </c:pt>
                <c:pt idx="356">
                  <c:v>31363</c:v>
                </c:pt>
                <c:pt idx="357">
                  <c:v>31364</c:v>
                </c:pt>
                <c:pt idx="358">
                  <c:v>31365</c:v>
                </c:pt>
                <c:pt idx="359">
                  <c:v>31366</c:v>
                </c:pt>
                <c:pt idx="360">
                  <c:v>31367</c:v>
                </c:pt>
                <c:pt idx="361">
                  <c:v>31368</c:v>
                </c:pt>
                <c:pt idx="362">
                  <c:v>31369</c:v>
                </c:pt>
                <c:pt idx="363">
                  <c:v>31370</c:v>
                </c:pt>
                <c:pt idx="364">
                  <c:v>31371</c:v>
                </c:pt>
                <c:pt idx="365">
                  <c:v>31372</c:v>
                </c:pt>
                <c:pt idx="366">
                  <c:v>31373</c:v>
                </c:pt>
                <c:pt idx="367">
                  <c:v>31374</c:v>
                </c:pt>
                <c:pt idx="368">
                  <c:v>31375</c:v>
                </c:pt>
                <c:pt idx="369">
                  <c:v>31376</c:v>
                </c:pt>
                <c:pt idx="370">
                  <c:v>31377</c:v>
                </c:pt>
                <c:pt idx="371">
                  <c:v>31378</c:v>
                </c:pt>
                <c:pt idx="372">
                  <c:v>31379</c:v>
                </c:pt>
                <c:pt idx="373">
                  <c:v>31380</c:v>
                </c:pt>
                <c:pt idx="374">
                  <c:v>31381</c:v>
                </c:pt>
                <c:pt idx="375">
                  <c:v>31382</c:v>
                </c:pt>
                <c:pt idx="376">
                  <c:v>31383</c:v>
                </c:pt>
                <c:pt idx="377">
                  <c:v>31384</c:v>
                </c:pt>
                <c:pt idx="378">
                  <c:v>31385</c:v>
                </c:pt>
                <c:pt idx="379">
                  <c:v>31386</c:v>
                </c:pt>
                <c:pt idx="380">
                  <c:v>31387</c:v>
                </c:pt>
                <c:pt idx="381">
                  <c:v>31388</c:v>
                </c:pt>
                <c:pt idx="382">
                  <c:v>31389</c:v>
                </c:pt>
                <c:pt idx="383">
                  <c:v>31390</c:v>
                </c:pt>
                <c:pt idx="384">
                  <c:v>31391</c:v>
                </c:pt>
                <c:pt idx="385">
                  <c:v>31392</c:v>
                </c:pt>
                <c:pt idx="386">
                  <c:v>31393</c:v>
                </c:pt>
                <c:pt idx="387">
                  <c:v>31394</c:v>
                </c:pt>
                <c:pt idx="388">
                  <c:v>31395</c:v>
                </c:pt>
                <c:pt idx="389">
                  <c:v>31396</c:v>
                </c:pt>
                <c:pt idx="390">
                  <c:v>31397</c:v>
                </c:pt>
                <c:pt idx="391">
                  <c:v>31398</c:v>
                </c:pt>
                <c:pt idx="392">
                  <c:v>31399</c:v>
                </c:pt>
                <c:pt idx="393">
                  <c:v>31400</c:v>
                </c:pt>
                <c:pt idx="394">
                  <c:v>31401</c:v>
                </c:pt>
                <c:pt idx="395">
                  <c:v>31402</c:v>
                </c:pt>
                <c:pt idx="396">
                  <c:v>31403</c:v>
                </c:pt>
                <c:pt idx="397">
                  <c:v>31404</c:v>
                </c:pt>
                <c:pt idx="398">
                  <c:v>31405</c:v>
                </c:pt>
                <c:pt idx="399">
                  <c:v>31406</c:v>
                </c:pt>
                <c:pt idx="400">
                  <c:v>31407</c:v>
                </c:pt>
                <c:pt idx="401">
                  <c:v>31408</c:v>
                </c:pt>
                <c:pt idx="402">
                  <c:v>31409</c:v>
                </c:pt>
                <c:pt idx="403">
                  <c:v>31410</c:v>
                </c:pt>
                <c:pt idx="404">
                  <c:v>31411</c:v>
                </c:pt>
                <c:pt idx="405">
                  <c:v>31412</c:v>
                </c:pt>
                <c:pt idx="406">
                  <c:v>31413</c:v>
                </c:pt>
                <c:pt idx="407">
                  <c:v>31414</c:v>
                </c:pt>
                <c:pt idx="408">
                  <c:v>31415</c:v>
                </c:pt>
                <c:pt idx="409">
                  <c:v>31416</c:v>
                </c:pt>
                <c:pt idx="410">
                  <c:v>31417</c:v>
                </c:pt>
                <c:pt idx="411">
                  <c:v>31418</c:v>
                </c:pt>
                <c:pt idx="412">
                  <c:v>31419</c:v>
                </c:pt>
                <c:pt idx="413">
                  <c:v>31420</c:v>
                </c:pt>
                <c:pt idx="414">
                  <c:v>31421</c:v>
                </c:pt>
                <c:pt idx="415">
                  <c:v>31422</c:v>
                </c:pt>
                <c:pt idx="416">
                  <c:v>31423</c:v>
                </c:pt>
                <c:pt idx="417">
                  <c:v>31424</c:v>
                </c:pt>
                <c:pt idx="418">
                  <c:v>31425</c:v>
                </c:pt>
                <c:pt idx="419">
                  <c:v>31426</c:v>
                </c:pt>
                <c:pt idx="420">
                  <c:v>31427</c:v>
                </c:pt>
                <c:pt idx="421">
                  <c:v>31428</c:v>
                </c:pt>
                <c:pt idx="422">
                  <c:v>31429</c:v>
                </c:pt>
                <c:pt idx="423">
                  <c:v>31430</c:v>
                </c:pt>
                <c:pt idx="424">
                  <c:v>31431</c:v>
                </c:pt>
                <c:pt idx="425">
                  <c:v>31432</c:v>
                </c:pt>
                <c:pt idx="426">
                  <c:v>31433</c:v>
                </c:pt>
                <c:pt idx="427">
                  <c:v>31434</c:v>
                </c:pt>
                <c:pt idx="428">
                  <c:v>31435</c:v>
                </c:pt>
                <c:pt idx="429">
                  <c:v>31436</c:v>
                </c:pt>
                <c:pt idx="430">
                  <c:v>31437</c:v>
                </c:pt>
                <c:pt idx="431">
                  <c:v>31438</c:v>
                </c:pt>
                <c:pt idx="432">
                  <c:v>31439</c:v>
                </c:pt>
                <c:pt idx="433">
                  <c:v>31440</c:v>
                </c:pt>
                <c:pt idx="434">
                  <c:v>31441</c:v>
                </c:pt>
                <c:pt idx="435">
                  <c:v>31442</c:v>
                </c:pt>
                <c:pt idx="436">
                  <c:v>31443</c:v>
                </c:pt>
                <c:pt idx="437">
                  <c:v>31444</c:v>
                </c:pt>
                <c:pt idx="438">
                  <c:v>31445</c:v>
                </c:pt>
                <c:pt idx="439">
                  <c:v>31446</c:v>
                </c:pt>
                <c:pt idx="440">
                  <c:v>31447</c:v>
                </c:pt>
                <c:pt idx="441">
                  <c:v>31448</c:v>
                </c:pt>
                <c:pt idx="442">
                  <c:v>31449</c:v>
                </c:pt>
                <c:pt idx="443">
                  <c:v>31450</c:v>
                </c:pt>
                <c:pt idx="444">
                  <c:v>31451</c:v>
                </c:pt>
                <c:pt idx="445">
                  <c:v>31452</c:v>
                </c:pt>
                <c:pt idx="446">
                  <c:v>31453</c:v>
                </c:pt>
                <c:pt idx="447">
                  <c:v>31454</c:v>
                </c:pt>
                <c:pt idx="448">
                  <c:v>31455</c:v>
                </c:pt>
                <c:pt idx="449">
                  <c:v>31456</c:v>
                </c:pt>
                <c:pt idx="450">
                  <c:v>31457</c:v>
                </c:pt>
                <c:pt idx="451">
                  <c:v>31458</c:v>
                </c:pt>
                <c:pt idx="452">
                  <c:v>31459</c:v>
                </c:pt>
                <c:pt idx="453">
                  <c:v>31460</c:v>
                </c:pt>
                <c:pt idx="454">
                  <c:v>31461</c:v>
                </c:pt>
                <c:pt idx="455">
                  <c:v>31462</c:v>
                </c:pt>
                <c:pt idx="456">
                  <c:v>31463</c:v>
                </c:pt>
                <c:pt idx="457">
                  <c:v>31464</c:v>
                </c:pt>
                <c:pt idx="458">
                  <c:v>31465</c:v>
                </c:pt>
                <c:pt idx="459">
                  <c:v>31466</c:v>
                </c:pt>
                <c:pt idx="460">
                  <c:v>31467</c:v>
                </c:pt>
                <c:pt idx="461">
                  <c:v>31468</c:v>
                </c:pt>
                <c:pt idx="462">
                  <c:v>31469</c:v>
                </c:pt>
                <c:pt idx="463">
                  <c:v>31470</c:v>
                </c:pt>
                <c:pt idx="464">
                  <c:v>31471</c:v>
                </c:pt>
                <c:pt idx="465">
                  <c:v>31472</c:v>
                </c:pt>
                <c:pt idx="466">
                  <c:v>31473</c:v>
                </c:pt>
                <c:pt idx="467">
                  <c:v>31474</c:v>
                </c:pt>
                <c:pt idx="468">
                  <c:v>31475</c:v>
                </c:pt>
                <c:pt idx="469">
                  <c:v>31476</c:v>
                </c:pt>
                <c:pt idx="470">
                  <c:v>31477</c:v>
                </c:pt>
                <c:pt idx="471">
                  <c:v>31478</c:v>
                </c:pt>
                <c:pt idx="472">
                  <c:v>31479</c:v>
                </c:pt>
                <c:pt idx="473">
                  <c:v>31480</c:v>
                </c:pt>
                <c:pt idx="474">
                  <c:v>31481</c:v>
                </c:pt>
                <c:pt idx="475">
                  <c:v>31482</c:v>
                </c:pt>
                <c:pt idx="476">
                  <c:v>31483</c:v>
                </c:pt>
                <c:pt idx="477">
                  <c:v>31484</c:v>
                </c:pt>
                <c:pt idx="478">
                  <c:v>31485</c:v>
                </c:pt>
                <c:pt idx="479">
                  <c:v>31486</c:v>
                </c:pt>
                <c:pt idx="480">
                  <c:v>31487</c:v>
                </c:pt>
                <c:pt idx="481">
                  <c:v>31488</c:v>
                </c:pt>
                <c:pt idx="482">
                  <c:v>31489</c:v>
                </c:pt>
                <c:pt idx="483">
                  <c:v>31490</c:v>
                </c:pt>
                <c:pt idx="484">
                  <c:v>31491</c:v>
                </c:pt>
                <c:pt idx="485">
                  <c:v>31492</c:v>
                </c:pt>
                <c:pt idx="486">
                  <c:v>31493</c:v>
                </c:pt>
                <c:pt idx="487">
                  <c:v>31494</c:v>
                </c:pt>
                <c:pt idx="488">
                  <c:v>31495</c:v>
                </c:pt>
                <c:pt idx="489">
                  <c:v>31496</c:v>
                </c:pt>
                <c:pt idx="490">
                  <c:v>31497</c:v>
                </c:pt>
                <c:pt idx="491">
                  <c:v>31498</c:v>
                </c:pt>
                <c:pt idx="492">
                  <c:v>31499</c:v>
                </c:pt>
                <c:pt idx="493">
                  <c:v>31500</c:v>
                </c:pt>
                <c:pt idx="494">
                  <c:v>31501</c:v>
                </c:pt>
                <c:pt idx="495">
                  <c:v>31502</c:v>
                </c:pt>
                <c:pt idx="496">
                  <c:v>31503</c:v>
                </c:pt>
                <c:pt idx="497">
                  <c:v>31504</c:v>
                </c:pt>
                <c:pt idx="498">
                  <c:v>31505</c:v>
                </c:pt>
                <c:pt idx="499">
                  <c:v>31506</c:v>
                </c:pt>
                <c:pt idx="500">
                  <c:v>31507</c:v>
                </c:pt>
                <c:pt idx="501">
                  <c:v>31508</c:v>
                </c:pt>
                <c:pt idx="502">
                  <c:v>31509</c:v>
                </c:pt>
                <c:pt idx="503">
                  <c:v>31510</c:v>
                </c:pt>
                <c:pt idx="504">
                  <c:v>31511</c:v>
                </c:pt>
                <c:pt idx="505">
                  <c:v>31512</c:v>
                </c:pt>
                <c:pt idx="506">
                  <c:v>31513</c:v>
                </c:pt>
                <c:pt idx="507">
                  <c:v>31514</c:v>
                </c:pt>
                <c:pt idx="508">
                  <c:v>31515</c:v>
                </c:pt>
                <c:pt idx="509">
                  <c:v>31516</c:v>
                </c:pt>
                <c:pt idx="510">
                  <c:v>31517</c:v>
                </c:pt>
                <c:pt idx="511">
                  <c:v>31518</c:v>
                </c:pt>
                <c:pt idx="512">
                  <c:v>31519</c:v>
                </c:pt>
                <c:pt idx="513">
                  <c:v>31520</c:v>
                </c:pt>
                <c:pt idx="514">
                  <c:v>31521</c:v>
                </c:pt>
                <c:pt idx="515">
                  <c:v>31522</c:v>
                </c:pt>
                <c:pt idx="516">
                  <c:v>31523</c:v>
                </c:pt>
                <c:pt idx="517">
                  <c:v>31524</c:v>
                </c:pt>
                <c:pt idx="518">
                  <c:v>31525</c:v>
                </c:pt>
                <c:pt idx="519">
                  <c:v>31526</c:v>
                </c:pt>
                <c:pt idx="520">
                  <c:v>31527</c:v>
                </c:pt>
                <c:pt idx="521">
                  <c:v>31528</c:v>
                </c:pt>
                <c:pt idx="522">
                  <c:v>31529</c:v>
                </c:pt>
                <c:pt idx="523">
                  <c:v>31530</c:v>
                </c:pt>
                <c:pt idx="524">
                  <c:v>31531</c:v>
                </c:pt>
                <c:pt idx="525">
                  <c:v>31532</c:v>
                </c:pt>
                <c:pt idx="526">
                  <c:v>31533</c:v>
                </c:pt>
                <c:pt idx="527">
                  <c:v>31534</c:v>
                </c:pt>
                <c:pt idx="528">
                  <c:v>31535</c:v>
                </c:pt>
                <c:pt idx="529">
                  <c:v>31536</c:v>
                </c:pt>
                <c:pt idx="530">
                  <c:v>31537</c:v>
                </c:pt>
                <c:pt idx="531">
                  <c:v>31538</c:v>
                </c:pt>
                <c:pt idx="532">
                  <c:v>31539</c:v>
                </c:pt>
                <c:pt idx="533">
                  <c:v>31540</c:v>
                </c:pt>
                <c:pt idx="534">
                  <c:v>31541</c:v>
                </c:pt>
                <c:pt idx="535">
                  <c:v>31542</c:v>
                </c:pt>
                <c:pt idx="536">
                  <c:v>31543</c:v>
                </c:pt>
                <c:pt idx="537">
                  <c:v>31544</c:v>
                </c:pt>
                <c:pt idx="538">
                  <c:v>31545</c:v>
                </c:pt>
                <c:pt idx="539">
                  <c:v>31546</c:v>
                </c:pt>
                <c:pt idx="540">
                  <c:v>31547</c:v>
                </c:pt>
                <c:pt idx="541">
                  <c:v>31548</c:v>
                </c:pt>
                <c:pt idx="542">
                  <c:v>31549</c:v>
                </c:pt>
                <c:pt idx="543">
                  <c:v>31550</c:v>
                </c:pt>
                <c:pt idx="544">
                  <c:v>31551</c:v>
                </c:pt>
                <c:pt idx="545">
                  <c:v>31552</c:v>
                </c:pt>
                <c:pt idx="546">
                  <c:v>31553</c:v>
                </c:pt>
                <c:pt idx="547">
                  <c:v>31554</c:v>
                </c:pt>
                <c:pt idx="548">
                  <c:v>31555</c:v>
                </c:pt>
                <c:pt idx="549">
                  <c:v>31556</c:v>
                </c:pt>
                <c:pt idx="550">
                  <c:v>31557</c:v>
                </c:pt>
                <c:pt idx="551">
                  <c:v>31558</c:v>
                </c:pt>
                <c:pt idx="552">
                  <c:v>31559</c:v>
                </c:pt>
                <c:pt idx="553">
                  <c:v>31560</c:v>
                </c:pt>
                <c:pt idx="554">
                  <c:v>31561</c:v>
                </c:pt>
                <c:pt idx="555">
                  <c:v>31562</c:v>
                </c:pt>
                <c:pt idx="556">
                  <c:v>31563</c:v>
                </c:pt>
                <c:pt idx="557">
                  <c:v>31564</c:v>
                </c:pt>
                <c:pt idx="558">
                  <c:v>31565</c:v>
                </c:pt>
                <c:pt idx="559">
                  <c:v>31566</c:v>
                </c:pt>
                <c:pt idx="560">
                  <c:v>31567</c:v>
                </c:pt>
                <c:pt idx="561">
                  <c:v>31568</c:v>
                </c:pt>
                <c:pt idx="562">
                  <c:v>31569</c:v>
                </c:pt>
                <c:pt idx="563">
                  <c:v>31570</c:v>
                </c:pt>
                <c:pt idx="564">
                  <c:v>31571</c:v>
                </c:pt>
                <c:pt idx="565">
                  <c:v>31572</c:v>
                </c:pt>
                <c:pt idx="566">
                  <c:v>31573</c:v>
                </c:pt>
                <c:pt idx="567">
                  <c:v>31574</c:v>
                </c:pt>
                <c:pt idx="568">
                  <c:v>31575</c:v>
                </c:pt>
                <c:pt idx="569">
                  <c:v>31576</c:v>
                </c:pt>
                <c:pt idx="570">
                  <c:v>31577</c:v>
                </c:pt>
                <c:pt idx="571">
                  <c:v>31578</c:v>
                </c:pt>
                <c:pt idx="572">
                  <c:v>31579</c:v>
                </c:pt>
                <c:pt idx="573">
                  <c:v>31580</c:v>
                </c:pt>
                <c:pt idx="574">
                  <c:v>31581</c:v>
                </c:pt>
                <c:pt idx="575">
                  <c:v>31582</c:v>
                </c:pt>
                <c:pt idx="576">
                  <c:v>31583</c:v>
                </c:pt>
                <c:pt idx="577">
                  <c:v>31584</c:v>
                </c:pt>
                <c:pt idx="578">
                  <c:v>31585</c:v>
                </c:pt>
                <c:pt idx="579">
                  <c:v>31586</c:v>
                </c:pt>
                <c:pt idx="580">
                  <c:v>31587</c:v>
                </c:pt>
                <c:pt idx="581">
                  <c:v>31588</c:v>
                </c:pt>
                <c:pt idx="582">
                  <c:v>31589</c:v>
                </c:pt>
                <c:pt idx="583">
                  <c:v>31590</c:v>
                </c:pt>
                <c:pt idx="584">
                  <c:v>31591</c:v>
                </c:pt>
                <c:pt idx="585">
                  <c:v>31592</c:v>
                </c:pt>
                <c:pt idx="586">
                  <c:v>31593</c:v>
                </c:pt>
                <c:pt idx="587">
                  <c:v>31594</c:v>
                </c:pt>
                <c:pt idx="588">
                  <c:v>31595</c:v>
                </c:pt>
                <c:pt idx="589">
                  <c:v>31596</c:v>
                </c:pt>
                <c:pt idx="590">
                  <c:v>31597</c:v>
                </c:pt>
                <c:pt idx="591">
                  <c:v>31598</c:v>
                </c:pt>
                <c:pt idx="592">
                  <c:v>31599</c:v>
                </c:pt>
                <c:pt idx="593">
                  <c:v>31600</c:v>
                </c:pt>
                <c:pt idx="594">
                  <c:v>31601</c:v>
                </c:pt>
                <c:pt idx="595">
                  <c:v>31602</c:v>
                </c:pt>
                <c:pt idx="596">
                  <c:v>31603</c:v>
                </c:pt>
                <c:pt idx="597">
                  <c:v>31604</c:v>
                </c:pt>
                <c:pt idx="598">
                  <c:v>31605</c:v>
                </c:pt>
                <c:pt idx="599">
                  <c:v>31606</c:v>
                </c:pt>
                <c:pt idx="600">
                  <c:v>31607</c:v>
                </c:pt>
                <c:pt idx="601">
                  <c:v>31608</c:v>
                </c:pt>
                <c:pt idx="602">
                  <c:v>31609</c:v>
                </c:pt>
                <c:pt idx="603">
                  <c:v>31610</c:v>
                </c:pt>
                <c:pt idx="604">
                  <c:v>31611</c:v>
                </c:pt>
                <c:pt idx="605">
                  <c:v>31612</c:v>
                </c:pt>
                <c:pt idx="606">
                  <c:v>31613</c:v>
                </c:pt>
                <c:pt idx="607">
                  <c:v>31614</c:v>
                </c:pt>
                <c:pt idx="608">
                  <c:v>31615</c:v>
                </c:pt>
                <c:pt idx="609">
                  <c:v>31616</c:v>
                </c:pt>
                <c:pt idx="610">
                  <c:v>31617</c:v>
                </c:pt>
                <c:pt idx="611">
                  <c:v>31618</c:v>
                </c:pt>
                <c:pt idx="612">
                  <c:v>31619</c:v>
                </c:pt>
                <c:pt idx="613">
                  <c:v>31620</c:v>
                </c:pt>
                <c:pt idx="614">
                  <c:v>31621</c:v>
                </c:pt>
                <c:pt idx="615">
                  <c:v>31622</c:v>
                </c:pt>
                <c:pt idx="616">
                  <c:v>31623</c:v>
                </c:pt>
                <c:pt idx="617">
                  <c:v>31624</c:v>
                </c:pt>
                <c:pt idx="618">
                  <c:v>31625</c:v>
                </c:pt>
                <c:pt idx="619">
                  <c:v>31626</c:v>
                </c:pt>
                <c:pt idx="620">
                  <c:v>31627</c:v>
                </c:pt>
                <c:pt idx="621">
                  <c:v>31628</c:v>
                </c:pt>
                <c:pt idx="622">
                  <c:v>31629</c:v>
                </c:pt>
                <c:pt idx="623">
                  <c:v>31630</c:v>
                </c:pt>
                <c:pt idx="624">
                  <c:v>31631</c:v>
                </c:pt>
                <c:pt idx="625">
                  <c:v>31632</c:v>
                </c:pt>
                <c:pt idx="626">
                  <c:v>31633</c:v>
                </c:pt>
                <c:pt idx="627">
                  <c:v>31634</c:v>
                </c:pt>
                <c:pt idx="628">
                  <c:v>31635</c:v>
                </c:pt>
                <c:pt idx="629">
                  <c:v>31636</c:v>
                </c:pt>
                <c:pt idx="630">
                  <c:v>31637</c:v>
                </c:pt>
                <c:pt idx="631">
                  <c:v>31638</c:v>
                </c:pt>
                <c:pt idx="632">
                  <c:v>31639</c:v>
                </c:pt>
                <c:pt idx="633">
                  <c:v>31640</c:v>
                </c:pt>
                <c:pt idx="634">
                  <c:v>31641</c:v>
                </c:pt>
                <c:pt idx="635">
                  <c:v>31642</c:v>
                </c:pt>
                <c:pt idx="636">
                  <c:v>31643</c:v>
                </c:pt>
                <c:pt idx="637">
                  <c:v>31644</c:v>
                </c:pt>
                <c:pt idx="638">
                  <c:v>31645</c:v>
                </c:pt>
                <c:pt idx="639">
                  <c:v>31646</c:v>
                </c:pt>
                <c:pt idx="640">
                  <c:v>31647</c:v>
                </c:pt>
                <c:pt idx="641">
                  <c:v>31648</c:v>
                </c:pt>
                <c:pt idx="642">
                  <c:v>31649</c:v>
                </c:pt>
                <c:pt idx="643">
                  <c:v>31650</c:v>
                </c:pt>
                <c:pt idx="644">
                  <c:v>31651</c:v>
                </c:pt>
                <c:pt idx="645">
                  <c:v>31652</c:v>
                </c:pt>
                <c:pt idx="646">
                  <c:v>31653</c:v>
                </c:pt>
                <c:pt idx="647">
                  <c:v>31654</c:v>
                </c:pt>
                <c:pt idx="648">
                  <c:v>31655</c:v>
                </c:pt>
                <c:pt idx="649">
                  <c:v>31656</c:v>
                </c:pt>
                <c:pt idx="650">
                  <c:v>31657</c:v>
                </c:pt>
                <c:pt idx="651">
                  <c:v>31658</c:v>
                </c:pt>
                <c:pt idx="652">
                  <c:v>31659</c:v>
                </c:pt>
                <c:pt idx="653">
                  <c:v>31660</c:v>
                </c:pt>
                <c:pt idx="654">
                  <c:v>31661</c:v>
                </c:pt>
                <c:pt idx="655">
                  <c:v>31662</c:v>
                </c:pt>
                <c:pt idx="656">
                  <c:v>31663</c:v>
                </c:pt>
                <c:pt idx="657">
                  <c:v>31664</c:v>
                </c:pt>
                <c:pt idx="658">
                  <c:v>31665</c:v>
                </c:pt>
                <c:pt idx="659">
                  <c:v>31666</c:v>
                </c:pt>
                <c:pt idx="660">
                  <c:v>31667</c:v>
                </c:pt>
                <c:pt idx="661">
                  <c:v>31668</c:v>
                </c:pt>
                <c:pt idx="662">
                  <c:v>31669</c:v>
                </c:pt>
                <c:pt idx="663">
                  <c:v>31670</c:v>
                </c:pt>
                <c:pt idx="664">
                  <c:v>31671</c:v>
                </c:pt>
                <c:pt idx="665">
                  <c:v>31672</c:v>
                </c:pt>
                <c:pt idx="666">
                  <c:v>31673</c:v>
                </c:pt>
                <c:pt idx="667">
                  <c:v>31674</c:v>
                </c:pt>
                <c:pt idx="668">
                  <c:v>31675</c:v>
                </c:pt>
                <c:pt idx="669">
                  <c:v>31676</c:v>
                </c:pt>
                <c:pt idx="670">
                  <c:v>31677</c:v>
                </c:pt>
                <c:pt idx="671">
                  <c:v>31678</c:v>
                </c:pt>
                <c:pt idx="672">
                  <c:v>31679</c:v>
                </c:pt>
                <c:pt idx="673">
                  <c:v>31680</c:v>
                </c:pt>
                <c:pt idx="674">
                  <c:v>31681</c:v>
                </c:pt>
                <c:pt idx="675">
                  <c:v>31682</c:v>
                </c:pt>
                <c:pt idx="676">
                  <c:v>31683</c:v>
                </c:pt>
                <c:pt idx="677">
                  <c:v>31684</c:v>
                </c:pt>
                <c:pt idx="678">
                  <c:v>31685</c:v>
                </c:pt>
                <c:pt idx="679">
                  <c:v>31686</c:v>
                </c:pt>
                <c:pt idx="680">
                  <c:v>31687</c:v>
                </c:pt>
                <c:pt idx="681">
                  <c:v>31688</c:v>
                </c:pt>
                <c:pt idx="682">
                  <c:v>31689</c:v>
                </c:pt>
                <c:pt idx="683">
                  <c:v>31690</c:v>
                </c:pt>
                <c:pt idx="684">
                  <c:v>31691</c:v>
                </c:pt>
                <c:pt idx="685">
                  <c:v>31692</c:v>
                </c:pt>
                <c:pt idx="686">
                  <c:v>31693</c:v>
                </c:pt>
                <c:pt idx="687">
                  <c:v>31694</c:v>
                </c:pt>
                <c:pt idx="688">
                  <c:v>31695</c:v>
                </c:pt>
                <c:pt idx="689">
                  <c:v>31696</c:v>
                </c:pt>
                <c:pt idx="690">
                  <c:v>31697</c:v>
                </c:pt>
                <c:pt idx="691">
                  <c:v>31698</c:v>
                </c:pt>
                <c:pt idx="692">
                  <c:v>31699</c:v>
                </c:pt>
                <c:pt idx="693">
                  <c:v>31700</c:v>
                </c:pt>
                <c:pt idx="694">
                  <c:v>31701</c:v>
                </c:pt>
                <c:pt idx="695">
                  <c:v>31702</c:v>
                </c:pt>
                <c:pt idx="696">
                  <c:v>31703</c:v>
                </c:pt>
                <c:pt idx="697">
                  <c:v>31704</c:v>
                </c:pt>
                <c:pt idx="698">
                  <c:v>31705</c:v>
                </c:pt>
                <c:pt idx="699">
                  <c:v>31706</c:v>
                </c:pt>
                <c:pt idx="700">
                  <c:v>31707</c:v>
                </c:pt>
                <c:pt idx="701">
                  <c:v>31708</c:v>
                </c:pt>
                <c:pt idx="702">
                  <c:v>31709</c:v>
                </c:pt>
                <c:pt idx="703">
                  <c:v>31710</c:v>
                </c:pt>
                <c:pt idx="704">
                  <c:v>31711</c:v>
                </c:pt>
                <c:pt idx="705">
                  <c:v>31712</c:v>
                </c:pt>
                <c:pt idx="706">
                  <c:v>31713</c:v>
                </c:pt>
                <c:pt idx="707">
                  <c:v>31714</c:v>
                </c:pt>
                <c:pt idx="708">
                  <c:v>31715</c:v>
                </c:pt>
                <c:pt idx="709">
                  <c:v>31716</c:v>
                </c:pt>
                <c:pt idx="710">
                  <c:v>31717</c:v>
                </c:pt>
                <c:pt idx="711">
                  <c:v>31718</c:v>
                </c:pt>
                <c:pt idx="712">
                  <c:v>31719</c:v>
                </c:pt>
                <c:pt idx="713">
                  <c:v>31720</c:v>
                </c:pt>
                <c:pt idx="714">
                  <c:v>31721</c:v>
                </c:pt>
                <c:pt idx="715">
                  <c:v>31722</c:v>
                </c:pt>
                <c:pt idx="716">
                  <c:v>31723</c:v>
                </c:pt>
                <c:pt idx="717">
                  <c:v>31724</c:v>
                </c:pt>
                <c:pt idx="718">
                  <c:v>31725</c:v>
                </c:pt>
                <c:pt idx="719">
                  <c:v>31726</c:v>
                </c:pt>
                <c:pt idx="720">
                  <c:v>31727</c:v>
                </c:pt>
                <c:pt idx="721">
                  <c:v>31728</c:v>
                </c:pt>
                <c:pt idx="722">
                  <c:v>31729</c:v>
                </c:pt>
                <c:pt idx="723">
                  <c:v>31730</c:v>
                </c:pt>
                <c:pt idx="724">
                  <c:v>31731</c:v>
                </c:pt>
                <c:pt idx="725">
                  <c:v>31732</c:v>
                </c:pt>
                <c:pt idx="726">
                  <c:v>31733</c:v>
                </c:pt>
                <c:pt idx="727">
                  <c:v>31734</c:v>
                </c:pt>
                <c:pt idx="728">
                  <c:v>31735</c:v>
                </c:pt>
                <c:pt idx="729">
                  <c:v>31736</c:v>
                </c:pt>
                <c:pt idx="730">
                  <c:v>31737</c:v>
                </c:pt>
                <c:pt idx="731">
                  <c:v>31738</c:v>
                </c:pt>
                <c:pt idx="732">
                  <c:v>31739</c:v>
                </c:pt>
                <c:pt idx="733">
                  <c:v>31740</c:v>
                </c:pt>
                <c:pt idx="734">
                  <c:v>31741</c:v>
                </c:pt>
                <c:pt idx="735">
                  <c:v>31742</c:v>
                </c:pt>
                <c:pt idx="736">
                  <c:v>31743</c:v>
                </c:pt>
                <c:pt idx="737">
                  <c:v>31744</c:v>
                </c:pt>
                <c:pt idx="738">
                  <c:v>31745</c:v>
                </c:pt>
                <c:pt idx="739">
                  <c:v>31746</c:v>
                </c:pt>
                <c:pt idx="740">
                  <c:v>31747</c:v>
                </c:pt>
                <c:pt idx="741">
                  <c:v>31748</c:v>
                </c:pt>
                <c:pt idx="742">
                  <c:v>31749</c:v>
                </c:pt>
                <c:pt idx="743">
                  <c:v>31750</c:v>
                </c:pt>
                <c:pt idx="744">
                  <c:v>31751</c:v>
                </c:pt>
                <c:pt idx="745">
                  <c:v>31752</c:v>
                </c:pt>
                <c:pt idx="746">
                  <c:v>31753</c:v>
                </c:pt>
                <c:pt idx="747">
                  <c:v>31754</c:v>
                </c:pt>
                <c:pt idx="748">
                  <c:v>31755</c:v>
                </c:pt>
                <c:pt idx="749">
                  <c:v>31756</c:v>
                </c:pt>
                <c:pt idx="750">
                  <c:v>31757</c:v>
                </c:pt>
                <c:pt idx="751">
                  <c:v>31758</c:v>
                </c:pt>
                <c:pt idx="752">
                  <c:v>31759</c:v>
                </c:pt>
                <c:pt idx="753">
                  <c:v>31760</c:v>
                </c:pt>
                <c:pt idx="754">
                  <c:v>31761</c:v>
                </c:pt>
                <c:pt idx="755">
                  <c:v>31762</c:v>
                </c:pt>
                <c:pt idx="756">
                  <c:v>31763</c:v>
                </c:pt>
                <c:pt idx="757">
                  <c:v>31764</c:v>
                </c:pt>
                <c:pt idx="758">
                  <c:v>31765</c:v>
                </c:pt>
                <c:pt idx="759">
                  <c:v>31766</c:v>
                </c:pt>
                <c:pt idx="760">
                  <c:v>31767</c:v>
                </c:pt>
                <c:pt idx="761">
                  <c:v>31768</c:v>
                </c:pt>
                <c:pt idx="762">
                  <c:v>31769</c:v>
                </c:pt>
                <c:pt idx="763">
                  <c:v>31770</c:v>
                </c:pt>
                <c:pt idx="764">
                  <c:v>31771</c:v>
                </c:pt>
                <c:pt idx="765">
                  <c:v>31772</c:v>
                </c:pt>
                <c:pt idx="766">
                  <c:v>31773</c:v>
                </c:pt>
                <c:pt idx="767">
                  <c:v>31774</c:v>
                </c:pt>
                <c:pt idx="768">
                  <c:v>31775</c:v>
                </c:pt>
                <c:pt idx="769">
                  <c:v>31776</c:v>
                </c:pt>
                <c:pt idx="770">
                  <c:v>31777</c:v>
                </c:pt>
                <c:pt idx="771">
                  <c:v>31778</c:v>
                </c:pt>
                <c:pt idx="772">
                  <c:v>31779</c:v>
                </c:pt>
                <c:pt idx="773">
                  <c:v>31780</c:v>
                </c:pt>
                <c:pt idx="774">
                  <c:v>31781</c:v>
                </c:pt>
                <c:pt idx="775">
                  <c:v>31782</c:v>
                </c:pt>
                <c:pt idx="776">
                  <c:v>31783</c:v>
                </c:pt>
                <c:pt idx="777">
                  <c:v>31784</c:v>
                </c:pt>
                <c:pt idx="778">
                  <c:v>31785</c:v>
                </c:pt>
                <c:pt idx="779">
                  <c:v>31786</c:v>
                </c:pt>
                <c:pt idx="780">
                  <c:v>31787</c:v>
                </c:pt>
                <c:pt idx="781">
                  <c:v>31788</c:v>
                </c:pt>
                <c:pt idx="782">
                  <c:v>31789</c:v>
                </c:pt>
                <c:pt idx="783">
                  <c:v>31790</c:v>
                </c:pt>
                <c:pt idx="784">
                  <c:v>31791</c:v>
                </c:pt>
                <c:pt idx="785">
                  <c:v>31792</c:v>
                </c:pt>
                <c:pt idx="786">
                  <c:v>31793</c:v>
                </c:pt>
                <c:pt idx="787">
                  <c:v>31794</c:v>
                </c:pt>
                <c:pt idx="788">
                  <c:v>31795</c:v>
                </c:pt>
                <c:pt idx="789">
                  <c:v>31796</c:v>
                </c:pt>
                <c:pt idx="790">
                  <c:v>31797</c:v>
                </c:pt>
                <c:pt idx="791">
                  <c:v>31798</c:v>
                </c:pt>
                <c:pt idx="792">
                  <c:v>31799</c:v>
                </c:pt>
                <c:pt idx="793">
                  <c:v>31800</c:v>
                </c:pt>
                <c:pt idx="794">
                  <c:v>31801</c:v>
                </c:pt>
                <c:pt idx="795">
                  <c:v>31802</c:v>
                </c:pt>
                <c:pt idx="796">
                  <c:v>31803</c:v>
                </c:pt>
                <c:pt idx="797">
                  <c:v>31804</c:v>
                </c:pt>
                <c:pt idx="798">
                  <c:v>31805</c:v>
                </c:pt>
                <c:pt idx="799">
                  <c:v>31806</c:v>
                </c:pt>
                <c:pt idx="800">
                  <c:v>31807</c:v>
                </c:pt>
                <c:pt idx="801">
                  <c:v>31808</c:v>
                </c:pt>
                <c:pt idx="802">
                  <c:v>31809</c:v>
                </c:pt>
                <c:pt idx="803">
                  <c:v>31810</c:v>
                </c:pt>
                <c:pt idx="804">
                  <c:v>31811</c:v>
                </c:pt>
                <c:pt idx="805">
                  <c:v>31812</c:v>
                </c:pt>
                <c:pt idx="806">
                  <c:v>31813</c:v>
                </c:pt>
                <c:pt idx="807">
                  <c:v>31814</c:v>
                </c:pt>
                <c:pt idx="808">
                  <c:v>31815</c:v>
                </c:pt>
                <c:pt idx="809">
                  <c:v>31816</c:v>
                </c:pt>
                <c:pt idx="810">
                  <c:v>31817</c:v>
                </c:pt>
                <c:pt idx="811">
                  <c:v>31818</c:v>
                </c:pt>
                <c:pt idx="812">
                  <c:v>31819</c:v>
                </c:pt>
                <c:pt idx="813">
                  <c:v>31820</c:v>
                </c:pt>
                <c:pt idx="814">
                  <c:v>31821</c:v>
                </c:pt>
                <c:pt idx="815">
                  <c:v>31822</c:v>
                </c:pt>
                <c:pt idx="816">
                  <c:v>31823</c:v>
                </c:pt>
                <c:pt idx="817">
                  <c:v>31824</c:v>
                </c:pt>
                <c:pt idx="818">
                  <c:v>31825</c:v>
                </c:pt>
                <c:pt idx="819">
                  <c:v>31826</c:v>
                </c:pt>
                <c:pt idx="820">
                  <c:v>31827</c:v>
                </c:pt>
                <c:pt idx="821">
                  <c:v>31828</c:v>
                </c:pt>
                <c:pt idx="822">
                  <c:v>31829</c:v>
                </c:pt>
                <c:pt idx="823">
                  <c:v>31830</c:v>
                </c:pt>
                <c:pt idx="824">
                  <c:v>31831</c:v>
                </c:pt>
                <c:pt idx="825">
                  <c:v>31832</c:v>
                </c:pt>
                <c:pt idx="826">
                  <c:v>31833</c:v>
                </c:pt>
                <c:pt idx="827">
                  <c:v>31834</c:v>
                </c:pt>
                <c:pt idx="828">
                  <c:v>31835</c:v>
                </c:pt>
                <c:pt idx="829">
                  <c:v>31836</c:v>
                </c:pt>
                <c:pt idx="830">
                  <c:v>31837</c:v>
                </c:pt>
                <c:pt idx="831">
                  <c:v>31838</c:v>
                </c:pt>
                <c:pt idx="832">
                  <c:v>31839</c:v>
                </c:pt>
                <c:pt idx="833">
                  <c:v>31840</c:v>
                </c:pt>
                <c:pt idx="834">
                  <c:v>31841</c:v>
                </c:pt>
                <c:pt idx="835">
                  <c:v>31842</c:v>
                </c:pt>
                <c:pt idx="836">
                  <c:v>31843</c:v>
                </c:pt>
                <c:pt idx="837">
                  <c:v>31844</c:v>
                </c:pt>
                <c:pt idx="838">
                  <c:v>31845</c:v>
                </c:pt>
                <c:pt idx="839">
                  <c:v>31846</c:v>
                </c:pt>
                <c:pt idx="840">
                  <c:v>31847</c:v>
                </c:pt>
                <c:pt idx="841">
                  <c:v>31848</c:v>
                </c:pt>
                <c:pt idx="842">
                  <c:v>31849</c:v>
                </c:pt>
                <c:pt idx="843">
                  <c:v>31850</c:v>
                </c:pt>
                <c:pt idx="844">
                  <c:v>31851</c:v>
                </c:pt>
                <c:pt idx="845">
                  <c:v>31852</c:v>
                </c:pt>
                <c:pt idx="846">
                  <c:v>31853</c:v>
                </c:pt>
                <c:pt idx="847">
                  <c:v>31854</c:v>
                </c:pt>
                <c:pt idx="848">
                  <c:v>31855</c:v>
                </c:pt>
                <c:pt idx="849">
                  <c:v>31856</c:v>
                </c:pt>
                <c:pt idx="850">
                  <c:v>31857</c:v>
                </c:pt>
                <c:pt idx="851">
                  <c:v>31858</c:v>
                </c:pt>
                <c:pt idx="852">
                  <c:v>31859</c:v>
                </c:pt>
                <c:pt idx="853">
                  <c:v>31860</c:v>
                </c:pt>
                <c:pt idx="854">
                  <c:v>31861</c:v>
                </c:pt>
                <c:pt idx="855">
                  <c:v>31862</c:v>
                </c:pt>
                <c:pt idx="856">
                  <c:v>31863</c:v>
                </c:pt>
                <c:pt idx="857">
                  <c:v>31864</c:v>
                </c:pt>
                <c:pt idx="858">
                  <c:v>31865</c:v>
                </c:pt>
                <c:pt idx="859">
                  <c:v>31866</c:v>
                </c:pt>
                <c:pt idx="860">
                  <c:v>31867</c:v>
                </c:pt>
                <c:pt idx="861">
                  <c:v>31868</c:v>
                </c:pt>
                <c:pt idx="862">
                  <c:v>31869</c:v>
                </c:pt>
                <c:pt idx="863">
                  <c:v>31870</c:v>
                </c:pt>
                <c:pt idx="864">
                  <c:v>31871</c:v>
                </c:pt>
                <c:pt idx="865">
                  <c:v>31872</c:v>
                </c:pt>
                <c:pt idx="866">
                  <c:v>31873</c:v>
                </c:pt>
                <c:pt idx="867">
                  <c:v>31874</c:v>
                </c:pt>
                <c:pt idx="868">
                  <c:v>31875</c:v>
                </c:pt>
                <c:pt idx="869">
                  <c:v>31876</c:v>
                </c:pt>
                <c:pt idx="870">
                  <c:v>31877</c:v>
                </c:pt>
                <c:pt idx="871">
                  <c:v>31878</c:v>
                </c:pt>
                <c:pt idx="872">
                  <c:v>31879</c:v>
                </c:pt>
                <c:pt idx="873">
                  <c:v>31880</c:v>
                </c:pt>
                <c:pt idx="874">
                  <c:v>31881</c:v>
                </c:pt>
                <c:pt idx="875">
                  <c:v>31882</c:v>
                </c:pt>
                <c:pt idx="876">
                  <c:v>31883</c:v>
                </c:pt>
                <c:pt idx="877">
                  <c:v>31884</c:v>
                </c:pt>
                <c:pt idx="878">
                  <c:v>31885</c:v>
                </c:pt>
                <c:pt idx="879">
                  <c:v>31886</c:v>
                </c:pt>
                <c:pt idx="880">
                  <c:v>31887</c:v>
                </c:pt>
                <c:pt idx="881">
                  <c:v>31888</c:v>
                </c:pt>
                <c:pt idx="882">
                  <c:v>31889</c:v>
                </c:pt>
                <c:pt idx="883">
                  <c:v>31890</c:v>
                </c:pt>
                <c:pt idx="884">
                  <c:v>31891</c:v>
                </c:pt>
                <c:pt idx="885">
                  <c:v>31892</c:v>
                </c:pt>
                <c:pt idx="886">
                  <c:v>31893</c:v>
                </c:pt>
                <c:pt idx="887">
                  <c:v>31894</c:v>
                </c:pt>
                <c:pt idx="888">
                  <c:v>31895</c:v>
                </c:pt>
                <c:pt idx="889">
                  <c:v>31896</c:v>
                </c:pt>
                <c:pt idx="890">
                  <c:v>31897</c:v>
                </c:pt>
                <c:pt idx="891">
                  <c:v>31898</c:v>
                </c:pt>
                <c:pt idx="892">
                  <c:v>31899</c:v>
                </c:pt>
                <c:pt idx="893">
                  <c:v>31900</c:v>
                </c:pt>
                <c:pt idx="894">
                  <c:v>31901</c:v>
                </c:pt>
                <c:pt idx="895">
                  <c:v>31902</c:v>
                </c:pt>
                <c:pt idx="896">
                  <c:v>31903</c:v>
                </c:pt>
                <c:pt idx="897">
                  <c:v>31904</c:v>
                </c:pt>
                <c:pt idx="898">
                  <c:v>31905</c:v>
                </c:pt>
                <c:pt idx="899">
                  <c:v>31906</c:v>
                </c:pt>
                <c:pt idx="900">
                  <c:v>31907</c:v>
                </c:pt>
                <c:pt idx="901">
                  <c:v>31908</c:v>
                </c:pt>
                <c:pt idx="902">
                  <c:v>31909</c:v>
                </c:pt>
                <c:pt idx="903">
                  <c:v>31910</c:v>
                </c:pt>
                <c:pt idx="904">
                  <c:v>31911</c:v>
                </c:pt>
                <c:pt idx="905">
                  <c:v>31912</c:v>
                </c:pt>
                <c:pt idx="906">
                  <c:v>31913</c:v>
                </c:pt>
                <c:pt idx="907">
                  <c:v>31914</c:v>
                </c:pt>
                <c:pt idx="908">
                  <c:v>31915</c:v>
                </c:pt>
                <c:pt idx="909">
                  <c:v>31916</c:v>
                </c:pt>
                <c:pt idx="910">
                  <c:v>31917</c:v>
                </c:pt>
                <c:pt idx="911">
                  <c:v>31918</c:v>
                </c:pt>
                <c:pt idx="912">
                  <c:v>31919</c:v>
                </c:pt>
                <c:pt idx="913">
                  <c:v>31920</c:v>
                </c:pt>
                <c:pt idx="914">
                  <c:v>31921</c:v>
                </c:pt>
                <c:pt idx="915">
                  <c:v>31922</c:v>
                </c:pt>
                <c:pt idx="916">
                  <c:v>31923</c:v>
                </c:pt>
                <c:pt idx="917">
                  <c:v>31924</c:v>
                </c:pt>
                <c:pt idx="918">
                  <c:v>31925</c:v>
                </c:pt>
                <c:pt idx="919">
                  <c:v>31926</c:v>
                </c:pt>
                <c:pt idx="920">
                  <c:v>31927</c:v>
                </c:pt>
                <c:pt idx="921">
                  <c:v>31928</c:v>
                </c:pt>
                <c:pt idx="922">
                  <c:v>31929</c:v>
                </c:pt>
                <c:pt idx="923">
                  <c:v>31930</c:v>
                </c:pt>
                <c:pt idx="924">
                  <c:v>31931</c:v>
                </c:pt>
                <c:pt idx="925">
                  <c:v>31932</c:v>
                </c:pt>
                <c:pt idx="926">
                  <c:v>31933</c:v>
                </c:pt>
                <c:pt idx="927">
                  <c:v>31934</c:v>
                </c:pt>
                <c:pt idx="928">
                  <c:v>31935</c:v>
                </c:pt>
                <c:pt idx="929">
                  <c:v>31936</c:v>
                </c:pt>
                <c:pt idx="930">
                  <c:v>31937</c:v>
                </c:pt>
                <c:pt idx="931">
                  <c:v>31938</c:v>
                </c:pt>
                <c:pt idx="932">
                  <c:v>31939</c:v>
                </c:pt>
                <c:pt idx="933">
                  <c:v>31940</c:v>
                </c:pt>
                <c:pt idx="934">
                  <c:v>31941</c:v>
                </c:pt>
                <c:pt idx="935">
                  <c:v>31942</c:v>
                </c:pt>
                <c:pt idx="936">
                  <c:v>31943</c:v>
                </c:pt>
                <c:pt idx="937">
                  <c:v>31944</c:v>
                </c:pt>
                <c:pt idx="938">
                  <c:v>31945</c:v>
                </c:pt>
                <c:pt idx="939">
                  <c:v>31946</c:v>
                </c:pt>
                <c:pt idx="940">
                  <c:v>31947</c:v>
                </c:pt>
                <c:pt idx="941">
                  <c:v>31948</c:v>
                </c:pt>
                <c:pt idx="942">
                  <c:v>31949</c:v>
                </c:pt>
                <c:pt idx="943">
                  <c:v>31950</c:v>
                </c:pt>
                <c:pt idx="944">
                  <c:v>31951</c:v>
                </c:pt>
                <c:pt idx="945">
                  <c:v>31952</c:v>
                </c:pt>
                <c:pt idx="946">
                  <c:v>31953</c:v>
                </c:pt>
                <c:pt idx="947">
                  <c:v>31954</c:v>
                </c:pt>
                <c:pt idx="948">
                  <c:v>31955</c:v>
                </c:pt>
                <c:pt idx="949">
                  <c:v>31956</c:v>
                </c:pt>
                <c:pt idx="950">
                  <c:v>31957</c:v>
                </c:pt>
                <c:pt idx="951">
                  <c:v>31958</c:v>
                </c:pt>
                <c:pt idx="952">
                  <c:v>31959</c:v>
                </c:pt>
                <c:pt idx="953">
                  <c:v>31960</c:v>
                </c:pt>
                <c:pt idx="954">
                  <c:v>31961</c:v>
                </c:pt>
                <c:pt idx="955">
                  <c:v>31962</c:v>
                </c:pt>
                <c:pt idx="956">
                  <c:v>31963</c:v>
                </c:pt>
                <c:pt idx="957">
                  <c:v>31964</c:v>
                </c:pt>
                <c:pt idx="958">
                  <c:v>31965</c:v>
                </c:pt>
                <c:pt idx="959">
                  <c:v>31966</c:v>
                </c:pt>
                <c:pt idx="960">
                  <c:v>31967</c:v>
                </c:pt>
                <c:pt idx="961">
                  <c:v>31968</c:v>
                </c:pt>
                <c:pt idx="962">
                  <c:v>31969</c:v>
                </c:pt>
                <c:pt idx="963">
                  <c:v>31970</c:v>
                </c:pt>
                <c:pt idx="964">
                  <c:v>31971</c:v>
                </c:pt>
                <c:pt idx="965">
                  <c:v>31972</c:v>
                </c:pt>
                <c:pt idx="966">
                  <c:v>31973</c:v>
                </c:pt>
                <c:pt idx="967">
                  <c:v>31974</c:v>
                </c:pt>
                <c:pt idx="968">
                  <c:v>31975</c:v>
                </c:pt>
                <c:pt idx="969">
                  <c:v>31976</c:v>
                </c:pt>
                <c:pt idx="970">
                  <c:v>31977</c:v>
                </c:pt>
                <c:pt idx="971">
                  <c:v>31978</c:v>
                </c:pt>
                <c:pt idx="972">
                  <c:v>31979</c:v>
                </c:pt>
                <c:pt idx="973">
                  <c:v>31980</c:v>
                </c:pt>
                <c:pt idx="974">
                  <c:v>31981</c:v>
                </c:pt>
                <c:pt idx="975">
                  <c:v>31982</c:v>
                </c:pt>
                <c:pt idx="976">
                  <c:v>31983</c:v>
                </c:pt>
                <c:pt idx="977">
                  <c:v>31984</c:v>
                </c:pt>
                <c:pt idx="978">
                  <c:v>31985</c:v>
                </c:pt>
                <c:pt idx="979">
                  <c:v>31986</c:v>
                </c:pt>
                <c:pt idx="980">
                  <c:v>31987</c:v>
                </c:pt>
                <c:pt idx="981">
                  <c:v>31988</c:v>
                </c:pt>
                <c:pt idx="982">
                  <c:v>31989</c:v>
                </c:pt>
                <c:pt idx="983">
                  <c:v>31990</c:v>
                </c:pt>
                <c:pt idx="984">
                  <c:v>31991</c:v>
                </c:pt>
                <c:pt idx="985">
                  <c:v>31992</c:v>
                </c:pt>
                <c:pt idx="986">
                  <c:v>31993</c:v>
                </c:pt>
                <c:pt idx="987">
                  <c:v>31994</c:v>
                </c:pt>
                <c:pt idx="988">
                  <c:v>31995</c:v>
                </c:pt>
                <c:pt idx="989">
                  <c:v>31996</c:v>
                </c:pt>
                <c:pt idx="990">
                  <c:v>31997</c:v>
                </c:pt>
                <c:pt idx="991">
                  <c:v>31998</c:v>
                </c:pt>
                <c:pt idx="992">
                  <c:v>31999</c:v>
                </c:pt>
                <c:pt idx="993">
                  <c:v>32000</c:v>
                </c:pt>
                <c:pt idx="994">
                  <c:v>32001</c:v>
                </c:pt>
                <c:pt idx="995">
                  <c:v>32002</c:v>
                </c:pt>
                <c:pt idx="996">
                  <c:v>32003</c:v>
                </c:pt>
                <c:pt idx="997">
                  <c:v>32004</c:v>
                </c:pt>
                <c:pt idx="998">
                  <c:v>32005</c:v>
                </c:pt>
                <c:pt idx="999">
                  <c:v>32006</c:v>
                </c:pt>
                <c:pt idx="1000">
                  <c:v>32007</c:v>
                </c:pt>
                <c:pt idx="1001">
                  <c:v>32008</c:v>
                </c:pt>
                <c:pt idx="1002">
                  <c:v>32009</c:v>
                </c:pt>
                <c:pt idx="1003">
                  <c:v>32010</c:v>
                </c:pt>
                <c:pt idx="1004">
                  <c:v>32011</c:v>
                </c:pt>
                <c:pt idx="1005">
                  <c:v>32012</c:v>
                </c:pt>
                <c:pt idx="1006">
                  <c:v>32013</c:v>
                </c:pt>
                <c:pt idx="1007">
                  <c:v>32014</c:v>
                </c:pt>
                <c:pt idx="1008">
                  <c:v>32015</c:v>
                </c:pt>
                <c:pt idx="1009">
                  <c:v>32016</c:v>
                </c:pt>
                <c:pt idx="1010">
                  <c:v>32017</c:v>
                </c:pt>
                <c:pt idx="1011">
                  <c:v>32018</c:v>
                </c:pt>
                <c:pt idx="1012">
                  <c:v>32019</c:v>
                </c:pt>
                <c:pt idx="1013">
                  <c:v>32020</c:v>
                </c:pt>
                <c:pt idx="1014">
                  <c:v>32021</c:v>
                </c:pt>
                <c:pt idx="1015">
                  <c:v>32022</c:v>
                </c:pt>
                <c:pt idx="1016">
                  <c:v>32023</c:v>
                </c:pt>
                <c:pt idx="1017">
                  <c:v>32024</c:v>
                </c:pt>
                <c:pt idx="1018">
                  <c:v>32025</c:v>
                </c:pt>
                <c:pt idx="1019">
                  <c:v>32026</c:v>
                </c:pt>
                <c:pt idx="1020">
                  <c:v>32027</c:v>
                </c:pt>
                <c:pt idx="1021">
                  <c:v>32028</c:v>
                </c:pt>
                <c:pt idx="1022">
                  <c:v>32029</c:v>
                </c:pt>
                <c:pt idx="1023">
                  <c:v>32030</c:v>
                </c:pt>
                <c:pt idx="1024">
                  <c:v>32031</c:v>
                </c:pt>
                <c:pt idx="1025">
                  <c:v>32032</c:v>
                </c:pt>
                <c:pt idx="1026">
                  <c:v>32033</c:v>
                </c:pt>
                <c:pt idx="1027">
                  <c:v>32034</c:v>
                </c:pt>
                <c:pt idx="1028">
                  <c:v>32035</c:v>
                </c:pt>
                <c:pt idx="1029">
                  <c:v>32036</c:v>
                </c:pt>
                <c:pt idx="1030">
                  <c:v>32037</c:v>
                </c:pt>
                <c:pt idx="1031">
                  <c:v>32038</c:v>
                </c:pt>
                <c:pt idx="1032">
                  <c:v>32039</c:v>
                </c:pt>
                <c:pt idx="1033">
                  <c:v>32040</c:v>
                </c:pt>
                <c:pt idx="1034">
                  <c:v>32041</c:v>
                </c:pt>
                <c:pt idx="1035">
                  <c:v>32042</c:v>
                </c:pt>
                <c:pt idx="1036">
                  <c:v>32043</c:v>
                </c:pt>
                <c:pt idx="1037">
                  <c:v>32044</c:v>
                </c:pt>
                <c:pt idx="1038">
                  <c:v>32045</c:v>
                </c:pt>
                <c:pt idx="1039">
                  <c:v>32046</c:v>
                </c:pt>
                <c:pt idx="1040">
                  <c:v>32047</c:v>
                </c:pt>
                <c:pt idx="1041">
                  <c:v>32048</c:v>
                </c:pt>
                <c:pt idx="1042">
                  <c:v>32049</c:v>
                </c:pt>
                <c:pt idx="1043">
                  <c:v>32050</c:v>
                </c:pt>
                <c:pt idx="1044">
                  <c:v>32051</c:v>
                </c:pt>
                <c:pt idx="1045">
                  <c:v>32052</c:v>
                </c:pt>
                <c:pt idx="1046">
                  <c:v>32053</c:v>
                </c:pt>
                <c:pt idx="1047">
                  <c:v>32054</c:v>
                </c:pt>
                <c:pt idx="1048">
                  <c:v>32055</c:v>
                </c:pt>
                <c:pt idx="1049">
                  <c:v>32056</c:v>
                </c:pt>
                <c:pt idx="1050">
                  <c:v>32057</c:v>
                </c:pt>
                <c:pt idx="1051">
                  <c:v>32058</c:v>
                </c:pt>
                <c:pt idx="1052">
                  <c:v>32059</c:v>
                </c:pt>
                <c:pt idx="1053">
                  <c:v>32060</c:v>
                </c:pt>
                <c:pt idx="1054">
                  <c:v>32061</c:v>
                </c:pt>
                <c:pt idx="1055">
                  <c:v>32062</c:v>
                </c:pt>
                <c:pt idx="1056">
                  <c:v>32063</c:v>
                </c:pt>
                <c:pt idx="1057">
                  <c:v>32064</c:v>
                </c:pt>
                <c:pt idx="1058">
                  <c:v>32065</c:v>
                </c:pt>
                <c:pt idx="1059">
                  <c:v>32066</c:v>
                </c:pt>
                <c:pt idx="1060">
                  <c:v>32067</c:v>
                </c:pt>
                <c:pt idx="1061">
                  <c:v>32068</c:v>
                </c:pt>
                <c:pt idx="1062">
                  <c:v>32069</c:v>
                </c:pt>
                <c:pt idx="1063">
                  <c:v>32070</c:v>
                </c:pt>
                <c:pt idx="1064">
                  <c:v>32071</c:v>
                </c:pt>
                <c:pt idx="1065">
                  <c:v>32072</c:v>
                </c:pt>
                <c:pt idx="1066">
                  <c:v>32073</c:v>
                </c:pt>
                <c:pt idx="1067">
                  <c:v>32074</c:v>
                </c:pt>
                <c:pt idx="1068">
                  <c:v>32075</c:v>
                </c:pt>
                <c:pt idx="1069">
                  <c:v>32076</c:v>
                </c:pt>
                <c:pt idx="1070">
                  <c:v>32077</c:v>
                </c:pt>
                <c:pt idx="1071">
                  <c:v>32078</c:v>
                </c:pt>
                <c:pt idx="1072">
                  <c:v>32079</c:v>
                </c:pt>
                <c:pt idx="1073">
                  <c:v>32080</c:v>
                </c:pt>
                <c:pt idx="1074">
                  <c:v>32081</c:v>
                </c:pt>
                <c:pt idx="1075">
                  <c:v>32082</c:v>
                </c:pt>
                <c:pt idx="1076">
                  <c:v>32083</c:v>
                </c:pt>
                <c:pt idx="1077">
                  <c:v>32084</c:v>
                </c:pt>
                <c:pt idx="1078">
                  <c:v>32085</c:v>
                </c:pt>
                <c:pt idx="1079">
                  <c:v>32086</c:v>
                </c:pt>
                <c:pt idx="1080">
                  <c:v>32087</c:v>
                </c:pt>
                <c:pt idx="1081">
                  <c:v>32088</c:v>
                </c:pt>
                <c:pt idx="1082">
                  <c:v>32089</c:v>
                </c:pt>
                <c:pt idx="1083">
                  <c:v>32090</c:v>
                </c:pt>
                <c:pt idx="1084">
                  <c:v>32091</c:v>
                </c:pt>
                <c:pt idx="1085">
                  <c:v>32092</c:v>
                </c:pt>
                <c:pt idx="1086">
                  <c:v>32093</c:v>
                </c:pt>
                <c:pt idx="1087">
                  <c:v>32094</c:v>
                </c:pt>
                <c:pt idx="1088">
                  <c:v>32095</c:v>
                </c:pt>
                <c:pt idx="1089">
                  <c:v>32096</c:v>
                </c:pt>
                <c:pt idx="1090">
                  <c:v>32097</c:v>
                </c:pt>
                <c:pt idx="1091">
                  <c:v>32098</c:v>
                </c:pt>
                <c:pt idx="1092">
                  <c:v>32099</c:v>
                </c:pt>
                <c:pt idx="1093">
                  <c:v>32100</c:v>
                </c:pt>
                <c:pt idx="1094">
                  <c:v>32101</c:v>
                </c:pt>
                <c:pt idx="1095">
                  <c:v>32102</c:v>
                </c:pt>
                <c:pt idx="1096">
                  <c:v>32103</c:v>
                </c:pt>
                <c:pt idx="1097">
                  <c:v>32104</c:v>
                </c:pt>
                <c:pt idx="1098">
                  <c:v>32105</c:v>
                </c:pt>
                <c:pt idx="1099">
                  <c:v>32106</c:v>
                </c:pt>
                <c:pt idx="1100">
                  <c:v>32107</c:v>
                </c:pt>
                <c:pt idx="1101">
                  <c:v>32108</c:v>
                </c:pt>
                <c:pt idx="1102">
                  <c:v>32109</c:v>
                </c:pt>
                <c:pt idx="1103">
                  <c:v>32110</c:v>
                </c:pt>
                <c:pt idx="1104">
                  <c:v>32111</c:v>
                </c:pt>
                <c:pt idx="1105">
                  <c:v>32112</c:v>
                </c:pt>
                <c:pt idx="1106">
                  <c:v>32113</c:v>
                </c:pt>
                <c:pt idx="1107">
                  <c:v>32114</c:v>
                </c:pt>
                <c:pt idx="1108">
                  <c:v>32115</c:v>
                </c:pt>
                <c:pt idx="1109">
                  <c:v>32116</c:v>
                </c:pt>
                <c:pt idx="1110">
                  <c:v>32117</c:v>
                </c:pt>
                <c:pt idx="1111">
                  <c:v>32118</c:v>
                </c:pt>
                <c:pt idx="1112">
                  <c:v>32119</c:v>
                </c:pt>
                <c:pt idx="1113">
                  <c:v>32120</c:v>
                </c:pt>
                <c:pt idx="1114">
                  <c:v>32121</c:v>
                </c:pt>
                <c:pt idx="1115">
                  <c:v>32122</c:v>
                </c:pt>
                <c:pt idx="1116">
                  <c:v>32123</c:v>
                </c:pt>
                <c:pt idx="1117">
                  <c:v>32124</c:v>
                </c:pt>
                <c:pt idx="1118">
                  <c:v>32125</c:v>
                </c:pt>
                <c:pt idx="1119">
                  <c:v>32126</c:v>
                </c:pt>
                <c:pt idx="1120">
                  <c:v>32127</c:v>
                </c:pt>
                <c:pt idx="1121">
                  <c:v>32128</c:v>
                </c:pt>
                <c:pt idx="1122">
                  <c:v>32129</c:v>
                </c:pt>
                <c:pt idx="1123">
                  <c:v>32130</c:v>
                </c:pt>
                <c:pt idx="1124">
                  <c:v>32131</c:v>
                </c:pt>
                <c:pt idx="1125">
                  <c:v>32132</c:v>
                </c:pt>
                <c:pt idx="1126">
                  <c:v>32133</c:v>
                </c:pt>
                <c:pt idx="1127">
                  <c:v>32134</c:v>
                </c:pt>
                <c:pt idx="1128">
                  <c:v>32135</c:v>
                </c:pt>
                <c:pt idx="1129">
                  <c:v>32136</c:v>
                </c:pt>
                <c:pt idx="1130">
                  <c:v>32137</c:v>
                </c:pt>
                <c:pt idx="1131">
                  <c:v>32138</c:v>
                </c:pt>
                <c:pt idx="1132">
                  <c:v>32139</c:v>
                </c:pt>
                <c:pt idx="1133">
                  <c:v>32140</c:v>
                </c:pt>
                <c:pt idx="1134">
                  <c:v>32141</c:v>
                </c:pt>
                <c:pt idx="1135">
                  <c:v>32142</c:v>
                </c:pt>
                <c:pt idx="1136">
                  <c:v>32143</c:v>
                </c:pt>
                <c:pt idx="1137">
                  <c:v>32144</c:v>
                </c:pt>
                <c:pt idx="1138">
                  <c:v>32145</c:v>
                </c:pt>
                <c:pt idx="1139">
                  <c:v>32146</c:v>
                </c:pt>
                <c:pt idx="1140">
                  <c:v>32147</c:v>
                </c:pt>
                <c:pt idx="1141">
                  <c:v>32148</c:v>
                </c:pt>
                <c:pt idx="1142">
                  <c:v>32149</c:v>
                </c:pt>
                <c:pt idx="1143">
                  <c:v>32150</c:v>
                </c:pt>
                <c:pt idx="1144">
                  <c:v>32151</c:v>
                </c:pt>
                <c:pt idx="1145">
                  <c:v>32152</c:v>
                </c:pt>
                <c:pt idx="1146">
                  <c:v>32153</c:v>
                </c:pt>
                <c:pt idx="1147">
                  <c:v>32154</c:v>
                </c:pt>
                <c:pt idx="1148">
                  <c:v>32155</c:v>
                </c:pt>
                <c:pt idx="1149">
                  <c:v>32156</c:v>
                </c:pt>
                <c:pt idx="1150">
                  <c:v>32157</c:v>
                </c:pt>
                <c:pt idx="1151">
                  <c:v>32158</c:v>
                </c:pt>
                <c:pt idx="1152">
                  <c:v>32159</c:v>
                </c:pt>
                <c:pt idx="1153">
                  <c:v>32160</c:v>
                </c:pt>
                <c:pt idx="1154">
                  <c:v>32161</c:v>
                </c:pt>
                <c:pt idx="1155">
                  <c:v>32162</c:v>
                </c:pt>
                <c:pt idx="1156">
                  <c:v>32163</c:v>
                </c:pt>
                <c:pt idx="1157">
                  <c:v>32164</c:v>
                </c:pt>
                <c:pt idx="1158">
                  <c:v>32165</c:v>
                </c:pt>
                <c:pt idx="1159">
                  <c:v>32166</c:v>
                </c:pt>
                <c:pt idx="1160">
                  <c:v>32167</c:v>
                </c:pt>
                <c:pt idx="1161">
                  <c:v>32168</c:v>
                </c:pt>
                <c:pt idx="1162">
                  <c:v>32169</c:v>
                </c:pt>
                <c:pt idx="1163">
                  <c:v>32170</c:v>
                </c:pt>
                <c:pt idx="1164">
                  <c:v>32171</c:v>
                </c:pt>
                <c:pt idx="1165">
                  <c:v>32172</c:v>
                </c:pt>
                <c:pt idx="1166">
                  <c:v>32173</c:v>
                </c:pt>
                <c:pt idx="1167">
                  <c:v>32174</c:v>
                </c:pt>
                <c:pt idx="1168">
                  <c:v>32175</c:v>
                </c:pt>
                <c:pt idx="1169">
                  <c:v>32176</c:v>
                </c:pt>
                <c:pt idx="1170">
                  <c:v>32177</c:v>
                </c:pt>
                <c:pt idx="1171">
                  <c:v>32178</c:v>
                </c:pt>
                <c:pt idx="1172">
                  <c:v>32179</c:v>
                </c:pt>
                <c:pt idx="1173">
                  <c:v>32180</c:v>
                </c:pt>
                <c:pt idx="1174">
                  <c:v>32181</c:v>
                </c:pt>
                <c:pt idx="1175">
                  <c:v>32182</c:v>
                </c:pt>
                <c:pt idx="1176">
                  <c:v>32183</c:v>
                </c:pt>
                <c:pt idx="1177">
                  <c:v>32184</c:v>
                </c:pt>
                <c:pt idx="1178">
                  <c:v>32185</c:v>
                </c:pt>
                <c:pt idx="1179">
                  <c:v>32186</c:v>
                </c:pt>
                <c:pt idx="1180">
                  <c:v>32187</c:v>
                </c:pt>
                <c:pt idx="1181">
                  <c:v>32188</c:v>
                </c:pt>
                <c:pt idx="1182">
                  <c:v>32189</c:v>
                </c:pt>
                <c:pt idx="1183">
                  <c:v>32190</c:v>
                </c:pt>
                <c:pt idx="1184">
                  <c:v>32191</c:v>
                </c:pt>
                <c:pt idx="1185">
                  <c:v>32192</c:v>
                </c:pt>
                <c:pt idx="1186">
                  <c:v>32193</c:v>
                </c:pt>
                <c:pt idx="1187">
                  <c:v>32194</c:v>
                </c:pt>
                <c:pt idx="1188">
                  <c:v>32195</c:v>
                </c:pt>
                <c:pt idx="1189">
                  <c:v>32196</c:v>
                </c:pt>
                <c:pt idx="1190">
                  <c:v>32197</c:v>
                </c:pt>
                <c:pt idx="1191">
                  <c:v>32198</c:v>
                </c:pt>
                <c:pt idx="1192">
                  <c:v>32199</c:v>
                </c:pt>
                <c:pt idx="1193">
                  <c:v>32200</c:v>
                </c:pt>
                <c:pt idx="1194">
                  <c:v>32201</c:v>
                </c:pt>
                <c:pt idx="1195">
                  <c:v>32202</c:v>
                </c:pt>
                <c:pt idx="1196">
                  <c:v>32203</c:v>
                </c:pt>
                <c:pt idx="1197">
                  <c:v>32204</c:v>
                </c:pt>
                <c:pt idx="1198">
                  <c:v>32205</c:v>
                </c:pt>
                <c:pt idx="1199">
                  <c:v>32206</c:v>
                </c:pt>
                <c:pt idx="1200">
                  <c:v>32207</c:v>
                </c:pt>
                <c:pt idx="1201">
                  <c:v>32208</c:v>
                </c:pt>
                <c:pt idx="1202">
                  <c:v>32209</c:v>
                </c:pt>
                <c:pt idx="1203">
                  <c:v>32210</c:v>
                </c:pt>
                <c:pt idx="1204">
                  <c:v>32211</c:v>
                </c:pt>
                <c:pt idx="1205">
                  <c:v>32212</c:v>
                </c:pt>
                <c:pt idx="1206">
                  <c:v>32213</c:v>
                </c:pt>
                <c:pt idx="1207">
                  <c:v>32214</c:v>
                </c:pt>
                <c:pt idx="1208">
                  <c:v>32215</c:v>
                </c:pt>
                <c:pt idx="1209">
                  <c:v>32216</c:v>
                </c:pt>
                <c:pt idx="1210">
                  <c:v>32217</c:v>
                </c:pt>
                <c:pt idx="1211">
                  <c:v>32218</c:v>
                </c:pt>
                <c:pt idx="1212">
                  <c:v>32219</c:v>
                </c:pt>
                <c:pt idx="1213">
                  <c:v>32220</c:v>
                </c:pt>
                <c:pt idx="1214">
                  <c:v>32221</c:v>
                </c:pt>
                <c:pt idx="1215">
                  <c:v>32222</c:v>
                </c:pt>
                <c:pt idx="1216">
                  <c:v>32223</c:v>
                </c:pt>
                <c:pt idx="1217">
                  <c:v>32224</c:v>
                </c:pt>
                <c:pt idx="1218">
                  <c:v>32225</c:v>
                </c:pt>
                <c:pt idx="1219">
                  <c:v>32226</c:v>
                </c:pt>
                <c:pt idx="1220">
                  <c:v>32227</c:v>
                </c:pt>
                <c:pt idx="1221">
                  <c:v>32228</c:v>
                </c:pt>
                <c:pt idx="1222">
                  <c:v>32229</c:v>
                </c:pt>
                <c:pt idx="1223">
                  <c:v>32230</c:v>
                </c:pt>
                <c:pt idx="1224">
                  <c:v>32231</c:v>
                </c:pt>
                <c:pt idx="1225">
                  <c:v>32232</c:v>
                </c:pt>
                <c:pt idx="1226">
                  <c:v>32233</c:v>
                </c:pt>
                <c:pt idx="1227">
                  <c:v>32234</c:v>
                </c:pt>
                <c:pt idx="1228">
                  <c:v>32235</c:v>
                </c:pt>
                <c:pt idx="1229">
                  <c:v>32236</c:v>
                </c:pt>
                <c:pt idx="1230">
                  <c:v>32237</c:v>
                </c:pt>
                <c:pt idx="1231">
                  <c:v>32238</c:v>
                </c:pt>
                <c:pt idx="1232">
                  <c:v>32239</c:v>
                </c:pt>
                <c:pt idx="1233">
                  <c:v>32240</c:v>
                </c:pt>
                <c:pt idx="1234">
                  <c:v>32241</c:v>
                </c:pt>
                <c:pt idx="1235">
                  <c:v>32242</c:v>
                </c:pt>
                <c:pt idx="1236">
                  <c:v>32243</c:v>
                </c:pt>
                <c:pt idx="1237">
                  <c:v>32244</c:v>
                </c:pt>
                <c:pt idx="1238">
                  <c:v>32245</c:v>
                </c:pt>
                <c:pt idx="1239">
                  <c:v>32246</c:v>
                </c:pt>
                <c:pt idx="1240">
                  <c:v>32247</c:v>
                </c:pt>
                <c:pt idx="1241">
                  <c:v>32248</c:v>
                </c:pt>
                <c:pt idx="1242">
                  <c:v>32249</c:v>
                </c:pt>
                <c:pt idx="1243">
                  <c:v>32250</c:v>
                </c:pt>
                <c:pt idx="1244">
                  <c:v>32251</c:v>
                </c:pt>
                <c:pt idx="1245">
                  <c:v>32252</c:v>
                </c:pt>
                <c:pt idx="1246">
                  <c:v>32253</c:v>
                </c:pt>
                <c:pt idx="1247">
                  <c:v>32254</c:v>
                </c:pt>
                <c:pt idx="1248">
                  <c:v>32255</c:v>
                </c:pt>
                <c:pt idx="1249">
                  <c:v>32256</c:v>
                </c:pt>
                <c:pt idx="1250">
                  <c:v>32257</c:v>
                </c:pt>
                <c:pt idx="1251">
                  <c:v>32258</c:v>
                </c:pt>
                <c:pt idx="1252">
                  <c:v>32259</c:v>
                </c:pt>
                <c:pt idx="1253">
                  <c:v>32260</c:v>
                </c:pt>
                <c:pt idx="1254">
                  <c:v>32261</c:v>
                </c:pt>
                <c:pt idx="1255">
                  <c:v>32262</c:v>
                </c:pt>
                <c:pt idx="1256">
                  <c:v>32263</c:v>
                </c:pt>
                <c:pt idx="1257">
                  <c:v>32264</c:v>
                </c:pt>
                <c:pt idx="1258">
                  <c:v>32265</c:v>
                </c:pt>
                <c:pt idx="1259">
                  <c:v>32266</c:v>
                </c:pt>
                <c:pt idx="1260">
                  <c:v>32267</c:v>
                </c:pt>
                <c:pt idx="1261">
                  <c:v>32268</c:v>
                </c:pt>
                <c:pt idx="1262">
                  <c:v>32269</c:v>
                </c:pt>
                <c:pt idx="1263">
                  <c:v>32270</c:v>
                </c:pt>
                <c:pt idx="1264">
                  <c:v>32271</c:v>
                </c:pt>
                <c:pt idx="1265">
                  <c:v>32272</c:v>
                </c:pt>
                <c:pt idx="1266">
                  <c:v>32273</c:v>
                </c:pt>
                <c:pt idx="1267">
                  <c:v>32274</c:v>
                </c:pt>
                <c:pt idx="1268">
                  <c:v>32275</c:v>
                </c:pt>
                <c:pt idx="1269">
                  <c:v>32276</c:v>
                </c:pt>
                <c:pt idx="1270">
                  <c:v>32277</c:v>
                </c:pt>
                <c:pt idx="1271">
                  <c:v>32278</c:v>
                </c:pt>
                <c:pt idx="1272">
                  <c:v>32279</c:v>
                </c:pt>
                <c:pt idx="1273">
                  <c:v>32280</c:v>
                </c:pt>
                <c:pt idx="1274">
                  <c:v>32281</c:v>
                </c:pt>
                <c:pt idx="1275">
                  <c:v>32282</c:v>
                </c:pt>
                <c:pt idx="1276">
                  <c:v>32283</c:v>
                </c:pt>
                <c:pt idx="1277">
                  <c:v>32284</c:v>
                </c:pt>
                <c:pt idx="1278">
                  <c:v>32285</c:v>
                </c:pt>
                <c:pt idx="1279">
                  <c:v>32286</c:v>
                </c:pt>
                <c:pt idx="1280">
                  <c:v>32287</c:v>
                </c:pt>
                <c:pt idx="1281">
                  <c:v>32288</c:v>
                </c:pt>
                <c:pt idx="1282">
                  <c:v>32289</c:v>
                </c:pt>
                <c:pt idx="1283">
                  <c:v>32290</c:v>
                </c:pt>
                <c:pt idx="1284">
                  <c:v>32291</c:v>
                </c:pt>
                <c:pt idx="1285">
                  <c:v>32292</c:v>
                </c:pt>
                <c:pt idx="1286">
                  <c:v>32293</c:v>
                </c:pt>
                <c:pt idx="1287">
                  <c:v>32294</c:v>
                </c:pt>
                <c:pt idx="1288">
                  <c:v>32295</c:v>
                </c:pt>
                <c:pt idx="1289">
                  <c:v>32296</c:v>
                </c:pt>
                <c:pt idx="1290">
                  <c:v>32297</c:v>
                </c:pt>
                <c:pt idx="1291">
                  <c:v>32298</c:v>
                </c:pt>
                <c:pt idx="1292">
                  <c:v>32299</c:v>
                </c:pt>
                <c:pt idx="1293">
                  <c:v>32300</c:v>
                </c:pt>
                <c:pt idx="1294">
                  <c:v>32301</c:v>
                </c:pt>
                <c:pt idx="1295">
                  <c:v>32302</c:v>
                </c:pt>
                <c:pt idx="1296">
                  <c:v>32303</c:v>
                </c:pt>
                <c:pt idx="1297">
                  <c:v>32304</c:v>
                </c:pt>
                <c:pt idx="1298">
                  <c:v>32305</c:v>
                </c:pt>
                <c:pt idx="1299">
                  <c:v>32306</c:v>
                </c:pt>
                <c:pt idx="1300">
                  <c:v>32307</c:v>
                </c:pt>
                <c:pt idx="1301">
                  <c:v>32308</c:v>
                </c:pt>
                <c:pt idx="1302">
                  <c:v>32309</c:v>
                </c:pt>
                <c:pt idx="1303">
                  <c:v>32310</c:v>
                </c:pt>
                <c:pt idx="1304">
                  <c:v>32311</c:v>
                </c:pt>
                <c:pt idx="1305">
                  <c:v>32312</c:v>
                </c:pt>
                <c:pt idx="1306">
                  <c:v>32313</c:v>
                </c:pt>
                <c:pt idx="1307">
                  <c:v>32314</c:v>
                </c:pt>
                <c:pt idx="1308">
                  <c:v>32315</c:v>
                </c:pt>
                <c:pt idx="1309">
                  <c:v>32316</c:v>
                </c:pt>
                <c:pt idx="1310">
                  <c:v>32317</c:v>
                </c:pt>
                <c:pt idx="1311">
                  <c:v>32318</c:v>
                </c:pt>
                <c:pt idx="1312">
                  <c:v>32319</c:v>
                </c:pt>
                <c:pt idx="1313">
                  <c:v>32320</c:v>
                </c:pt>
                <c:pt idx="1314">
                  <c:v>32321</c:v>
                </c:pt>
                <c:pt idx="1315">
                  <c:v>32322</c:v>
                </c:pt>
                <c:pt idx="1316">
                  <c:v>32323</c:v>
                </c:pt>
                <c:pt idx="1317">
                  <c:v>32324</c:v>
                </c:pt>
                <c:pt idx="1318">
                  <c:v>32325</c:v>
                </c:pt>
                <c:pt idx="1319">
                  <c:v>32326</c:v>
                </c:pt>
                <c:pt idx="1320">
                  <c:v>32327</c:v>
                </c:pt>
                <c:pt idx="1321">
                  <c:v>32328</c:v>
                </c:pt>
                <c:pt idx="1322">
                  <c:v>32329</c:v>
                </c:pt>
                <c:pt idx="1323">
                  <c:v>32330</c:v>
                </c:pt>
                <c:pt idx="1324">
                  <c:v>32331</c:v>
                </c:pt>
                <c:pt idx="1325">
                  <c:v>32332</c:v>
                </c:pt>
                <c:pt idx="1326">
                  <c:v>32333</c:v>
                </c:pt>
                <c:pt idx="1327">
                  <c:v>32334</c:v>
                </c:pt>
                <c:pt idx="1328">
                  <c:v>32335</c:v>
                </c:pt>
                <c:pt idx="1329">
                  <c:v>32336</c:v>
                </c:pt>
                <c:pt idx="1330">
                  <c:v>32337</c:v>
                </c:pt>
                <c:pt idx="1331">
                  <c:v>32338</c:v>
                </c:pt>
                <c:pt idx="1332">
                  <c:v>32339</c:v>
                </c:pt>
                <c:pt idx="1333">
                  <c:v>32340</c:v>
                </c:pt>
                <c:pt idx="1334">
                  <c:v>32341</c:v>
                </c:pt>
                <c:pt idx="1335">
                  <c:v>32342</c:v>
                </c:pt>
                <c:pt idx="1336">
                  <c:v>32343</c:v>
                </c:pt>
                <c:pt idx="1337">
                  <c:v>32344</c:v>
                </c:pt>
                <c:pt idx="1338">
                  <c:v>32345</c:v>
                </c:pt>
                <c:pt idx="1339">
                  <c:v>32346</c:v>
                </c:pt>
                <c:pt idx="1340">
                  <c:v>32347</c:v>
                </c:pt>
                <c:pt idx="1341">
                  <c:v>32348</c:v>
                </c:pt>
                <c:pt idx="1342">
                  <c:v>32349</c:v>
                </c:pt>
                <c:pt idx="1343">
                  <c:v>32350</c:v>
                </c:pt>
                <c:pt idx="1344">
                  <c:v>32351</c:v>
                </c:pt>
                <c:pt idx="1345">
                  <c:v>32352</c:v>
                </c:pt>
                <c:pt idx="1346">
                  <c:v>32353</c:v>
                </c:pt>
                <c:pt idx="1347">
                  <c:v>32354</c:v>
                </c:pt>
                <c:pt idx="1348">
                  <c:v>32355</c:v>
                </c:pt>
                <c:pt idx="1349">
                  <c:v>32356</c:v>
                </c:pt>
                <c:pt idx="1350">
                  <c:v>32357</c:v>
                </c:pt>
                <c:pt idx="1351">
                  <c:v>32358</c:v>
                </c:pt>
                <c:pt idx="1352">
                  <c:v>32359</c:v>
                </c:pt>
                <c:pt idx="1353">
                  <c:v>32360</c:v>
                </c:pt>
                <c:pt idx="1354">
                  <c:v>32361</c:v>
                </c:pt>
                <c:pt idx="1355">
                  <c:v>32362</c:v>
                </c:pt>
                <c:pt idx="1356">
                  <c:v>32363</c:v>
                </c:pt>
                <c:pt idx="1357">
                  <c:v>32364</c:v>
                </c:pt>
                <c:pt idx="1358">
                  <c:v>32365</c:v>
                </c:pt>
                <c:pt idx="1359">
                  <c:v>32366</c:v>
                </c:pt>
                <c:pt idx="1360">
                  <c:v>32367</c:v>
                </c:pt>
                <c:pt idx="1361">
                  <c:v>32368</c:v>
                </c:pt>
                <c:pt idx="1362">
                  <c:v>32369</c:v>
                </c:pt>
                <c:pt idx="1363">
                  <c:v>32370</c:v>
                </c:pt>
                <c:pt idx="1364">
                  <c:v>32371</c:v>
                </c:pt>
                <c:pt idx="1365">
                  <c:v>32372</c:v>
                </c:pt>
                <c:pt idx="1366">
                  <c:v>32373</c:v>
                </c:pt>
                <c:pt idx="1367">
                  <c:v>32374</c:v>
                </c:pt>
                <c:pt idx="1368">
                  <c:v>32375</c:v>
                </c:pt>
                <c:pt idx="1369">
                  <c:v>32376</c:v>
                </c:pt>
                <c:pt idx="1370">
                  <c:v>32377</c:v>
                </c:pt>
                <c:pt idx="1371">
                  <c:v>32378</c:v>
                </c:pt>
                <c:pt idx="1372">
                  <c:v>32379</c:v>
                </c:pt>
                <c:pt idx="1373">
                  <c:v>32380</c:v>
                </c:pt>
                <c:pt idx="1374">
                  <c:v>32381</c:v>
                </c:pt>
                <c:pt idx="1375">
                  <c:v>32382</c:v>
                </c:pt>
                <c:pt idx="1376">
                  <c:v>32383</c:v>
                </c:pt>
                <c:pt idx="1377">
                  <c:v>32384</c:v>
                </c:pt>
                <c:pt idx="1378">
                  <c:v>32385</c:v>
                </c:pt>
                <c:pt idx="1379">
                  <c:v>32386</c:v>
                </c:pt>
                <c:pt idx="1380">
                  <c:v>32387</c:v>
                </c:pt>
                <c:pt idx="1381">
                  <c:v>32388</c:v>
                </c:pt>
                <c:pt idx="1382">
                  <c:v>32389</c:v>
                </c:pt>
                <c:pt idx="1383">
                  <c:v>32390</c:v>
                </c:pt>
                <c:pt idx="1384">
                  <c:v>32391</c:v>
                </c:pt>
                <c:pt idx="1385">
                  <c:v>32392</c:v>
                </c:pt>
                <c:pt idx="1386">
                  <c:v>32393</c:v>
                </c:pt>
                <c:pt idx="1387">
                  <c:v>32394</c:v>
                </c:pt>
                <c:pt idx="1388">
                  <c:v>32395</c:v>
                </c:pt>
                <c:pt idx="1389">
                  <c:v>32396</c:v>
                </c:pt>
                <c:pt idx="1390">
                  <c:v>32397</c:v>
                </c:pt>
                <c:pt idx="1391">
                  <c:v>32398</c:v>
                </c:pt>
                <c:pt idx="1392">
                  <c:v>32399</c:v>
                </c:pt>
                <c:pt idx="1393">
                  <c:v>32400</c:v>
                </c:pt>
                <c:pt idx="1394">
                  <c:v>32401</c:v>
                </c:pt>
                <c:pt idx="1395">
                  <c:v>32402</c:v>
                </c:pt>
                <c:pt idx="1396">
                  <c:v>32403</c:v>
                </c:pt>
                <c:pt idx="1397">
                  <c:v>32404</c:v>
                </c:pt>
                <c:pt idx="1398">
                  <c:v>32405</c:v>
                </c:pt>
                <c:pt idx="1399">
                  <c:v>32406</c:v>
                </c:pt>
                <c:pt idx="1400">
                  <c:v>32407</c:v>
                </c:pt>
                <c:pt idx="1401">
                  <c:v>32408</c:v>
                </c:pt>
                <c:pt idx="1402">
                  <c:v>32409</c:v>
                </c:pt>
                <c:pt idx="1403">
                  <c:v>32410</c:v>
                </c:pt>
                <c:pt idx="1404">
                  <c:v>32411</c:v>
                </c:pt>
                <c:pt idx="1405">
                  <c:v>32412</c:v>
                </c:pt>
                <c:pt idx="1406">
                  <c:v>32413</c:v>
                </c:pt>
                <c:pt idx="1407">
                  <c:v>32414</c:v>
                </c:pt>
                <c:pt idx="1408">
                  <c:v>32415</c:v>
                </c:pt>
                <c:pt idx="1409">
                  <c:v>32416</c:v>
                </c:pt>
                <c:pt idx="1410">
                  <c:v>32417</c:v>
                </c:pt>
                <c:pt idx="1411">
                  <c:v>32418</c:v>
                </c:pt>
                <c:pt idx="1412">
                  <c:v>32419</c:v>
                </c:pt>
                <c:pt idx="1413">
                  <c:v>32420</c:v>
                </c:pt>
                <c:pt idx="1414">
                  <c:v>32421</c:v>
                </c:pt>
                <c:pt idx="1415">
                  <c:v>32422</c:v>
                </c:pt>
                <c:pt idx="1416">
                  <c:v>32423</c:v>
                </c:pt>
                <c:pt idx="1417">
                  <c:v>32424</c:v>
                </c:pt>
                <c:pt idx="1418">
                  <c:v>32425</c:v>
                </c:pt>
                <c:pt idx="1419">
                  <c:v>32426</c:v>
                </c:pt>
                <c:pt idx="1420">
                  <c:v>32427</c:v>
                </c:pt>
                <c:pt idx="1421">
                  <c:v>32428</c:v>
                </c:pt>
                <c:pt idx="1422">
                  <c:v>32429</c:v>
                </c:pt>
                <c:pt idx="1423">
                  <c:v>32430</c:v>
                </c:pt>
                <c:pt idx="1424">
                  <c:v>32431</c:v>
                </c:pt>
                <c:pt idx="1425">
                  <c:v>32432</c:v>
                </c:pt>
                <c:pt idx="1426">
                  <c:v>32433</c:v>
                </c:pt>
                <c:pt idx="1427">
                  <c:v>32434</c:v>
                </c:pt>
                <c:pt idx="1428">
                  <c:v>32435</c:v>
                </c:pt>
                <c:pt idx="1429">
                  <c:v>32436</c:v>
                </c:pt>
                <c:pt idx="1430">
                  <c:v>32437</c:v>
                </c:pt>
                <c:pt idx="1431">
                  <c:v>32438</c:v>
                </c:pt>
                <c:pt idx="1432">
                  <c:v>32439</c:v>
                </c:pt>
                <c:pt idx="1433">
                  <c:v>32440</c:v>
                </c:pt>
                <c:pt idx="1434">
                  <c:v>32441</c:v>
                </c:pt>
                <c:pt idx="1435">
                  <c:v>32442</c:v>
                </c:pt>
                <c:pt idx="1436">
                  <c:v>32443</c:v>
                </c:pt>
                <c:pt idx="1437">
                  <c:v>32444</c:v>
                </c:pt>
                <c:pt idx="1438">
                  <c:v>32445</c:v>
                </c:pt>
                <c:pt idx="1439">
                  <c:v>32446</c:v>
                </c:pt>
                <c:pt idx="1440">
                  <c:v>32447</c:v>
                </c:pt>
                <c:pt idx="1441">
                  <c:v>32448</c:v>
                </c:pt>
                <c:pt idx="1442">
                  <c:v>32449</c:v>
                </c:pt>
                <c:pt idx="1443">
                  <c:v>32450</c:v>
                </c:pt>
                <c:pt idx="1444">
                  <c:v>32451</c:v>
                </c:pt>
                <c:pt idx="1445">
                  <c:v>32452</c:v>
                </c:pt>
                <c:pt idx="1446">
                  <c:v>32453</c:v>
                </c:pt>
                <c:pt idx="1447">
                  <c:v>32454</c:v>
                </c:pt>
                <c:pt idx="1448">
                  <c:v>32455</c:v>
                </c:pt>
                <c:pt idx="1449">
                  <c:v>32456</c:v>
                </c:pt>
                <c:pt idx="1450">
                  <c:v>32457</c:v>
                </c:pt>
                <c:pt idx="1451">
                  <c:v>32458</c:v>
                </c:pt>
                <c:pt idx="1452">
                  <c:v>32459</c:v>
                </c:pt>
                <c:pt idx="1453">
                  <c:v>32460</c:v>
                </c:pt>
                <c:pt idx="1454">
                  <c:v>32461</c:v>
                </c:pt>
                <c:pt idx="1455">
                  <c:v>32462</c:v>
                </c:pt>
                <c:pt idx="1456">
                  <c:v>32463</c:v>
                </c:pt>
                <c:pt idx="1457">
                  <c:v>32464</c:v>
                </c:pt>
                <c:pt idx="1458">
                  <c:v>32465</c:v>
                </c:pt>
                <c:pt idx="1459">
                  <c:v>32466</c:v>
                </c:pt>
                <c:pt idx="1460">
                  <c:v>32467</c:v>
                </c:pt>
                <c:pt idx="1461">
                  <c:v>32468</c:v>
                </c:pt>
                <c:pt idx="1462">
                  <c:v>32469</c:v>
                </c:pt>
                <c:pt idx="1463">
                  <c:v>32470</c:v>
                </c:pt>
                <c:pt idx="1464">
                  <c:v>32471</c:v>
                </c:pt>
                <c:pt idx="1465">
                  <c:v>32472</c:v>
                </c:pt>
                <c:pt idx="1466">
                  <c:v>32473</c:v>
                </c:pt>
                <c:pt idx="1467">
                  <c:v>32474</c:v>
                </c:pt>
                <c:pt idx="1468">
                  <c:v>32475</c:v>
                </c:pt>
                <c:pt idx="1469">
                  <c:v>32476</c:v>
                </c:pt>
                <c:pt idx="1470">
                  <c:v>32477</c:v>
                </c:pt>
                <c:pt idx="1471">
                  <c:v>32478</c:v>
                </c:pt>
                <c:pt idx="1472">
                  <c:v>32479</c:v>
                </c:pt>
                <c:pt idx="1473">
                  <c:v>32480</c:v>
                </c:pt>
                <c:pt idx="1474">
                  <c:v>32481</c:v>
                </c:pt>
                <c:pt idx="1475">
                  <c:v>32482</c:v>
                </c:pt>
                <c:pt idx="1476">
                  <c:v>32483</c:v>
                </c:pt>
                <c:pt idx="1477">
                  <c:v>32484</c:v>
                </c:pt>
                <c:pt idx="1478">
                  <c:v>32485</c:v>
                </c:pt>
                <c:pt idx="1479">
                  <c:v>32486</c:v>
                </c:pt>
                <c:pt idx="1480">
                  <c:v>32487</c:v>
                </c:pt>
                <c:pt idx="1481">
                  <c:v>32488</c:v>
                </c:pt>
                <c:pt idx="1482">
                  <c:v>32489</c:v>
                </c:pt>
                <c:pt idx="1483">
                  <c:v>32490</c:v>
                </c:pt>
                <c:pt idx="1484">
                  <c:v>32491</c:v>
                </c:pt>
                <c:pt idx="1485">
                  <c:v>32492</c:v>
                </c:pt>
                <c:pt idx="1486">
                  <c:v>32493</c:v>
                </c:pt>
                <c:pt idx="1487">
                  <c:v>32494</c:v>
                </c:pt>
                <c:pt idx="1488">
                  <c:v>32495</c:v>
                </c:pt>
                <c:pt idx="1489">
                  <c:v>32496</c:v>
                </c:pt>
                <c:pt idx="1490">
                  <c:v>32497</c:v>
                </c:pt>
                <c:pt idx="1491">
                  <c:v>32498</c:v>
                </c:pt>
                <c:pt idx="1492">
                  <c:v>32499</c:v>
                </c:pt>
                <c:pt idx="1493">
                  <c:v>32500</c:v>
                </c:pt>
                <c:pt idx="1494">
                  <c:v>32501</c:v>
                </c:pt>
                <c:pt idx="1495">
                  <c:v>32502</c:v>
                </c:pt>
                <c:pt idx="1496">
                  <c:v>32503</c:v>
                </c:pt>
                <c:pt idx="1497">
                  <c:v>32504</c:v>
                </c:pt>
                <c:pt idx="1498">
                  <c:v>32505</c:v>
                </c:pt>
                <c:pt idx="1499">
                  <c:v>32506</c:v>
                </c:pt>
                <c:pt idx="1500">
                  <c:v>32507</c:v>
                </c:pt>
                <c:pt idx="1501">
                  <c:v>32508</c:v>
                </c:pt>
                <c:pt idx="1502">
                  <c:v>32509</c:v>
                </c:pt>
                <c:pt idx="1503">
                  <c:v>32510</c:v>
                </c:pt>
                <c:pt idx="1504">
                  <c:v>32511</c:v>
                </c:pt>
                <c:pt idx="1505">
                  <c:v>32512</c:v>
                </c:pt>
                <c:pt idx="1506">
                  <c:v>32513</c:v>
                </c:pt>
                <c:pt idx="1507">
                  <c:v>32514</c:v>
                </c:pt>
                <c:pt idx="1508">
                  <c:v>32515</c:v>
                </c:pt>
                <c:pt idx="1509">
                  <c:v>32516</c:v>
                </c:pt>
                <c:pt idx="1510">
                  <c:v>32517</c:v>
                </c:pt>
                <c:pt idx="1511">
                  <c:v>32518</c:v>
                </c:pt>
                <c:pt idx="1512">
                  <c:v>32519</c:v>
                </c:pt>
                <c:pt idx="1513">
                  <c:v>32520</c:v>
                </c:pt>
                <c:pt idx="1514">
                  <c:v>32521</c:v>
                </c:pt>
                <c:pt idx="1515">
                  <c:v>32522</c:v>
                </c:pt>
                <c:pt idx="1516">
                  <c:v>32523</c:v>
                </c:pt>
                <c:pt idx="1517">
                  <c:v>32524</c:v>
                </c:pt>
                <c:pt idx="1518">
                  <c:v>32525</c:v>
                </c:pt>
                <c:pt idx="1519">
                  <c:v>32526</c:v>
                </c:pt>
                <c:pt idx="1520">
                  <c:v>32527</c:v>
                </c:pt>
                <c:pt idx="1521">
                  <c:v>32528</c:v>
                </c:pt>
                <c:pt idx="1522">
                  <c:v>32529</c:v>
                </c:pt>
                <c:pt idx="1523">
                  <c:v>32530</c:v>
                </c:pt>
                <c:pt idx="1524">
                  <c:v>32531</c:v>
                </c:pt>
                <c:pt idx="1525">
                  <c:v>32532</c:v>
                </c:pt>
                <c:pt idx="1526">
                  <c:v>32533</c:v>
                </c:pt>
                <c:pt idx="1527">
                  <c:v>32534</c:v>
                </c:pt>
                <c:pt idx="1528">
                  <c:v>32535</c:v>
                </c:pt>
                <c:pt idx="1529">
                  <c:v>32536</c:v>
                </c:pt>
                <c:pt idx="1530">
                  <c:v>32537</c:v>
                </c:pt>
                <c:pt idx="1531">
                  <c:v>32538</c:v>
                </c:pt>
                <c:pt idx="1532">
                  <c:v>32539</c:v>
                </c:pt>
                <c:pt idx="1533">
                  <c:v>32540</c:v>
                </c:pt>
                <c:pt idx="1534">
                  <c:v>32541</c:v>
                </c:pt>
                <c:pt idx="1535">
                  <c:v>32542</c:v>
                </c:pt>
                <c:pt idx="1536">
                  <c:v>32543</c:v>
                </c:pt>
                <c:pt idx="1537">
                  <c:v>32544</c:v>
                </c:pt>
                <c:pt idx="1538">
                  <c:v>32545</c:v>
                </c:pt>
                <c:pt idx="1539">
                  <c:v>32546</c:v>
                </c:pt>
                <c:pt idx="1540">
                  <c:v>32547</c:v>
                </c:pt>
                <c:pt idx="1541">
                  <c:v>32548</c:v>
                </c:pt>
                <c:pt idx="1542">
                  <c:v>32549</c:v>
                </c:pt>
                <c:pt idx="1543">
                  <c:v>32550</c:v>
                </c:pt>
                <c:pt idx="1544">
                  <c:v>32551</c:v>
                </c:pt>
                <c:pt idx="1545">
                  <c:v>32552</c:v>
                </c:pt>
                <c:pt idx="1546">
                  <c:v>32553</c:v>
                </c:pt>
                <c:pt idx="1547">
                  <c:v>32554</c:v>
                </c:pt>
                <c:pt idx="1548">
                  <c:v>32555</c:v>
                </c:pt>
                <c:pt idx="1549">
                  <c:v>32556</c:v>
                </c:pt>
                <c:pt idx="1550">
                  <c:v>32557</c:v>
                </c:pt>
                <c:pt idx="1551">
                  <c:v>32558</c:v>
                </c:pt>
                <c:pt idx="1552">
                  <c:v>32559</c:v>
                </c:pt>
                <c:pt idx="1553">
                  <c:v>32560</c:v>
                </c:pt>
                <c:pt idx="1554">
                  <c:v>32561</c:v>
                </c:pt>
                <c:pt idx="1555">
                  <c:v>32562</c:v>
                </c:pt>
                <c:pt idx="1556">
                  <c:v>32563</c:v>
                </c:pt>
                <c:pt idx="1557">
                  <c:v>32564</c:v>
                </c:pt>
                <c:pt idx="1558">
                  <c:v>32565</c:v>
                </c:pt>
                <c:pt idx="1559">
                  <c:v>32566</c:v>
                </c:pt>
                <c:pt idx="1560">
                  <c:v>32567</c:v>
                </c:pt>
                <c:pt idx="1561">
                  <c:v>32568</c:v>
                </c:pt>
                <c:pt idx="1562">
                  <c:v>32569</c:v>
                </c:pt>
                <c:pt idx="1563">
                  <c:v>32570</c:v>
                </c:pt>
                <c:pt idx="1564">
                  <c:v>32571</c:v>
                </c:pt>
                <c:pt idx="1565">
                  <c:v>32572</c:v>
                </c:pt>
                <c:pt idx="1566">
                  <c:v>32573</c:v>
                </c:pt>
                <c:pt idx="1567">
                  <c:v>32574</c:v>
                </c:pt>
                <c:pt idx="1568">
                  <c:v>32575</c:v>
                </c:pt>
                <c:pt idx="1569">
                  <c:v>32576</c:v>
                </c:pt>
                <c:pt idx="1570">
                  <c:v>32577</c:v>
                </c:pt>
                <c:pt idx="1571">
                  <c:v>32578</c:v>
                </c:pt>
                <c:pt idx="1572">
                  <c:v>32579</c:v>
                </c:pt>
                <c:pt idx="1573">
                  <c:v>32580</c:v>
                </c:pt>
                <c:pt idx="1574">
                  <c:v>32581</c:v>
                </c:pt>
                <c:pt idx="1575">
                  <c:v>32582</c:v>
                </c:pt>
                <c:pt idx="1576">
                  <c:v>32583</c:v>
                </c:pt>
                <c:pt idx="1577">
                  <c:v>32584</c:v>
                </c:pt>
                <c:pt idx="1578">
                  <c:v>32585</c:v>
                </c:pt>
                <c:pt idx="1579">
                  <c:v>32586</c:v>
                </c:pt>
                <c:pt idx="1580">
                  <c:v>32587</c:v>
                </c:pt>
                <c:pt idx="1581">
                  <c:v>32588</c:v>
                </c:pt>
                <c:pt idx="1582">
                  <c:v>32589</c:v>
                </c:pt>
                <c:pt idx="1583">
                  <c:v>32590</c:v>
                </c:pt>
                <c:pt idx="1584">
                  <c:v>32591</c:v>
                </c:pt>
                <c:pt idx="1585">
                  <c:v>32592</c:v>
                </c:pt>
                <c:pt idx="1586">
                  <c:v>32593</c:v>
                </c:pt>
                <c:pt idx="1587">
                  <c:v>32594</c:v>
                </c:pt>
                <c:pt idx="1588">
                  <c:v>32595</c:v>
                </c:pt>
                <c:pt idx="1589">
                  <c:v>32596</c:v>
                </c:pt>
                <c:pt idx="1590">
                  <c:v>32597</c:v>
                </c:pt>
                <c:pt idx="1591">
                  <c:v>32598</c:v>
                </c:pt>
                <c:pt idx="1592">
                  <c:v>32599</c:v>
                </c:pt>
                <c:pt idx="1593">
                  <c:v>32600</c:v>
                </c:pt>
                <c:pt idx="1594">
                  <c:v>32601</c:v>
                </c:pt>
                <c:pt idx="1595">
                  <c:v>32602</c:v>
                </c:pt>
                <c:pt idx="1596">
                  <c:v>32603</c:v>
                </c:pt>
                <c:pt idx="1597">
                  <c:v>32604</c:v>
                </c:pt>
                <c:pt idx="1598">
                  <c:v>32605</c:v>
                </c:pt>
                <c:pt idx="1599">
                  <c:v>32606</c:v>
                </c:pt>
                <c:pt idx="1600">
                  <c:v>32607</c:v>
                </c:pt>
                <c:pt idx="1601">
                  <c:v>32608</c:v>
                </c:pt>
                <c:pt idx="1602">
                  <c:v>32609</c:v>
                </c:pt>
                <c:pt idx="1603">
                  <c:v>32610</c:v>
                </c:pt>
                <c:pt idx="1604">
                  <c:v>32611</c:v>
                </c:pt>
                <c:pt idx="1605">
                  <c:v>32612</c:v>
                </c:pt>
                <c:pt idx="1606">
                  <c:v>32613</c:v>
                </c:pt>
                <c:pt idx="1607">
                  <c:v>32614</c:v>
                </c:pt>
                <c:pt idx="1608">
                  <c:v>32615</c:v>
                </c:pt>
                <c:pt idx="1609">
                  <c:v>32616</c:v>
                </c:pt>
                <c:pt idx="1610">
                  <c:v>32617</c:v>
                </c:pt>
                <c:pt idx="1611">
                  <c:v>32618</c:v>
                </c:pt>
                <c:pt idx="1612">
                  <c:v>32619</c:v>
                </c:pt>
                <c:pt idx="1613">
                  <c:v>32620</c:v>
                </c:pt>
                <c:pt idx="1614">
                  <c:v>32621</c:v>
                </c:pt>
                <c:pt idx="1615">
                  <c:v>32622</c:v>
                </c:pt>
                <c:pt idx="1616">
                  <c:v>32623</c:v>
                </c:pt>
                <c:pt idx="1617">
                  <c:v>32624</c:v>
                </c:pt>
                <c:pt idx="1618">
                  <c:v>32625</c:v>
                </c:pt>
                <c:pt idx="1619">
                  <c:v>32626</c:v>
                </c:pt>
                <c:pt idx="1620">
                  <c:v>32627</c:v>
                </c:pt>
                <c:pt idx="1621">
                  <c:v>32628</c:v>
                </c:pt>
                <c:pt idx="1622">
                  <c:v>32629</c:v>
                </c:pt>
                <c:pt idx="1623">
                  <c:v>32630</c:v>
                </c:pt>
                <c:pt idx="1624">
                  <c:v>32631</c:v>
                </c:pt>
                <c:pt idx="1625">
                  <c:v>32632</c:v>
                </c:pt>
                <c:pt idx="1626">
                  <c:v>32633</c:v>
                </c:pt>
                <c:pt idx="1627">
                  <c:v>32634</c:v>
                </c:pt>
                <c:pt idx="1628">
                  <c:v>32635</c:v>
                </c:pt>
                <c:pt idx="1629">
                  <c:v>32636</c:v>
                </c:pt>
                <c:pt idx="1630">
                  <c:v>32637</c:v>
                </c:pt>
                <c:pt idx="1631">
                  <c:v>32638</c:v>
                </c:pt>
                <c:pt idx="1632">
                  <c:v>32639</c:v>
                </c:pt>
                <c:pt idx="1633">
                  <c:v>32640</c:v>
                </c:pt>
                <c:pt idx="1634">
                  <c:v>32641</c:v>
                </c:pt>
                <c:pt idx="1635">
                  <c:v>32642</c:v>
                </c:pt>
                <c:pt idx="1636">
                  <c:v>32643</c:v>
                </c:pt>
                <c:pt idx="1637">
                  <c:v>32644</c:v>
                </c:pt>
                <c:pt idx="1638">
                  <c:v>32645</c:v>
                </c:pt>
                <c:pt idx="1639">
                  <c:v>32646</c:v>
                </c:pt>
                <c:pt idx="1640">
                  <c:v>32647</c:v>
                </c:pt>
                <c:pt idx="1641">
                  <c:v>32648</c:v>
                </c:pt>
                <c:pt idx="1642">
                  <c:v>32649</c:v>
                </c:pt>
                <c:pt idx="1643">
                  <c:v>32650</c:v>
                </c:pt>
                <c:pt idx="1644">
                  <c:v>32651</c:v>
                </c:pt>
                <c:pt idx="1645">
                  <c:v>32652</c:v>
                </c:pt>
                <c:pt idx="1646">
                  <c:v>32653</c:v>
                </c:pt>
                <c:pt idx="1647">
                  <c:v>32654</c:v>
                </c:pt>
                <c:pt idx="1648">
                  <c:v>32655</c:v>
                </c:pt>
                <c:pt idx="1649">
                  <c:v>32656</c:v>
                </c:pt>
                <c:pt idx="1650">
                  <c:v>32657</c:v>
                </c:pt>
                <c:pt idx="1651">
                  <c:v>32658</c:v>
                </c:pt>
                <c:pt idx="1652">
                  <c:v>32659</c:v>
                </c:pt>
                <c:pt idx="1653">
                  <c:v>32660</c:v>
                </c:pt>
                <c:pt idx="1654">
                  <c:v>32661</c:v>
                </c:pt>
                <c:pt idx="1655">
                  <c:v>32662</c:v>
                </c:pt>
                <c:pt idx="1656">
                  <c:v>32663</c:v>
                </c:pt>
                <c:pt idx="1657">
                  <c:v>32664</c:v>
                </c:pt>
                <c:pt idx="1658">
                  <c:v>32665</c:v>
                </c:pt>
                <c:pt idx="1659">
                  <c:v>32666</c:v>
                </c:pt>
                <c:pt idx="1660">
                  <c:v>32667</c:v>
                </c:pt>
                <c:pt idx="1661">
                  <c:v>32668</c:v>
                </c:pt>
                <c:pt idx="1662">
                  <c:v>32669</c:v>
                </c:pt>
                <c:pt idx="1663">
                  <c:v>32670</c:v>
                </c:pt>
                <c:pt idx="1664">
                  <c:v>32671</c:v>
                </c:pt>
                <c:pt idx="1665">
                  <c:v>32672</c:v>
                </c:pt>
                <c:pt idx="1666">
                  <c:v>32673</c:v>
                </c:pt>
                <c:pt idx="1667">
                  <c:v>32674</c:v>
                </c:pt>
                <c:pt idx="1668">
                  <c:v>32675</c:v>
                </c:pt>
                <c:pt idx="1669">
                  <c:v>32676</c:v>
                </c:pt>
                <c:pt idx="1670">
                  <c:v>32677</c:v>
                </c:pt>
                <c:pt idx="1671">
                  <c:v>32678</c:v>
                </c:pt>
                <c:pt idx="1672">
                  <c:v>32679</c:v>
                </c:pt>
                <c:pt idx="1673">
                  <c:v>32680</c:v>
                </c:pt>
                <c:pt idx="1674">
                  <c:v>32681</c:v>
                </c:pt>
                <c:pt idx="1675">
                  <c:v>32682</c:v>
                </c:pt>
                <c:pt idx="1676">
                  <c:v>32683</c:v>
                </c:pt>
                <c:pt idx="1677">
                  <c:v>32684</c:v>
                </c:pt>
                <c:pt idx="1678">
                  <c:v>32685</c:v>
                </c:pt>
                <c:pt idx="1679">
                  <c:v>32686</c:v>
                </c:pt>
                <c:pt idx="1680">
                  <c:v>32687</c:v>
                </c:pt>
                <c:pt idx="1681">
                  <c:v>32688</c:v>
                </c:pt>
                <c:pt idx="1682">
                  <c:v>32689</c:v>
                </c:pt>
                <c:pt idx="1683">
                  <c:v>32690</c:v>
                </c:pt>
                <c:pt idx="1684">
                  <c:v>32691</c:v>
                </c:pt>
                <c:pt idx="1685">
                  <c:v>32692</c:v>
                </c:pt>
                <c:pt idx="1686">
                  <c:v>32693</c:v>
                </c:pt>
                <c:pt idx="1687">
                  <c:v>32694</c:v>
                </c:pt>
                <c:pt idx="1688">
                  <c:v>32695</c:v>
                </c:pt>
                <c:pt idx="1689">
                  <c:v>32696</c:v>
                </c:pt>
                <c:pt idx="1690">
                  <c:v>32697</c:v>
                </c:pt>
                <c:pt idx="1691">
                  <c:v>32698</c:v>
                </c:pt>
                <c:pt idx="1692">
                  <c:v>32699</c:v>
                </c:pt>
                <c:pt idx="1693">
                  <c:v>32700</c:v>
                </c:pt>
                <c:pt idx="1694">
                  <c:v>32701</c:v>
                </c:pt>
                <c:pt idx="1695">
                  <c:v>32702</c:v>
                </c:pt>
                <c:pt idx="1696">
                  <c:v>32703</c:v>
                </c:pt>
                <c:pt idx="1697">
                  <c:v>32704</c:v>
                </c:pt>
                <c:pt idx="1698">
                  <c:v>32705</c:v>
                </c:pt>
                <c:pt idx="1699">
                  <c:v>32706</c:v>
                </c:pt>
                <c:pt idx="1700">
                  <c:v>32707</c:v>
                </c:pt>
                <c:pt idx="1701">
                  <c:v>32708</c:v>
                </c:pt>
                <c:pt idx="1702">
                  <c:v>32709</c:v>
                </c:pt>
                <c:pt idx="1703">
                  <c:v>32710</c:v>
                </c:pt>
                <c:pt idx="1704">
                  <c:v>32711</c:v>
                </c:pt>
                <c:pt idx="1705">
                  <c:v>32712</c:v>
                </c:pt>
                <c:pt idx="1706">
                  <c:v>32713</c:v>
                </c:pt>
                <c:pt idx="1707">
                  <c:v>32714</c:v>
                </c:pt>
                <c:pt idx="1708">
                  <c:v>32715</c:v>
                </c:pt>
                <c:pt idx="1709">
                  <c:v>32716</c:v>
                </c:pt>
                <c:pt idx="1710">
                  <c:v>32717</c:v>
                </c:pt>
                <c:pt idx="1711">
                  <c:v>32718</c:v>
                </c:pt>
                <c:pt idx="1712">
                  <c:v>32719</c:v>
                </c:pt>
                <c:pt idx="1713">
                  <c:v>32720</c:v>
                </c:pt>
                <c:pt idx="1714">
                  <c:v>32721</c:v>
                </c:pt>
                <c:pt idx="1715">
                  <c:v>32722</c:v>
                </c:pt>
                <c:pt idx="1716">
                  <c:v>32723</c:v>
                </c:pt>
                <c:pt idx="1717">
                  <c:v>32724</c:v>
                </c:pt>
                <c:pt idx="1718">
                  <c:v>32725</c:v>
                </c:pt>
                <c:pt idx="1719">
                  <c:v>32726</c:v>
                </c:pt>
                <c:pt idx="1720">
                  <c:v>32727</c:v>
                </c:pt>
                <c:pt idx="1721">
                  <c:v>32728</c:v>
                </c:pt>
                <c:pt idx="1722">
                  <c:v>32729</c:v>
                </c:pt>
                <c:pt idx="1723">
                  <c:v>32730</c:v>
                </c:pt>
                <c:pt idx="1724">
                  <c:v>32731</c:v>
                </c:pt>
                <c:pt idx="1725">
                  <c:v>32732</c:v>
                </c:pt>
                <c:pt idx="1726">
                  <c:v>32733</c:v>
                </c:pt>
                <c:pt idx="1727">
                  <c:v>32734</c:v>
                </c:pt>
                <c:pt idx="1728">
                  <c:v>32735</c:v>
                </c:pt>
                <c:pt idx="1729">
                  <c:v>32736</c:v>
                </c:pt>
                <c:pt idx="1730">
                  <c:v>32737</c:v>
                </c:pt>
                <c:pt idx="1731">
                  <c:v>32738</c:v>
                </c:pt>
                <c:pt idx="1732">
                  <c:v>32739</c:v>
                </c:pt>
                <c:pt idx="1733">
                  <c:v>32740</c:v>
                </c:pt>
                <c:pt idx="1734">
                  <c:v>32741</c:v>
                </c:pt>
                <c:pt idx="1735">
                  <c:v>32742</c:v>
                </c:pt>
                <c:pt idx="1736">
                  <c:v>32743</c:v>
                </c:pt>
                <c:pt idx="1737">
                  <c:v>32744</c:v>
                </c:pt>
                <c:pt idx="1738">
                  <c:v>32745</c:v>
                </c:pt>
                <c:pt idx="1739">
                  <c:v>32746</c:v>
                </c:pt>
                <c:pt idx="1740">
                  <c:v>32747</c:v>
                </c:pt>
                <c:pt idx="1741">
                  <c:v>32748</c:v>
                </c:pt>
                <c:pt idx="1742">
                  <c:v>32749</c:v>
                </c:pt>
                <c:pt idx="1743">
                  <c:v>32750</c:v>
                </c:pt>
                <c:pt idx="1744">
                  <c:v>32751</c:v>
                </c:pt>
                <c:pt idx="1745">
                  <c:v>32752</c:v>
                </c:pt>
                <c:pt idx="1746">
                  <c:v>32753</c:v>
                </c:pt>
                <c:pt idx="1747">
                  <c:v>32754</c:v>
                </c:pt>
                <c:pt idx="1748">
                  <c:v>32755</c:v>
                </c:pt>
                <c:pt idx="1749">
                  <c:v>32756</c:v>
                </c:pt>
                <c:pt idx="1750">
                  <c:v>32757</c:v>
                </c:pt>
                <c:pt idx="1751">
                  <c:v>32758</c:v>
                </c:pt>
                <c:pt idx="1752">
                  <c:v>32759</c:v>
                </c:pt>
                <c:pt idx="1753">
                  <c:v>32760</c:v>
                </c:pt>
                <c:pt idx="1754">
                  <c:v>32761</c:v>
                </c:pt>
                <c:pt idx="1755">
                  <c:v>32762</c:v>
                </c:pt>
                <c:pt idx="1756">
                  <c:v>32763</c:v>
                </c:pt>
                <c:pt idx="1757">
                  <c:v>32764</c:v>
                </c:pt>
                <c:pt idx="1758">
                  <c:v>32765</c:v>
                </c:pt>
                <c:pt idx="1759">
                  <c:v>32766</c:v>
                </c:pt>
                <c:pt idx="1760">
                  <c:v>32767</c:v>
                </c:pt>
                <c:pt idx="1761">
                  <c:v>32768</c:v>
                </c:pt>
                <c:pt idx="1762">
                  <c:v>32769</c:v>
                </c:pt>
                <c:pt idx="1763">
                  <c:v>32770</c:v>
                </c:pt>
                <c:pt idx="1764">
                  <c:v>32771</c:v>
                </c:pt>
                <c:pt idx="1765">
                  <c:v>32772</c:v>
                </c:pt>
                <c:pt idx="1766">
                  <c:v>32773</c:v>
                </c:pt>
                <c:pt idx="1767">
                  <c:v>32774</c:v>
                </c:pt>
                <c:pt idx="1768">
                  <c:v>32775</c:v>
                </c:pt>
                <c:pt idx="1769">
                  <c:v>32776</c:v>
                </c:pt>
                <c:pt idx="1770">
                  <c:v>32777</c:v>
                </c:pt>
                <c:pt idx="1771">
                  <c:v>32778</c:v>
                </c:pt>
                <c:pt idx="1772">
                  <c:v>32779</c:v>
                </c:pt>
                <c:pt idx="1773">
                  <c:v>32780</c:v>
                </c:pt>
                <c:pt idx="1774">
                  <c:v>32781</c:v>
                </c:pt>
                <c:pt idx="1775">
                  <c:v>32782</c:v>
                </c:pt>
                <c:pt idx="1776">
                  <c:v>32783</c:v>
                </c:pt>
                <c:pt idx="1777">
                  <c:v>32784</c:v>
                </c:pt>
                <c:pt idx="1778">
                  <c:v>32785</c:v>
                </c:pt>
                <c:pt idx="1779">
                  <c:v>32786</c:v>
                </c:pt>
                <c:pt idx="1780">
                  <c:v>32787</c:v>
                </c:pt>
                <c:pt idx="1781">
                  <c:v>32788</c:v>
                </c:pt>
                <c:pt idx="1782">
                  <c:v>32789</c:v>
                </c:pt>
                <c:pt idx="1783">
                  <c:v>32790</c:v>
                </c:pt>
                <c:pt idx="1784">
                  <c:v>32791</c:v>
                </c:pt>
                <c:pt idx="1785">
                  <c:v>32792</c:v>
                </c:pt>
                <c:pt idx="1786">
                  <c:v>32793</c:v>
                </c:pt>
                <c:pt idx="1787">
                  <c:v>32794</c:v>
                </c:pt>
                <c:pt idx="1788">
                  <c:v>32795</c:v>
                </c:pt>
                <c:pt idx="1789">
                  <c:v>32796</c:v>
                </c:pt>
                <c:pt idx="1790">
                  <c:v>32797</c:v>
                </c:pt>
                <c:pt idx="1791">
                  <c:v>32798</c:v>
                </c:pt>
                <c:pt idx="1792">
                  <c:v>32799</c:v>
                </c:pt>
                <c:pt idx="1793">
                  <c:v>32800</c:v>
                </c:pt>
                <c:pt idx="1794">
                  <c:v>32801</c:v>
                </c:pt>
                <c:pt idx="1795">
                  <c:v>32802</c:v>
                </c:pt>
                <c:pt idx="1796">
                  <c:v>32803</c:v>
                </c:pt>
                <c:pt idx="1797">
                  <c:v>32804</c:v>
                </c:pt>
                <c:pt idx="1798">
                  <c:v>32805</c:v>
                </c:pt>
                <c:pt idx="1799">
                  <c:v>32806</c:v>
                </c:pt>
                <c:pt idx="1800">
                  <c:v>32807</c:v>
                </c:pt>
                <c:pt idx="1801">
                  <c:v>32808</c:v>
                </c:pt>
                <c:pt idx="1802">
                  <c:v>32809</c:v>
                </c:pt>
                <c:pt idx="1803">
                  <c:v>32810</c:v>
                </c:pt>
                <c:pt idx="1804">
                  <c:v>32811</c:v>
                </c:pt>
                <c:pt idx="1805">
                  <c:v>32812</c:v>
                </c:pt>
                <c:pt idx="1806">
                  <c:v>32813</c:v>
                </c:pt>
                <c:pt idx="1807">
                  <c:v>32814</c:v>
                </c:pt>
                <c:pt idx="1808">
                  <c:v>32815</c:v>
                </c:pt>
                <c:pt idx="1809">
                  <c:v>32816</c:v>
                </c:pt>
                <c:pt idx="1810">
                  <c:v>32817</c:v>
                </c:pt>
                <c:pt idx="1811">
                  <c:v>32818</c:v>
                </c:pt>
                <c:pt idx="1812">
                  <c:v>32819</c:v>
                </c:pt>
                <c:pt idx="1813">
                  <c:v>32820</c:v>
                </c:pt>
                <c:pt idx="1814">
                  <c:v>32821</c:v>
                </c:pt>
                <c:pt idx="1815">
                  <c:v>32822</c:v>
                </c:pt>
                <c:pt idx="1816">
                  <c:v>32823</c:v>
                </c:pt>
                <c:pt idx="1817">
                  <c:v>32824</c:v>
                </c:pt>
                <c:pt idx="1818">
                  <c:v>32825</c:v>
                </c:pt>
                <c:pt idx="1819">
                  <c:v>32826</c:v>
                </c:pt>
                <c:pt idx="1820">
                  <c:v>32827</c:v>
                </c:pt>
                <c:pt idx="1821">
                  <c:v>32828</c:v>
                </c:pt>
                <c:pt idx="1822">
                  <c:v>32829</c:v>
                </c:pt>
                <c:pt idx="1823">
                  <c:v>32830</c:v>
                </c:pt>
                <c:pt idx="1824">
                  <c:v>32831</c:v>
                </c:pt>
                <c:pt idx="1825">
                  <c:v>32832</c:v>
                </c:pt>
                <c:pt idx="1826">
                  <c:v>32833</c:v>
                </c:pt>
                <c:pt idx="1827">
                  <c:v>32834</c:v>
                </c:pt>
                <c:pt idx="1828">
                  <c:v>32835</c:v>
                </c:pt>
                <c:pt idx="1829">
                  <c:v>32836</c:v>
                </c:pt>
                <c:pt idx="1830">
                  <c:v>32837</c:v>
                </c:pt>
                <c:pt idx="1831">
                  <c:v>32838</c:v>
                </c:pt>
                <c:pt idx="1832">
                  <c:v>32839</c:v>
                </c:pt>
                <c:pt idx="1833">
                  <c:v>32840</c:v>
                </c:pt>
                <c:pt idx="1834">
                  <c:v>32841</c:v>
                </c:pt>
                <c:pt idx="1835">
                  <c:v>32842</c:v>
                </c:pt>
                <c:pt idx="1836">
                  <c:v>32843</c:v>
                </c:pt>
                <c:pt idx="1837">
                  <c:v>32844</c:v>
                </c:pt>
                <c:pt idx="1838">
                  <c:v>32845</c:v>
                </c:pt>
                <c:pt idx="1839">
                  <c:v>32846</c:v>
                </c:pt>
                <c:pt idx="1840">
                  <c:v>32847</c:v>
                </c:pt>
                <c:pt idx="1841">
                  <c:v>32848</c:v>
                </c:pt>
                <c:pt idx="1842">
                  <c:v>32849</c:v>
                </c:pt>
                <c:pt idx="1843">
                  <c:v>32850</c:v>
                </c:pt>
                <c:pt idx="1844">
                  <c:v>32851</c:v>
                </c:pt>
                <c:pt idx="1845">
                  <c:v>32852</c:v>
                </c:pt>
                <c:pt idx="1846">
                  <c:v>32853</c:v>
                </c:pt>
                <c:pt idx="1847">
                  <c:v>32854</c:v>
                </c:pt>
                <c:pt idx="1848">
                  <c:v>32855</c:v>
                </c:pt>
                <c:pt idx="1849">
                  <c:v>32856</c:v>
                </c:pt>
                <c:pt idx="1850">
                  <c:v>32857</c:v>
                </c:pt>
                <c:pt idx="1851">
                  <c:v>32858</c:v>
                </c:pt>
                <c:pt idx="1852">
                  <c:v>32859</c:v>
                </c:pt>
                <c:pt idx="1853">
                  <c:v>32860</c:v>
                </c:pt>
                <c:pt idx="1854">
                  <c:v>32861</c:v>
                </c:pt>
                <c:pt idx="1855">
                  <c:v>32862</c:v>
                </c:pt>
                <c:pt idx="1856">
                  <c:v>32863</c:v>
                </c:pt>
                <c:pt idx="1857">
                  <c:v>32864</c:v>
                </c:pt>
                <c:pt idx="1858">
                  <c:v>32865</c:v>
                </c:pt>
                <c:pt idx="1859">
                  <c:v>32866</c:v>
                </c:pt>
                <c:pt idx="1860">
                  <c:v>32867</c:v>
                </c:pt>
                <c:pt idx="1861">
                  <c:v>32868</c:v>
                </c:pt>
                <c:pt idx="1862">
                  <c:v>32869</c:v>
                </c:pt>
                <c:pt idx="1863">
                  <c:v>32870</c:v>
                </c:pt>
                <c:pt idx="1864">
                  <c:v>32871</c:v>
                </c:pt>
                <c:pt idx="1865">
                  <c:v>32872</c:v>
                </c:pt>
                <c:pt idx="1866">
                  <c:v>32873</c:v>
                </c:pt>
                <c:pt idx="1867">
                  <c:v>32874</c:v>
                </c:pt>
                <c:pt idx="1868">
                  <c:v>32875</c:v>
                </c:pt>
                <c:pt idx="1869">
                  <c:v>32876</c:v>
                </c:pt>
                <c:pt idx="1870">
                  <c:v>32877</c:v>
                </c:pt>
                <c:pt idx="1871">
                  <c:v>32878</c:v>
                </c:pt>
                <c:pt idx="1872">
                  <c:v>32879</c:v>
                </c:pt>
                <c:pt idx="1873">
                  <c:v>32880</c:v>
                </c:pt>
                <c:pt idx="1874">
                  <c:v>32881</c:v>
                </c:pt>
                <c:pt idx="1875">
                  <c:v>32882</c:v>
                </c:pt>
                <c:pt idx="1876">
                  <c:v>32883</c:v>
                </c:pt>
                <c:pt idx="1877">
                  <c:v>32884</c:v>
                </c:pt>
                <c:pt idx="1878">
                  <c:v>32885</c:v>
                </c:pt>
                <c:pt idx="1879">
                  <c:v>32886</c:v>
                </c:pt>
                <c:pt idx="1880">
                  <c:v>32887</c:v>
                </c:pt>
                <c:pt idx="1881">
                  <c:v>32888</c:v>
                </c:pt>
                <c:pt idx="1882">
                  <c:v>32889</c:v>
                </c:pt>
                <c:pt idx="1883">
                  <c:v>32890</c:v>
                </c:pt>
                <c:pt idx="1884">
                  <c:v>32891</c:v>
                </c:pt>
                <c:pt idx="1885">
                  <c:v>32892</c:v>
                </c:pt>
                <c:pt idx="1886">
                  <c:v>32893</c:v>
                </c:pt>
                <c:pt idx="1887">
                  <c:v>32894</c:v>
                </c:pt>
                <c:pt idx="1888">
                  <c:v>32895</c:v>
                </c:pt>
                <c:pt idx="1889">
                  <c:v>32896</c:v>
                </c:pt>
                <c:pt idx="1890">
                  <c:v>32897</c:v>
                </c:pt>
                <c:pt idx="1891">
                  <c:v>32898</c:v>
                </c:pt>
                <c:pt idx="1892">
                  <c:v>32899</c:v>
                </c:pt>
                <c:pt idx="1893">
                  <c:v>32900</c:v>
                </c:pt>
                <c:pt idx="1894">
                  <c:v>32901</c:v>
                </c:pt>
                <c:pt idx="1895">
                  <c:v>32902</c:v>
                </c:pt>
                <c:pt idx="1896">
                  <c:v>32903</c:v>
                </c:pt>
                <c:pt idx="1897">
                  <c:v>32904</c:v>
                </c:pt>
                <c:pt idx="1898">
                  <c:v>32905</c:v>
                </c:pt>
                <c:pt idx="1899">
                  <c:v>32906</c:v>
                </c:pt>
                <c:pt idx="1900">
                  <c:v>32907</c:v>
                </c:pt>
                <c:pt idx="1901">
                  <c:v>32908</c:v>
                </c:pt>
                <c:pt idx="1902">
                  <c:v>32909</c:v>
                </c:pt>
                <c:pt idx="1903">
                  <c:v>32910</c:v>
                </c:pt>
                <c:pt idx="1904">
                  <c:v>32911</c:v>
                </c:pt>
                <c:pt idx="1905">
                  <c:v>32912</c:v>
                </c:pt>
                <c:pt idx="1906">
                  <c:v>32913</c:v>
                </c:pt>
                <c:pt idx="1907">
                  <c:v>32914</c:v>
                </c:pt>
                <c:pt idx="1908">
                  <c:v>32915</c:v>
                </c:pt>
                <c:pt idx="1909">
                  <c:v>32916</c:v>
                </c:pt>
                <c:pt idx="1910">
                  <c:v>32917</c:v>
                </c:pt>
                <c:pt idx="1911">
                  <c:v>32918</c:v>
                </c:pt>
                <c:pt idx="1912">
                  <c:v>32919</c:v>
                </c:pt>
                <c:pt idx="1913">
                  <c:v>32920</c:v>
                </c:pt>
                <c:pt idx="1914">
                  <c:v>32921</c:v>
                </c:pt>
                <c:pt idx="1915">
                  <c:v>32922</c:v>
                </c:pt>
                <c:pt idx="1916">
                  <c:v>32923</c:v>
                </c:pt>
                <c:pt idx="1917">
                  <c:v>32924</c:v>
                </c:pt>
                <c:pt idx="1918">
                  <c:v>32925</c:v>
                </c:pt>
                <c:pt idx="1919">
                  <c:v>32926</c:v>
                </c:pt>
                <c:pt idx="1920">
                  <c:v>32927</c:v>
                </c:pt>
                <c:pt idx="1921">
                  <c:v>32928</c:v>
                </c:pt>
                <c:pt idx="1922">
                  <c:v>32929</c:v>
                </c:pt>
                <c:pt idx="1923">
                  <c:v>32930</c:v>
                </c:pt>
                <c:pt idx="1924">
                  <c:v>32931</c:v>
                </c:pt>
                <c:pt idx="1925">
                  <c:v>32932</c:v>
                </c:pt>
                <c:pt idx="1926">
                  <c:v>32933</c:v>
                </c:pt>
                <c:pt idx="1927">
                  <c:v>32934</c:v>
                </c:pt>
                <c:pt idx="1928">
                  <c:v>32935</c:v>
                </c:pt>
                <c:pt idx="1929">
                  <c:v>32936</c:v>
                </c:pt>
                <c:pt idx="1930">
                  <c:v>32937</c:v>
                </c:pt>
                <c:pt idx="1931">
                  <c:v>32938</c:v>
                </c:pt>
                <c:pt idx="1932">
                  <c:v>32939</c:v>
                </c:pt>
                <c:pt idx="1933">
                  <c:v>32940</c:v>
                </c:pt>
                <c:pt idx="1934">
                  <c:v>32941</c:v>
                </c:pt>
                <c:pt idx="1935">
                  <c:v>32942</c:v>
                </c:pt>
                <c:pt idx="1936">
                  <c:v>32943</c:v>
                </c:pt>
                <c:pt idx="1937">
                  <c:v>32944</c:v>
                </c:pt>
                <c:pt idx="1938">
                  <c:v>32945</c:v>
                </c:pt>
                <c:pt idx="1939">
                  <c:v>32946</c:v>
                </c:pt>
                <c:pt idx="1940">
                  <c:v>32947</c:v>
                </c:pt>
                <c:pt idx="1941">
                  <c:v>32948</c:v>
                </c:pt>
                <c:pt idx="1942">
                  <c:v>32949</c:v>
                </c:pt>
                <c:pt idx="1943">
                  <c:v>32950</c:v>
                </c:pt>
                <c:pt idx="1944">
                  <c:v>32951</c:v>
                </c:pt>
                <c:pt idx="1945">
                  <c:v>32952</c:v>
                </c:pt>
                <c:pt idx="1946">
                  <c:v>32953</c:v>
                </c:pt>
                <c:pt idx="1947">
                  <c:v>32954</c:v>
                </c:pt>
                <c:pt idx="1948">
                  <c:v>32955</c:v>
                </c:pt>
                <c:pt idx="1949">
                  <c:v>32956</c:v>
                </c:pt>
                <c:pt idx="1950">
                  <c:v>32957</c:v>
                </c:pt>
                <c:pt idx="1951">
                  <c:v>32958</c:v>
                </c:pt>
                <c:pt idx="1952">
                  <c:v>32959</c:v>
                </c:pt>
                <c:pt idx="1953">
                  <c:v>32960</c:v>
                </c:pt>
                <c:pt idx="1954">
                  <c:v>32961</c:v>
                </c:pt>
                <c:pt idx="1955">
                  <c:v>32962</c:v>
                </c:pt>
                <c:pt idx="1956">
                  <c:v>32963</c:v>
                </c:pt>
                <c:pt idx="1957">
                  <c:v>32964</c:v>
                </c:pt>
                <c:pt idx="1958">
                  <c:v>32965</c:v>
                </c:pt>
                <c:pt idx="1959">
                  <c:v>32966</c:v>
                </c:pt>
                <c:pt idx="1960">
                  <c:v>32967</c:v>
                </c:pt>
                <c:pt idx="1961">
                  <c:v>32968</c:v>
                </c:pt>
                <c:pt idx="1962">
                  <c:v>32969</c:v>
                </c:pt>
                <c:pt idx="1963">
                  <c:v>32970</c:v>
                </c:pt>
                <c:pt idx="1964">
                  <c:v>32971</c:v>
                </c:pt>
              </c:numCache>
            </c:numRef>
          </c:xVal>
          <c:yVal>
            <c:numRef>
              <c:f>'Simple Data'!$Q$9:$Q$1973</c:f>
              <c:numCache>
                <c:formatCode>0.00000000</c:formatCode>
                <c:ptCount val="1965"/>
                <c:pt idx="0">
                  <c:v>2.5791632651817054E-3</c:v>
                </c:pt>
                <c:pt idx="1">
                  <c:v>2.5351873773615807E-3</c:v>
                </c:pt>
                <c:pt idx="2">
                  <c:v>2.4972650862764567E-3</c:v>
                </c:pt>
                <c:pt idx="3">
                  <c:v>2.4651635612826794E-3</c:v>
                </c:pt>
                <c:pt idx="4">
                  <c:v>2.4389119062107056E-3</c:v>
                </c:pt>
                <c:pt idx="5">
                  <c:v>2.4185101210605353E-3</c:v>
                </c:pt>
                <c:pt idx="6">
                  <c:v>2.4039873096626252E-3</c:v>
                </c:pt>
                <c:pt idx="7">
                  <c:v>2.3951397452037781E-3</c:v>
                </c:pt>
                <c:pt idx="8">
                  <c:v>2.3921420506667346E-3</c:v>
                </c:pt>
                <c:pt idx="9">
                  <c:v>2.3947322915773839E-3</c:v>
                </c:pt>
                <c:pt idx="10">
                  <c:v>2.403026883257553E-3</c:v>
                </c:pt>
                <c:pt idx="11">
                  <c:v>2.4170258257072419E-3</c:v>
                </c:pt>
                <c:pt idx="12">
                  <c:v>2.4366127036046237E-3</c:v>
                </c:pt>
                <c:pt idx="13">
                  <c:v>2.4618166207801551E-3</c:v>
                </c:pt>
                <c:pt idx="14">
                  <c:v>2.4925793695729226E-3</c:v>
                </c:pt>
                <c:pt idx="15">
                  <c:v>2.5287554308306426E-3</c:v>
                </c:pt>
                <c:pt idx="16">
                  <c:v>2.5704903237055987E-3</c:v>
                </c:pt>
                <c:pt idx="17">
                  <c:v>2.617667632875964E-3</c:v>
                </c:pt>
                <c:pt idx="18">
                  <c:v>2.6703164621721953E-3</c:v>
                </c:pt>
                <c:pt idx="19">
                  <c:v>2.7283203962724656E-3</c:v>
                </c:pt>
                <c:pt idx="20">
                  <c:v>2.7917376428376883E-3</c:v>
                </c:pt>
                <c:pt idx="21">
                  <c:v>2.8603644750546664E-3</c:v>
                </c:pt>
                <c:pt idx="22">
                  <c:v>2.9343755159061402E-3</c:v>
                </c:pt>
                <c:pt idx="23">
                  <c:v>3.0136834539007396E-3</c:v>
                </c:pt>
                <c:pt idx="24">
                  <c:v>3.098230081377551E-3</c:v>
                </c:pt>
                <c:pt idx="25">
                  <c:v>3.187957190675661E-3</c:v>
                </c:pt>
                <c:pt idx="26">
                  <c:v>3.2829520932864398E-3</c:v>
                </c:pt>
                <c:pt idx="27">
                  <c:v>3.3829528547357768E-3</c:v>
                </c:pt>
                <c:pt idx="28">
                  <c:v>3.4880758903454989E-3</c:v>
                </c:pt>
                <c:pt idx="29">
                  <c:v>3.5983503039460629E-3</c:v>
                </c:pt>
                <c:pt idx="30">
                  <c:v>3.7137178878765553E-3</c:v>
                </c:pt>
                <c:pt idx="31">
                  <c:v>3.8340913306456059E-3</c:v>
                </c:pt>
                <c:pt idx="32">
                  <c:v>3.9594997360836715E-3</c:v>
                </c:pt>
                <c:pt idx="33">
                  <c:v>4.0897684812080115E-3</c:v>
                </c:pt>
                <c:pt idx="34">
                  <c:v>4.225013981340453E-3</c:v>
                </c:pt>
                <c:pt idx="35">
                  <c:v>4.3652653403114527E-3</c:v>
                </c:pt>
                <c:pt idx="36">
                  <c:v>4.5102606236469001E-3</c:v>
                </c:pt>
                <c:pt idx="37">
                  <c:v>4.6602326619904488E-3</c:v>
                </c:pt>
                <c:pt idx="38">
                  <c:v>4.8149777285289019E-3</c:v>
                </c:pt>
                <c:pt idx="39">
                  <c:v>4.9744376156013459E-3</c:v>
                </c:pt>
                <c:pt idx="40">
                  <c:v>5.1387869461905211E-3</c:v>
                </c:pt>
                <c:pt idx="41">
                  <c:v>5.3077928896527737E-3</c:v>
                </c:pt>
                <c:pt idx="42">
                  <c:v>5.4814845498185605E-3</c:v>
                </c:pt>
                <c:pt idx="43">
                  <c:v>5.6598037190269679E-3</c:v>
                </c:pt>
                <c:pt idx="44">
                  <c:v>5.8429250202607363E-3</c:v>
                </c:pt>
                <c:pt idx="45">
                  <c:v>6.0305574152152985E-3</c:v>
                </c:pt>
                <c:pt idx="46">
                  <c:v>6.2228173192124814E-3</c:v>
                </c:pt>
                <c:pt idx="47">
                  <c:v>6.4196174207609147E-3</c:v>
                </c:pt>
                <c:pt idx="48">
                  <c:v>6.6209868236910552E-3</c:v>
                </c:pt>
                <c:pt idx="49">
                  <c:v>6.8268673203419894E-3</c:v>
                </c:pt>
                <c:pt idx="50">
                  <c:v>7.0370842877309769E-3</c:v>
                </c:pt>
                <c:pt idx="51">
                  <c:v>7.2518705565016717E-3</c:v>
                </c:pt>
                <c:pt idx="52">
                  <c:v>7.4710515036713332E-3</c:v>
                </c:pt>
                <c:pt idx="53">
                  <c:v>7.6945980254095048E-3</c:v>
                </c:pt>
                <c:pt idx="54">
                  <c:v>7.9225392255466431E-3</c:v>
                </c:pt>
                <c:pt idx="55">
                  <c:v>8.1547586887609214E-3</c:v>
                </c:pt>
                <c:pt idx="56">
                  <c:v>8.3913146227132529E-3</c:v>
                </c:pt>
                <c:pt idx="57">
                  <c:v>8.6322361312340945E-3</c:v>
                </c:pt>
                <c:pt idx="58">
                  <c:v>8.8772903836797923E-3</c:v>
                </c:pt>
                <c:pt idx="59">
                  <c:v>9.1265646915417165E-3</c:v>
                </c:pt>
                <c:pt idx="60">
                  <c:v>9.3800881586503237E-3</c:v>
                </c:pt>
                <c:pt idx="61">
                  <c:v>9.637773473514244E-3</c:v>
                </c:pt>
                <c:pt idx="62">
                  <c:v>9.8995915323030204E-3</c:v>
                </c:pt>
                <c:pt idx="63">
                  <c:v>1.0165484127355739E-2</c:v>
                </c:pt>
                <c:pt idx="64">
                  <c:v>1.0435451258672401E-2</c:v>
                </c:pt>
                <c:pt idx="65">
                  <c:v>1.0709580237744376E-2</c:v>
                </c:pt>
                <c:pt idx="66">
                  <c:v>1.0987667337758467E-2</c:v>
                </c:pt>
                <c:pt idx="67">
                  <c:v>1.1269683454884216E-2</c:v>
                </c:pt>
                <c:pt idx="68">
                  <c:v>1.1555803212104365E-2</c:v>
                </c:pt>
                <c:pt idx="69">
                  <c:v>1.184579377877526E-2</c:v>
                </c:pt>
                <c:pt idx="70">
                  <c:v>1.2139771570218727E-2</c:v>
                </c:pt>
                <c:pt idx="71">
                  <c:v>1.2437591067282483E-2</c:v>
                </c:pt>
                <c:pt idx="72">
                  <c:v>1.2739281373796985E-2</c:v>
                </c:pt>
                <c:pt idx="73">
                  <c:v>1.3044871593592688E-2</c:v>
                </c:pt>
                <c:pt idx="74">
                  <c:v>1.3354157999856398E-2</c:v>
                </c:pt>
                <c:pt idx="75">
                  <c:v>1.3667373423231766E-2</c:v>
                </c:pt>
                <c:pt idx="76">
                  <c:v>1.3984226825414225E-2</c:v>
                </c:pt>
                <c:pt idx="77">
                  <c:v>1.4304892829386517E-2</c:v>
                </c:pt>
                <c:pt idx="78">
                  <c:v>1.4629196812165901E-2</c:v>
                </c:pt>
                <c:pt idx="79">
                  <c:v>1.495728429290466E-2</c:v>
                </c:pt>
                <c:pt idx="80">
                  <c:v>1.5289009752450511E-2</c:v>
                </c:pt>
                <c:pt idx="81">
                  <c:v>1.5624285879312083E-2</c:v>
                </c:pt>
                <c:pt idx="82">
                  <c:v>1.5963229088811204E-2</c:v>
                </c:pt>
                <c:pt idx="83">
                  <c:v>1.630578117328696E-2</c:v>
                </c:pt>
                <c:pt idx="84">
                  <c:v>1.6651883925078437E-2</c:v>
                </c:pt>
                <c:pt idx="85">
                  <c:v>1.7001391825033352E-2</c:v>
                </c:pt>
                <c:pt idx="86">
                  <c:v>1.7354508599964902E-2</c:v>
                </c:pt>
                <c:pt idx="87">
                  <c:v>1.7711176042212173E-2</c:v>
                </c:pt>
                <c:pt idx="88">
                  <c:v>1.8071161321131513E-2</c:v>
                </c:pt>
                <c:pt idx="89">
                  <c:v>1.843463905970566E-2</c:v>
                </c:pt>
                <c:pt idx="90">
                  <c:v>1.8801492842612788E-2</c:v>
                </c:pt>
                <c:pt idx="91">
                  <c:v>1.9171751773683354E-2</c:v>
                </c:pt>
                <c:pt idx="92">
                  <c:v>1.9545299437595531E-2</c:v>
                </c:pt>
                <c:pt idx="93">
                  <c:v>1.9922252249671146E-2</c:v>
                </c:pt>
                <c:pt idx="94">
                  <c:v>2.0302464690757915E-2</c:v>
                </c:pt>
                <c:pt idx="95">
                  <c:v>2.0685965864686295E-2</c:v>
                </c:pt>
                <c:pt idx="96">
                  <c:v>2.1072697563795373E-2</c:v>
                </c:pt>
                <c:pt idx="97">
                  <c:v>2.1462659788085148E-2</c:v>
                </c:pt>
                <c:pt idx="98">
                  <c:v>2.1855910745216534E-2</c:v>
                </c:pt>
                <c:pt idx="99">
                  <c:v>2.2252246708376333E-2</c:v>
                </c:pt>
                <c:pt idx="100">
                  <c:v>2.2651784092886373E-2</c:v>
                </c:pt>
                <c:pt idx="101">
                  <c:v>2.3054377379594371E-2</c:v>
                </c:pt>
                <c:pt idx="102">
                  <c:v>2.3460142983822152E-2</c:v>
                </c:pt>
                <c:pt idx="103">
                  <c:v>2.3869022697908804E-2</c:v>
                </c:pt>
                <c:pt idx="104">
                  <c:v>2.4280900106532499E-2</c:v>
                </c:pt>
                <c:pt idx="105">
                  <c:v>2.4695862521184608E-2</c:v>
                </c:pt>
                <c:pt idx="106">
                  <c:v>2.5113764422712848E-2</c:v>
                </c:pt>
                <c:pt idx="107">
                  <c:v>2.5534693122608587E-2</c:v>
                </c:pt>
                <c:pt idx="108">
                  <c:v>2.5958503101719543E-2</c:v>
                </c:pt>
                <c:pt idx="109">
                  <c:v>2.6385368983028457E-2</c:v>
                </c:pt>
                <c:pt idx="110">
                  <c:v>2.681508703972213E-2</c:v>
                </c:pt>
                <c:pt idx="111">
                  <c:v>2.7247744583291933E-2</c:v>
                </c:pt>
                <c:pt idx="112">
                  <c:v>2.7683283406076953E-2</c:v>
                </c:pt>
                <c:pt idx="113">
                  <c:v>2.8121587092755362E-2</c:v>
                </c:pt>
                <c:pt idx="114">
                  <c:v>2.8562713850988075E-2</c:v>
                </c:pt>
                <c:pt idx="115">
                  <c:v>2.9006663680775091E-2</c:v>
                </c:pt>
                <c:pt idx="116">
                  <c:v>2.9453465685946867E-2</c:v>
                </c:pt>
                <c:pt idx="117">
                  <c:v>2.9902916139690205E-2</c:v>
                </c:pt>
                <c:pt idx="118">
                  <c:v>3.0355102353496477E-2</c:v>
                </c:pt>
                <c:pt idx="119">
                  <c:v>3.0810024327365682E-2</c:v>
                </c:pt>
                <c:pt idx="120">
                  <c:v>3.1267594749806449E-2</c:v>
                </c:pt>
                <c:pt idx="121">
                  <c:v>3.1727871828479692E-2</c:v>
                </c:pt>
                <c:pt idx="122">
                  <c:v>3.2190739148063585E-2</c:v>
                </c:pt>
                <c:pt idx="123">
                  <c:v>3.2656284020049497E-2</c:v>
                </c:pt>
                <c:pt idx="124">
                  <c:v>3.3124302717624232E-2</c:v>
                </c:pt>
                <c:pt idx="125">
                  <c:v>3.3595028071431443E-2</c:v>
                </c:pt>
                <c:pt idx="126">
                  <c:v>3.406819814699702E-2</c:v>
                </c:pt>
                <c:pt idx="127">
                  <c:v>3.4543929359642789E-2</c:v>
                </c:pt>
                <c:pt idx="128">
                  <c:v>3.502213439787738E-2</c:v>
                </c:pt>
                <c:pt idx="129">
                  <c:v>3.5502871469361708E-2</c:v>
                </c:pt>
                <c:pt idx="130">
                  <c:v>3.5986082366434857E-2</c:v>
                </c:pt>
                <c:pt idx="131">
                  <c:v>3.6471621569944546E-2</c:v>
                </c:pt>
                <c:pt idx="132">
                  <c:v>3.6959634599043056E-2</c:v>
                </c:pt>
                <c:pt idx="133">
                  <c:v>3.7450063246069476E-2</c:v>
                </c:pt>
                <c:pt idx="134">
                  <c:v>3.7942878407193348E-2</c:v>
                </c:pt>
                <c:pt idx="135">
                  <c:v>3.8437934563262388E-2</c:v>
                </c:pt>
                <c:pt idx="136">
                  <c:v>3.8935406337259337E-2</c:v>
                </c:pt>
                <c:pt idx="137">
                  <c:v>3.9435148210031912E-2</c:v>
                </c:pt>
                <c:pt idx="138">
                  <c:v>3.9937218389241025E-2</c:v>
                </c:pt>
                <c:pt idx="139">
                  <c:v>4.044150045956485E-2</c:v>
                </c:pt>
                <c:pt idx="140">
                  <c:v>4.0947994421003386E-2</c:v>
                </c:pt>
                <c:pt idx="141">
                  <c:v>4.1456787585048005E-2</c:v>
                </c:pt>
                <c:pt idx="142">
                  <c:v>4.1967705328715965E-2</c:v>
                </c:pt>
                <c:pt idx="143">
                  <c:v>4.2480834963498637E-2</c:v>
                </c:pt>
                <c:pt idx="144">
                  <c:v>4.2996089177904651E-2</c:v>
                </c:pt>
                <c:pt idx="145">
                  <c:v>4.3513555283425376E-2</c:v>
                </c:pt>
                <c:pt idx="146">
                  <c:v>4.4033087760908529E-2</c:v>
                </c:pt>
                <c:pt idx="147">
                  <c:v>4.4554715714184567E-2</c:v>
                </c:pt>
                <c:pt idx="148">
                  <c:v>4.5078410039423034E-2</c:v>
                </c:pt>
                <c:pt idx="149">
                  <c:v>4.5604141632793471E-2</c:v>
                </c:pt>
                <c:pt idx="150">
                  <c:v>4.6131852286634967E-2</c:v>
                </c:pt>
                <c:pt idx="151">
                  <c:v>4.6661687520099804E-2</c:v>
                </c:pt>
                <c:pt idx="152">
                  <c:v>4.7193472710205242E-2</c:v>
                </c:pt>
                <c:pt idx="153">
                  <c:v>4.7727149649290368E-2</c:v>
                </c:pt>
                <c:pt idx="154">
                  <c:v>4.8262892960337922E-2</c:v>
                </c:pt>
                <c:pt idx="155">
                  <c:v>4.880046981270425E-2</c:v>
                </c:pt>
                <c:pt idx="156">
                  <c:v>4.933999662171118E-2</c:v>
                </c:pt>
                <c:pt idx="157">
                  <c:v>4.9881444283528253E-2</c:v>
                </c:pt>
                <c:pt idx="158">
                  <c:v>5.0424667279003188E-2</c:v>
                </c:pt>
                <c:pt idx="159">
                  <c:v>5.096978202345781E-2</c:v>
                </c:pt>
                <c:pt idx="160">
                  <c:v>5.151678851689212E-2</c:v>
                </c:pt>
                <c:pt idx="161">
                  <c:v>5.2065483032492921E-2</c:v>
                </c:pt>
                <c:pt idx="162">
                  <c:v>5.2616040193242952E-2</c:v>
                </c:pt>
                <c:pt idx="163">
                  <c:v>5.3168314479989931E-2</c:v>
                </c:pt>
                <c:pt idx="164">
                  <c:v>5.3722393204225227E-2</c:v>
                </c:pt>
                <c:pt idx="165">
                  <c:v>5.4278159950627014E-2</c:v>
                </c:pt>
                <c:pt idx="166">
                  <c:v>5.4835702030686662E-2</c:v>
                </c:pt>
                <c:pt idx="167">
                  <c:v>5.539484482142143E-2</c:v>
                </c:pt>
                <c:pt idx="168">
                  <c:v>5.5955675634322688E-2</c:v>
                </c:pt>
                <c:pt idx="169">
                  <c:v>5.6518194469390437E-2</c:v>
                </c:pt>
                <c:pt idx="170">
                  <c:v>5.7082314015133306E-2</c:v>
                </c:pt>
                <c:pt idx="171">
                  <c:v>5.7648063375381753E-2</c:v>
                </c:pt>
                <c:pt idx="172">
                  <c:v>5.8215355238644406E-2</c:v>
                </c:pt>
                <c:pt idx="173">
                  <c:v>5.8784306020243093E-2</c:v>
                </c:pt>
                <c:pt idx="174">
                  <c:v>5.9354799304855987E-2</c:v>
                </c:pt>
                <c:pt idx="175">
                  <c:v>5.9926835092483088E-2</c:v>
                </c:pt>
                <c:pt idx="176">
                  <c:v>6.0500267863972113E-2</c:v>
                </c:pt>
                <c:pt idx="177">
                  <c:v>6.10752722423058E-2</c:v>
                </c:pt>
                <c:pt idx="178">
                  <c:v>6.1651790019823238E-2</c:v>
                </c:pt>
                <c:pt idx="179">
                  <c:v>6.2229762988863513E-2</c:v>
                </c:pt>
                <c:pt idx="180">
                  <c:v>6.2809162045596167E-2</c:v>
                </c:pt>
                <c:pt idx="181">
                  <c:v>6.3389958086190745E-2</c:v>
                </c:pt>
                <c:pt idx="182">
                  <c:v>6.3972180214477703E-2</c:v>
                </c:pt>
                <c:pt idx="183">
                  <c:v>6.4555828430457041E-2</c:v>
                </c:pt>
                <c:pt idx="184">
                  <c:v>6.5140786318806931E-2</c:v>
                </c:pt>
                <c:pt idx="185">
                  <c:v>6.5727199398679659E-2</c:v>
                </c:pt>
                <c:pt idx="186">
                  <c:v>6.6314805735601112E-2</c:v>
                </c:pt>
                <c:pt idx="187">
                  <c:v>6.6903838160214946E-2</c:v>
                </c:pt>
                <c:pt idx="188">
                  <c:v>6.7494092945707962E-2</c:v>
                </c:pt>
                <c:pt idx="189">
                  <c:v>6.8085628299741074E-2</c:v>
                </c:pt>
                <c:pt idx="190">
                  <c:v>6.8678444222314283E-2</c:v>
                </c:pt>
                <c:pt idx="191">
                  <c:v>6.9272540713427588E-2</c:v>
                </c:pt>
                <c:pt idx="192">
                  <c:v>6.9867888669250533E-2</c:v>
                </c:pt>
                <c:pt idx="193">
                  <c:v>7.0464342570630834E-2</c:v>
                </c:pt>
                <c:pt idx="194">
                  <c:v>7.1062047936720774E-2</c:v>
                </c:pt>
                <c:pt idx="195">
                  <c:v>7.1660830144537613E-2</c:v>
                </c:pt>
                <c:pt idx="196">
                  <c:v>7.2260951128555462E-2</c:v>
                </c:pt>
                <c:pt idx="197">
                  <c:v>7.2862032538978383E-2</c:v>
                </c:pt>
                <c:pt idx="198">
                  <c:v>7.3464336310280487E-2</c:v>
                </c:pt>
                <c:pt idx="199">
                  <c:v>7.4067687819479033E-2</c:v>
                </c:pt>
                <c:pt idx="200">
                  <c:v>7.4672174378065392E-2</c:v>
                </c:pt>
                <c:pt idx="201">
                  <c:v>7.5277708674548194E-2</c:v>
                </c:pt>
                <c:pt idx="202">
                  <c:v>7.5884290708927438E-2</c:v>
                </c:pt>
                <c:pt idx="203">
                  <c:v>7.6491891377372667E-2</c:v>
                </c:pt>
                <c:pt idx="204">
                  <c:v>7.7100481576053426E-2</c:v>
                </c:pt>
                <c:pt idx="205">
                  <c:v>7.7710148616461083E-2</c:v>
                </c:pt>
                <c:pt idx="206">
                  <c:v>7.8320834290934727E-2</c:v>
                </c:pt>
                <c:pt idx="207">
                  <c:v>7.8932393080322072E-2</c:v>
                </c:pt>
                <c:pt idx="208">
                  <c:v>7.9544941399944946E-2</c:v>
                </c:pt>
                <c:pt idx="209">
                  <c:v>8.0158391938311979E-2</c:v>
                </c:pt>
                <c:pt idx="210">
                  <c:v>8.0772773799253628E-2</c:v>
                </c:pt>
                <c:pt idx="211">
                  <c:v>8.1388086982769892E-2</c:v>
                </c:pt>
                <c:pt idx="212">
                  <c:v>8.2004273281199858E-2</c:v>
                </c:pt>
                <c:pt idx="213">
                  <c:v>8.2621361798373982E-2</c:v>
                </c:pt>
                <c:pt idx="214">
                  <c:v>8.3239236118970439E-2</c:v>
                </c:pt>
                <c:pt idx="215">
                  <c:v>8.3857983554480597E-2</c:v>
                </c:pt>
                <c:pt idx="216">
                  <c:v>8.4477487689582631E-2</c:v>
                </c:pt>
                <c:pt idx="217">
                  <c:v>8.5097864939598367E-2</c:v>
                </c:pt>
                <c:pt idx="218">
                  <c:v>8.5719027993036434E-2</c:v>
                </c:pt>
                <c:pt idx="219">
                  <c:v>8.6340976849896833E-2</c:v>
                </c:pt>
                <c:pt idx="220">
                  <c:v>8.6963653302518651E-2</c:v>
                </c:pt>
                <c:pt idx="221">
                  <c:v>8.758702824707143E-2</c:v>
                </c:pt>
                <c:pt idx="222">
                  <c:v>8.8211218098876998E-2</c:v>
                </c:pt>
                <c:pt idx="223">
                  <c:v>8.8836135546443984E-2</c:v>
                </c:pt>
                <c:pt idx="224">
                  <c:v>8.9461635070620105E-2</c:v>
                </c:pt>
                <c:pt idx="225">
                  <c:v>9.0087891294388101E-2</c:v>
                </c:pt>
                <c:pt idx="226">
                  <c:v>9.0714700490934774E-2</c:v>
                </c:pt>
                <c:pt idx="227">
                  <c:v>9.1342324594734237E-2</c:v>
                </c:pt>
                <c:pt idx="228">
                  <c:v>9.1970501671312377E-2</c:v>
                </c:pt>
                <c:pt idx="229">
                  <c:v>9.2599289928330109E-2</c:v>
                </c:pt>
                <c:pt idx="230">
                  <c:v>9.3228660261956975E-2</c:v>
                </c:pt>
                <c:pt idx="231">
                  <c:v>9.3858612672192976E-2</c:v>
                </c:pt>
                <c:pt idx="232">
                  <c:v>9.4489176262868568E-2</c:v>
                </c:pt>
                <c:pt idx="233">
                  <c:v>9.5120292826322839E-2</c:v>
                </c:pt>
                <c:pt idx="234">
                  <c:v>9.5751904154894873E-2</c:v>
                </c:pt>
                <c:pt idx="235">
                  <c:v>9.6384097560076043E-2</c:v>
                </c:pt>
                <c:pt idx="236">
                  <c:v>9.701675662654452E-2</c:v>
                </c:pt>
                <c:pt idx="237">
                  <c:v>9.7650026873452589E-2</c:v>
                </c:pt>
                <c:pt idx="238">
                  <c:v>9.8283646366326138E-2</c:v>
                </c:pt>
                <c:pt idx="239">
                  <c:v>9.8917731520486996E-2</c:v>
                </c:pt>
                <c:pt idx="240">
                  <c:v>9.9552398751256987E-2</c:v>
                </c:pt>
                <c:pt idx="241">
                  <c:v>0.10018741522799246</c:v>
                </c:pt>
                <c:pt idx="242">
                  <c:v>0.10082283915835433</c:v>
                </c:pt>
                <c:pt idx="243">
                  <c:v>0.10145867054234259</c:v>
                </c:pt>
                <c:pt idx="244">
                  <c:v>0.1020949384837877</c:v>
                </c:pt>
                <c:pt idx="245">
                  <c:v>0.10273152656736784</c:v>
                </c:pt>
                <c:pt idx="246">
                  <c:v>0.10336860941606574</c:v>
                </c:pt>
                <c:pt idx="247">
                  <c:v>0.10400598330306821</c:v>
                </c:pt>
                <c:pt idx="248">
                  <c:v>0.10464364822837524</c:v>
                </c:pt>
                <c:pt idx="249">
                  <c:v>0.10528160419198684</c:v>
                </c:pt>
                <c:pt idx="250">
                  <c:v>0.10592002581688575</c:v>
                </c:pt>
                <c:pt idx="251">
                  <c:v>0.10655862206476741</c:v>
                </c:pt>
                <c:pt idx="252">
                  <c:v>0.10719753845478408</c:v>
                </c:pt>
                <c:pt idx="253">
                  <c:v>0.10783665857161395</c:v>
                </c:pt>
                <c:pt idx="254">
                  <c:v>0.10847609883057885</c:v>
                </c:pt>
                <c:pt idx="255">
                  <c:v>0.10911583012784831</c:v>
                </c:pt>
                <c:pt idx="256">
                  <c:v>0.10975573604810052</c:v>
                </c:pt>
                <c:pt idx="257">
                  <c:v>0.11039584569516592</c:v>
                </c:pt>
                <c:pt idx="258">
                  <c:v>0.11103615906904452</c:v>
                </c:pt>
                <c:pt idx="259">
                  <c:v>0.11167670527356677</c:v>
                </c:pt>
                <c:pt idx="260">
                  <c:v>0.11231742610107176</c:v>
                </c:pt>
                <c:pt idx="261">
                  <c:v>0.11295817603240721</c:v>
                </c:pt>
                <c:pt idx="262">
                  <c:v>0.11359921700204723</c:v>
                </c:pt>
                <c:pt idx="263">
                  <c:v>0.11424031617934816</c:v>
                </c:pt>
                <c:pt idx="264">
                  <c:v>0.11488158997963183</c:v>
                </c:pt>
                <c:pt idx="265">
                  <c:v>0.11552292198757641</c:v>
                </c:pt>
                <c:pt idx="266">
                  <c:v>0.11616439951467328</c:v>
                </c:pt>
                <c:pt idx="267">
                  <c:v>0.11680599345709197</c:v>
                </c:pt>
                <c:pt idx="268">
                  <c:v>0.11744755829568021</c:v>
                </c:pt>
                <c:pt idx="269">
                  <c:v>0.11808926865342073</c:v>
                </c:pt>
                <c:pt idx="270">
                  <c:v>0.11873097901116125</c:v>
                </c:pt>
                <c:pt idx="271">
                  <c:v>0.11937274757656269</c:v>
                </c:pt>
                <c:pt idx="272">
                  <c:v>0.12001448703813367</c:v>
                </c:pt>
                <c:pt idx="273">
                  <c:v>0.12065622649970464</c:v>
                </c:pt>
                <c:pt idx="274">
                  <c:v>0.12129805327276699</c:v>
                </c:pt>
                <c:pt idx="275">
                  <c:v>0.12193976363050751</c:v>
                </c:pt>
                <c:pt idx="276">
                  <c:v>0.12258147398824804</c:v>
                </c:pt>
                <c:pt idx="277">
                  <c:v>0.1232231552421581</c:v>
                </c:pt>
                <c:pt idx="278">
                  <c:v>0.12386477828840725</c:v>
                </c:pt>
                <c:pt idx="279">
                  <c:v>0.12450634312699549</c:v>
                </c:pt>
                <c:pt idx="280">
                  <c:v>0.12514776244643144</c:v>
                </c:pt>
                <c:pt idx="281">
                  <c:v>0.12578923997352831</c:v>
                </c:pt>
                <c:pt idx="282">
                  <c:v>0.12643051377381198</c:v>
                </c:pt>
                <c:pt idx="283">
                  <c:v>0.12707167115877382</c:v>
                </c:pt>
                <c:pt idx="284">
                  <c:v>0.12771271212841384</c:v>
                </c:pt>
                <c:pt idx="285">
                  <c:v>0.12835363668273203</c:v>
                </c:pt>
                <c:pt idx="286">
                  <c:v>0.12899438661406748</c:v>
                </c:pt>
                <c:pt idx="287">
                  <c:v>0.12963493281858973</c:v>
                </c:pt>
                <c:pt idx="288">
                  <c:v>0.13027539171162061</c:v>
                </c:pt>
                <c:pt idx="289">
                  <c:v>0.1309156468778383</c:v>
                </c:pt>
                <c:pt idx="290">
                  <c:v>0.13155564010958187</c:v>
                </c:pt>
                <c:pt idx="291">
                  <c:v>0.13219548782217316</c:v>
                </c:pt>
                <c:pt idx="292">
                  <c:v>0.13283507360029034</c:v>
                </c:pt>
                <c:pt idx="293">
                  <c:v>0.13347445565159433</c:v>
                </c:pt>
                <c:pt idx="294">
                  <c:v>0.1341135757684242</c:v>
                </c:pt>
                <c:pt idx="295">
                  <c:v>0.13475243395077996</c:v>
                </c:pt>
                <c:pt idx="296">
                  <c:v>0.13539105930249207</c:v>
                </c:pt>
                <c:pt idx="297">
                  <c:v>0.13602945182356052</c:v>
                </c:pt>
                <c:pt idx="298">
                  <c:v>0.13666743689100258</c:v>
                </c:pt>
                <c:pt idx="299">
                  <c:v>0.13730527643929236</c:v>
                </c:pt>
                <c:pt idx="300">
                  <c:v>0.13794267943012528</c:v>
                </c:pt>
                <c:pt idx="301">
                  <c:v>0.13857979138265364</c:v>
                </c:pt>
                <c:pt idx="302">
                  <c:v>0.13921655408921652</c:v>
                </c:pt>
                <c:pt idx="303">
                  <c:v>0.13985305486130528</c:v>
                </c:pt>
                <c:pt idx="304">
                  <c:v>0.14048914817976765</c:v>
                </c:pt>
                <c:pt idx="305">
                  <c:v>0.14112483404460363</c:v>
                </c:pt>
                <c:pt idx="306">
                  <c:v>0.14176019976730458</c:v>
                </c:pt>
                <c:pt idx="307">
                  <c:v>0.1423951871402096</c:v>
                </c:pt>
                <c:pt idx="308">
                  <c:v>0.14302979616331868</c:v>
                </c:pt>
                <c:pt idx="309">
                  <c:v>0.14366391042130999</c:v>
                </c:pt>
                <c:pt idx="310">
                  <c:v>0.14429773364099674</c:v>
                </c:pt>
                <c:pt idx="311">
                  <c:v>0.14493100388790481</c:v>
                </c:pt>
                <c:pt idx="312">
                  <c:v>0.14556389578501694</c:v>
                </c:pt>
                <c:pt idx="313">
                  <c:v>0.14619640933233313</c:v>
                </c:pt>
                <c:pt idx="314">
                  <c:v>0.14682834080304019</c:v>
                </c:pt>
                <c:pt idx="315">
                  <c:v>0.14745986482012086</c:v>
                </c:pt>
                <c:pt idx="316">
                  <c:v>0.14809098138357513</c:v>
                </c:pt>
                <c:pt idx="317">
                  <c:v>0.14872151587042026</c:v>
                </c:pt>
                <c:pt idx="318">
                  <c:v>0.14935152648831718</c:v>
                </c:pt>
                <c:pt idx="319">
                  <c:v>0.1499811296525877</c:v>
                </c:pt>
                <c:pt idx="320">
                  <c:v>0.15061012163641863</c:v>
                </c:pt>
                <c:pt idx="321">
                  <c:v>0.15123861885513179</c:v>
                </c:pt>
                <c:pt idx="322">
                  <c:v>0.1518666795163881</c:v>
                </c:pt>
                <c:pt idx="323">
                  <c:v>0.15249407078954391</c:v>
                </c:pt>
                <c:pt idx="324">
                  <c:v>0.15312087998609059</c:v>
                </c:pt>
                <c:pt idx="325">
                  <c:v>0.15374722352134995</c:v>
                </c:pt>
                <c:pt idx="326">
                  <c:v>0.15437298498000018</c:v>
                </c:pt>
                <c:pt idx="327">
                  <c:v>0.15499813525821082</c:v>
                </c:pt>
                <c:pt idx="328">
                  <c:v>0.15562267435598187</c:v>
                </c:pt>
                <c:pt idx="329">
                  <c:v>0.15624666048097424</c:v>
                </c:pt>
                <c:pt idx="330">
                  <c:v>0.15686994811403565</c:v>
                </c:pt>
                <c:pt idx="331">
                  <c:v>0.15749268277431838</c:v>
                </c:pt>
                <c:pt idx="332">
                  <c:v>0.15811474804650061</c:v>
                </c:pt>
                <c:pt idx="333">
                  <c:v>0.15873620213824324</c:v>
                </c:pt>
                <c:pt idx="334">
                  <c:v>0.15935701594571583</c:v>
                </c:pt>
                <c:pt idx="335">
                  <c:v>0.15997716036508791</c:v>
                </c:pt>
                <c:pt idx="336">
                  <c:v>0.16059663539635949</c:v>
                </c:pt>
                <c:pt idx="337">
                  <c:v>0.1612154119357001</c:v>
                </c:pt>
                <c:pt idx="338">
                  <c:v>0.16183354819077067</c:v>
                </c:pt>
                <c:pt idx="339">
                  <c:v>0.16245092774624936</c:v>
                </c:pt>
                <c:pt idx="340">
                  <c:v>0.16306763791362755</c:v>
                </c:pt>
                <c:pt idx="341">
                  <c:v>0.16368367869290523</c:v>
                </c:pt>
                <c:pt idx="342">
                  <c:v>0.16429890456493013</c:v>
                </c:pt>
                <c:pt idx="343">
                  <c:v>0.16491343194502406</c:v>
                </c:pt>
                <c:pt idx="344">
                  <c:v>0.16552728993701749</c:v>
                </c:pt>
                <c:pt idx="345">
                  <c:v>0.16614039122941904</c:v>
                </c:pt>
                <c:pt idx="346">
                  <c:v>0.1667526776145678</c:v>
                </c:pt>
                <c:pt idx="347">
                  <c:v>0.16736423640395515</c:v>
                </c:pt>
                <c:pt idx="348">
                  <c:v>0.1679749802860897</c:v>
                </c:pt>
                <c:pt idx="349">
                  <c:v>0.16858499657246284</c:v>
                </c:pt>
                <c:pt idx="350">
                  <c:v>0.16919422705541365</c:v>
                </c:pt>
                <c:pt idx="351">
                  <c:v>0.16980264263111167</c:v>
                </c:pt>
                <c:pt idx="352">
                  <c:v>0.17041018509189598</c:v>
                </c:pt>
                <c:pt idx="353">
                  <c:v>0.17101711637224071</c:v>
                </c:pt>
                <c:pt idx="354">
                  <c:v>0.17162302901851945</c:v>
                </c:pt>
                <c:pt idx="355">
                  <c:v>0.1722281267575454</c:v>
                </c:pt>
                <c:pt idx="356">
                  <c:v>0.17283249690080993</c:v>
                </c:pt>
                <c:pt idx="357">
                  <c:v>0.1734359648253303</c:v>
                </c:pt>
                <c:pt idx="358">
                  <c:v>0.17403855963493697</c:v>
                </c:pt>
                <c:pt idx="359">
                  <c:v>0.17464033953729086</c:v>
                </c:pt>
                <c:pt idx="360">
                  <c:v>0.17524121722090058</c:v>
                </c:pt>
                <c:pt idx="361">
                  <c:v>0.1758412217895966</c:v>
                </c:pt>
                <c:pt idx="362">
                  <c:v>0.17644035324337892</c:v>
                </c:pt>
                <c:pt idx="363">
                  <c:v>0.17703861158224754</c:v>
                </c:pt>
                <c:pt idx="364">
                  <c:v>0.177635967702372</c:v>
                </c:pt>
                <c:pt idx="365">
                  <c:v>0.17823239249992184</c:v>
                </c:pt>
                <c:pt idx="366">
                  <c:v>0.17882788597489707</c:v>
                </c:pt>
                <c:pt idx="367">
                  <c:v>0.1794225063349586</c:v>
                </c:pt>
                <c:pt idx="368">
                  <c:v>0.18001616626861505</c:v>
                </c:pt>
                <c:pt idx="369">
                  <c:v>0.1806089530873578</c:v>
                </c:pt>
                <c:pt idx="370">
                  <c:v>0.18120072127203457</c:v>
                </c:pt>
                <c:pt idx="371">
                  <c:v>0.18179158723796718</c:v>
                </c:pt>
                <c:pt idx="372">
                  <c:v>0.18238149277749471</c:v>
                </c:pt>
                <c:pt idx="373">
                  <c:v>0.18297035057912581</c:v>
                </c:pt>
                <c:pt idx="374">
                  <c:v>0.18355836436967365</c:v>
                </c:pt>
                <c:pt idx="375">
                  <c:v>0.18414533042232506</c:v>
                </c:pt>
                <c:pt idx="376">
                  <c:v>0.18473130694474094</c:v>
                </c:pt>
                <c:pt idx="377">
                  <c:v>0.1853163521445822</c:v>
                </c:pt>
                <c:pt idx="378">
                  <c:v>0.18590034960652702</c:v>
                </c:pt>
                <c:pt idx="379">
                  <c:v>0.18648332843440585</c:v>
                </c:pt>
                <c:pt idx="380">
                  <c:v>0.18706540504354052</c:v>
                </c:pt>
                <c:pt idx="381">
                  <c:v>0.18764628839562647</c:v>
                </c:pt>
                <c:pt idx="382">
                  <c:v>0.1882262404251378</c:v>
                </c:pt>
                <c:pt idx="383">
                  <c:v>0.18880514471675269</c:v>
                </c:pt>
                <c:pt idx="384">
                  <c:v>0.18938305947813205</c:v>
                </c:pt>
                <c:pt idx="385">
                  <c:v>0.1899598391901236</c:v>
                </c:pt>
                <c:pt idx="386">
                  <c:v>0.19053560026804917</c:v>
                </c:pt>
                <c:pt idx="387">
                  <c:v>0.19111031360807829</c:v>
                </c:pt>
                <c:pt idx="388">
                  <c:v>0.19168395010638051</c:v>
                </c:pt>
                <c:pt idx="389">
                  <c:v>0.19225656797061674</c:v>
                </c:pt>
                <c:pt idx="390">
                  <c:v>0.19282802168163471</c:v>
                </c:pt>
                <c:pt idx="391">
                  <c:v>0.19339845675858669</c:v>
                </c:pt>
                <c:pt idx="392">
                  <c:v>0.19396778588998131</c:v>
                </c:pt>
                <c:pt idx="393">
                  <c:v>0.19453600907581858</c:v>
                </c:pt>
                <c:pt idx="394">
                  <c:v>0.19510315541992895</c:v>
                </c:pt>
                <c:pt idx="395">
                  <c:v>0.19566913761082105</c:v>
                </c:pt>
                <c:pt idx="396">
                  <c:v>0.19623407206381671</c:v>
                </c:pt>
                <c:pt idx="397">
                  <c:v>0.1967978423635941</c:v>
                </c:pt>
                <c:pt idx="398">
                  <c:v>0.19736050671781413</c:v>
                </c:pt>
                <c:pt idx="399">
                  <c:v>0.19792206512647681</c:v>
                </c:pt>
                <c:pt idx="400">
                  <c:v>0.19848248848575167</c:v>
                </c:pt>
                <c:pt idx="401">
                  <c:v>0.1990416603803169</c:v>
                </c:pt>
                <c:pt idx="402">
                  <c:v>0.19959978453698568</c:v>
                </c:pt>
                <c:pt idx="403">
                  <c:v>0.20015674454043619</c:v>
                </c:pt>
                <c:pt idx="404">
                  <c:v>0.20071251128683798</c:v>
                </c:pt>
                <c:pt idx="405">
                  <c:v>0.2012671138800215</c:v>
                </c:pt>
                <c:pt idx="406">
                  <c:v>0.20182049411232583</c:v>
                </c:pt>
                <c:pt idx="407">
                  <c:v>0.20237288481439464</c:v>
                </c:pt>
                <c:pt idx="408">
                  <c:v>0.20292390763643198</c:v>
                </c:pt>
                <c:pt idx="409">
                  <c:v>0.20347382451291196</c:v>
                </c:pt>
                <c:pt idx="410">
                  <c:v>0.20402251902851276</c:v>
                </c:pt>
                <c:pt idx="411">
                  <c:v>0.20457002028706484</c:v>
                </c:pt>
                <c:pt idx="412">
                  <c:v>0.2051163864962291</c:v>
                </c:pt>
                <c:pt idx="413">
                  <c:v>0.20566144303302281</c:v>
                </c:pt>
                <c:pt idx="414">
                  <c:v>0.20620524810510688</c:v>
                </c:pt>
                <c:pt idx="415">
                  <c:v>0.20674794723163359</c:v>
                </c:pt>
                <c:pt idx="416">
                  <c:v>0.20728942399728112</c:v>
                </c:pt>
                <c:pt idx="417">
                  <c:v>0.20782953288289718</c:v>
                </c:pt>
                <c:pt idx="418">
                  <c:v>0.20836853582295589</c:v>
                </c:pt>
                <c:pt idx="419">
                  <c:v>0.20890628729830496</c:v>
                </c:pt>
                <c:pt idx="420">
                  <c:v>0.20944272910128348</c:v>
                </c:pt>
                <c:pt idx="421">
                  <c:v>0.20997797764721327</c:v>
                </c:pt>
                <c:pt idx="422">
                  <c:v>0.21051194562460296</c:v>
                </c:pt>
                <c:pt idx="423">
                  <c:v>0.21104469124111347</c:v>
                </c:pt>
                <c:pt idx="424">
                  <c:v>0.21157615628908388</c:v>
                </c:pt>
                <c:pt idx="425">
                  <c:v>0.2121063407685142</c:v>
                </c:pt>
                <c:pt idx="426">
                  <c:v>0.21263521557557397</c:v>
                </c:pt>
                <c:pt idx="427">
                  <c:v>0.213162897125585</c:v>
                </c:pt>
                <c:pt idx="428">
                  <c:v>0.21368923989939503</c:v>
                </c:pt>
                <c:pt idx="429">
                  <c:v>0.21421427300083451</c:v>
                </c:pt>
                <c:pt idx="430">
                  <c:v>0.21473805463756435</c:v>
                </c:pt>
                <c:pt idx="431">
                  <c:v>0.215260613913415</c:v>
                </c:pt>
                <c:pt idx="432">
                  <c:v>0.21578171799774282</c:v>
                </c:pt>
                <c:pt idx="433">
                  <c:v>0.21630154151353054</c:v>
                </c:pt>
                <c:pt idx="434">
                  <c:v>0.21682017177226953</c:v>
                </c:pt>
                <c:pt idx="435">
                  <c:v>0.21733743415097706</c:v>
                </c:pt>
                <c:pt idx="436">
                  <c:v>0.21785332864965312</c:v>
                </c:pt>
                <c:pt idx="437">
                  <c:v>0.21836791347595863</c:v>
                </c:pt>
                <c:pt idx="438">
                  <c:v>0.21888121773372404</c:v>
                </c:pt>
                <c:pt idx="439">
                  <c:v>0.21939324142294936</c:v>
                </c:pt>
                <c:pt idx="440">
                  <c:v>0.21990383902448229</c:v>
                </c:pt>
                <c:pt idx="441">
                  <c:v>0.22041309784981422</c:v>
                </c:pt>
                <c:pt idx="442">
                  <c:v>0.22092104700277559</c:v>
                </c:pt>
                <c:pt idx="443">
                  <c:v>0.22142765737953596</c:v>
                </c:pt>
                <c:pt idx="444">
                  <c:v>0.22193289987626486</c:v>
                </c:pt>
                <c:pt idx="445">
                  <c:v>0.22243677449296229</c:v>
                </c:pt>
                <c:pt idx="446">
                  <c:v>0.22293931033345871</c:v>
                </c:pt>
                <c:pt idx="447">
                  <c:v>0.22344047829392366</c:v>
                </c:pt>
                <c:pt idx="448">
                  <c:v>0.22394033658201806</c:v>
                </c:pt>
                <c:pt idx="449">
                  <c:v>0.22443873967858963</c:v>
                </c:pt>
                <c:pt idx="450">
                  <c:v>0.22493577489512973</c:v>
                </c:pt>
                <c:pt idx="451">
                  <c:v>0.22543150043929927</c:v>
                </c:pt>
                <c:pt idx="452">
                  <c:v>0.22592582899960689</c:v>
                </c:pt>
                <c:pt idx="453">
                  <c:v>0.22641876057605259</c:v>
                </c:pt>
                <c:pt idx="454">
                  <c:v>0.22691023696097545</c:v>
                </c:pt>
                <c:pt idx="455">
                  <c:v>0.22740046188118868</c:v>
                </c:pt>
                <c:pt idx="456">
                  <c:v>0.22788914429838769</c:v>
                </c:pt>
                <c:pt idx="457">
                  <c:v>0.22837660435470752</c:v>
                </c:pt>
                <c:pt idx="458">
                  <c:v>0.22886255101184361</c:v>
                </c:pt>
                <c:pt idx="459">
                  <c:v>0.2293470133736264</c:v>
                </c:pt>
                <c:pt idx="460">
                  <c:v>0.22983022427069955</c:v>
                </c:pt>
                <c:pt idx="461">
                  <c:v>0.23031197997624986</c:v>
                </c:pt>
                <c:pt idx="462">
                  <c:v>0.23079228049027734</c:v>
                </c:pt>
                <c:pt idx="463">
                  <c:v>0.23127115491661243</c:v>
                </c:pt>
                <c:pt idx="464">
                  <c:v>0.23174869056674652</c:v>
                </c:pt>
                <c:pt idx="465">
                  <c:v>0.23222474192152731</c:v>
                </c:pt>
                <c:pt idx="466">
                  <c:v>0.23269942539627664</c:v>
                </c:pt>
                <c:pt idx="467">
                  <c:v>0.23317262457567267</c:v>
                </c:pt>
                <c:pt idx="468">
                  <c:v>0.23364445587503724</c:v>
                </c:pt>
                <c:pt idx="469">
                  <c:v>0.2341147446713876</c:v>
                </c:pt>
                <c:pt idx="470">
                  <c:v>0.23458369469153695</c:v>
                </c:pt>
                <c:pt idx="471">
                  <c:v>0.23505118952016346</c:v>
                </c:pt>
                <c:pt idx="472">
                  <c:v>0.2355172582610976</c:v>
                </c:pt>
                <c:pt idx="473">
                  <c:v>0.23598181360284798</c:v>
                </c:pt>
                <c:pt idx="474">
                  <c:v>0.23644497196073644</c:v>
                </c:pt>
                <c:pt idx="475">
                  <c:v>0.23690661691944115</c:v>
                </c:pt>
                <c:pt idx="476">
                  <c:v>0.23736686489428394</c:v>
                </c:pt>
                <c:pt idx="477">
                  <c:v>0.23782568678143434</c:v>
                </c:pt>
                <c:pt idx="478">
                  <c:v>0.23828296616557054</c:v>
                </c:pt>
                <c:pt idx="479">
                  <c:v>0.23873881946201436</c:v>
                </c:pt>
                <c:pt idx="480">
                  <c:v>0.23919321756693535</c:v>
                </c:pt>
                <c:pt idx="481">
                  <c:v>0.23964616048033349</c:v>
                </c:pt>
                <c:pt idx="482">
                  <c:v>0.2400976482022088</c:v>
                </c:pt>
                <c:pt idx="483">
                  <c:v>0.24054765162873082</c:v>
                </c:pt>
                <c:pt idx="484">
                  <c:v>0.24099611255223863</c:v>
                </c:pt>
                <c:pt idx="485">
                  <c:v>0.24144323469954543</c:v>
                </c:pt>
                <c:pt idx="486">
                  <c:v>0.24188875613617711</c:v>
                </c:pt>
                <c:pt idx="487">
                  <c:v>0.24233285148511641</c:v>
                </c:pt>
                <c:pt idx="488">
                  <c:v>0.24277549164253287</c:v>
                </c:pt>
                <c:pt idx="489">
                  <c:v>0.24321656019310467</c:v>
                </c:pt>
                <c:pt idx="490">
                  <c:v>0.24365620265598409</c:v>
                </c:pt>
                <c:pt idx="491">
                  <c:v>0.24409441903117113</c:v>
                </c:pt>
                <c:pt idx="492">
                  <c:v>0.24453100559185259</c:v>
                </c:pt>
                <c:pt idx="493">
                  <c:v>0.24496619516867213</c:v>
                </c:pt>
                <c:pt idx="494">
                  <c:v>0.24539984224247746</c:v>
                </c:pt>
                <c:pt idx="495">
                  <c:v>0.24583203412475996</c:v>
                </c:pt>
                <c:pt idx="496">
                  <c:v>0.24626277081551962</c:v>
                </c:pt>
                <c:pt idx="497">
                  <c:v>0.24669196500326507</c:v>
                </c:pt>
                <c:pt idx="498">
                  <c:v>0.24711958758416586</c:v>
                </c:pt>
                <c:pt idx="499">
                  <c:v>0.24754575497354381</c:v>
                </c:pt>
                <c:pt idx="500">
                  <c:v>0.24797040896373801</c:v>
                </c:pt>
                <c:pt idx="501">
                  <c:v>0.24839360776240937</c:v>
                </c:pt>
                <c:pt idx="502">
                  <c:v>0.24881529316189699</c:v>
                </c:pt>
                <c:pt idx="503">
                  <c:v>0.24923549426603131</c:v>
                </c:pt>
                <c:pt idx="504">
                  <c:v>0.24965406555566005</c:v>
                </c:pt>
                <c:pt idx="505">
                  <c:v>0.25007123986142687</c:v>
                </c:pt>
                <c:pt idx="506">
                  <c:v>0.25048681345651858</c:v>
                </c:pt>
                <c:pt idx="507">
                  <c:v>0.25090084454859607</c:v>
                </c:pt>
                <c:pt idx="508">
                  <c:v>0.25131344955298118</c:v>
                </c:pt>
                <c:pt idx="509">
                  <c:v>0.251724570262013</c:v>
                </c:pt>
                <c:pt idx="510">
                  <c:v>0.2521340902603697</c:v>
                </c:pt>
                <c:pt idx="511">
                  <c:v>0.2525420677557122</c:v>
                </c:pt>
                <c:pt idx="512">
                  <c:v>0.25294859005953185</c:v>
                </c:pt>
                <c:pt idx="513">
                  <c:v>0.25335351165267639</c:v>
                </c:pt>
                <c:pt idx="514">
                  <c:v>0.25375700715812854</c:v>
                </c:pt>
                <c:pt idx="515">
                  <c:v>0.25415890195290558</c:v>
                </c:pt>
                <c:pt idx="516">
                  <c:v>0.25455931245232932</c:v>
                </c:pt>
                <c:pt idx="517">
                  <c:v>0.25495812224107794</c:v>
                </c:pt>
                <c:pt idx="518">
                  <c:v>0.25535547683830373</c:v>
                </c:pt>
                <c:pt idx="519">
                  <c:v>0.25575125982868485</c:v>
                </c:pt>
                <c:pt idx="520">
                  <c:v>0.25614552941988222</c:v>
                </c:pt>
                <c:pt idx="521">
                  <c:v>0.2565383147157263</c:v>
                </c:pt>
                <c:pt idx="522">
                  <c:v>0.25692944109323435</c:v>
                </c:pt>
                <c:pt idx="523">
                  <c:v>0.25731914138305001</c:v>
                </c:pt>
                <c:pt idx="524">
                  <c:v>0.25770727006602101</c:v>
                </c:pt>
                <c:pt idx="525">
                  <c:v>0.2580938562459778</c:v>
                </c:pt>
                <c:pt idx="526">
                  <c:v>0.25847887081908993</c:v>
                </c:pt>
                <c:pt idx="527">
                  <c:v>0.25886243020067923</c:v>
                </c:pt>
                <c:pt idx="528">
                  <c:v>0.2592443888715934</c:v>
                </c:pt>
                <c:pt idx="529">
                  <c:v>0.25962480503949337</c:v>
                </c:pt>
                <c:pt idx="530">
                  <c:v>0.2600037660158705</c:v>
                </c:pt>
                <c:pt idx="531">
                  <c:v>0.26038106807391159</c:v>
                </c:pt>
                <c:pt idx="532">
                  <c:v>0.26075688583659939</c:v>
                </c:pt>
                <c:pt idx="533">
                  <c:v>0.26113119020010345</c:v>
                </c:pt>
                <c:pt idx="534">
                  <c:v>0.26150386474910192</c:v>
                </c:pt>
                <c:pt idx="535">
                  <c:v>0.26187508410657756</c:v>
                </c:pt>
                <c:pt idx="536">
                  <c:v>0.26224470275337808</c:v>
                </c:pt>
                <c:pt idx="537">
                  <c:v>0.2626128371048253</c:v>
                </c:pt>
                <c:pt idx="538">
                  <c:v>0.26297931253793649</c:v>
                </c:pt>
                <c:pt idx="539">
                  <c:v>0.26334430367569439</c:v>
                </c:pt>
                <c:pt idx="540">
                  <c:v>0.263707810518099</c:v>
                </c:pt>
                <c:pt idx="541">
                  <c:v>0.26406968754599802</c:v>
                </c:pt>
                <c:pt idx="542">
                  <c:v>0.26443008027854376</c:v>
                </c:pt>
                <c:pt idx="543">
                  <c:v>0.26478887230041437</c:v>
                </c:pt>
                <c:pt idx="544">
                  <c:v>0.26514615092310123</c:v>
                </c:pt>
                <c:pt idx="545">
                  <c:v>0.26550179973128252</c:v>
                </c:pt>
                <c:pt idx="546">
                  <c:v>0.26585605155560188</c:v>
                </c:pt>
                <c:pt idx="547">
                  <c:v>0.26620867356541567</c:v>
                </c:pt>
                <c:pt idx="548">
                  <c:v>0.26655969486455433</c:v>
                </c:pt>
                <c:pt idx="549">
                  <c:v>0.2669092318683397</c:v>
                </c:pt>
                <c:pt idx="550">
                  <c:v>0.26725725547294132</c:v>
                </c:pt>
                <c:pt idx="551">
                  <c:v>0.26760367836686783</c:v>
                </c:pt>
                <c:pt idx="552">
                  <c:v>0.26794855875778012</c:v>
                </c:pt>
                <c:pt idx="553">
                  <c:v>0.26829178023035638</c:v>
                </c:pt>
                <c:pt idx="554">
                  <c:v>0.26863360471907072</c:v>
                </c:pt>
                <c:pt idx="555">
                  <c:v>0.26897382849710993</c:v>
                </c:pt>
                <c:pt idx="556">
                  <c:v>0.2693125388759654</c:v>
                </c:pt>
                <c:pt idx="557">
                  <c:v>0.2696496776479762</c:v>
                </c:pt>
                <c:pt idx="558">
                  <c:v>0.26998524481314234</c:v>
                </c:pt>
                <c:pt idx="559">
                  <c:v>0.27031932768295519</c:v>
                </c:pt>
                <c:pt idx="560">
                  <c:v>0.27065180984209292</c:v>
                </c:pt>
                <c:pt idx="561">
                  <c:v>0.27098277860204689</c:v>
                </c:pt>
                <c:pt idx="562">
                  <c:v>0.27131214665132575</c:v>
                </c:pt>
                <c:pt idx="563">
                  <c:v>0.2716399721975904</c:v>
                </c:pt>
                <c:pt idx="564">
                  <c:v>0.27196637165616266</c:v>
                </c:pt>
                <c:pt idx="565">
                  <c:v>0.27229108309256844</c:v>
                </c:pt>
                <c:pt idx="566">
                  <c:v>0.27261428112979047</c:v>
                </c:pt>
                <c:pt idx="567">
                  <c:v>0.27293593666399829</c:v>
                </c:pt>
                <c:pt idx="568">
                  <c:v>0.27325613700668328</c:v>
                </c:pt>
                <c:pt idx="569">
                  <c:v>0.27357459111954086</c:v>
                </c:pt>
                <c:pt idx="570">
                  <c:v>0.27389167735236697</c:v>
                </c:pt>
                <c:pt idx="571">
                  <c:v>0.27420713377068751</c:v>
                </c:pt>
                <c:pt idx="572">
                  <c:v>0.27452110589365475</c:v>
                </c:pt>
                <c:pt idx="573">
                  <c:v>0.27483350640977733</c:v>
                </c:pt>
                <c:pt idx="574">
                  <c:v>0.27514442263054661</c:v>
                </c:pt>
                <c:pt idx="575">
                  <c:v>0.27545376724447124</c:v>
                </c:pt>
                <c:pt idx="576">
                  <c:v>0.27576151114772074</c:v>
                </c:pt>
                <c:pt idx="577">
                  <c:v>0.2760677998594474</c:v>
                </c:pt>
                <c:pt idx="578">
                  <c:v>0.27637251696432941</c:v>
                </c:pt>
                <c:pt idx="579">
                  <c:v>0.27667560425470583</c:v>
                </c:pt>
                <c:pt idx="580">
                  <c:v>0.27697729456122033</c:v>
                </c:pt>
                <c:pt idx="581">
                  <c:v>0.27727735505322926</c:v>
                </c:pt>
                <c:pt idx="582">
                  <c:v>0.27757596035371535</c:v>
                </c:pt>
                <c:pt idx="583">
                  <c:v>0.27787293583969586</c:v>
                </c:pt>
                <c:pt idx="584">
                  <c:v>0.27816839792649262</c:v>
                </c:pt>
                <c:pt idx="585">
                  <c:v>0.27846237571793608</c:v>
                </c:pt>
                <c:pt idx="586">
                  <c:v>0.27875478190253489</c:v>
                </c:pt>
                <c:pt idx="587">
                  <c:v>0.2790457037917804</c:v>
                </c:pt>
                <c:pt idx="588">
                  <c:v>0.27933502497035079</c:v>
                </c:pt>
                <c:pt idx="589">
                  <c:v>0.27962289095739834</c:v>
                </c:pt>
                <c:pt idx="590">
                  <c:v>0.27990921444143169</c:v>
                </c:pt>
                <c:pt idx="591">
                  <c:v>0.28019399542245083</c:v>
                </c:pt>
                <c:pt idx="592">
                  <c:v>0.28047726300428621</c:v>
                </c:pt>
                <c:pt idx="593">
                  <c:v>0.28075892987544648</c:v>
                </c:pt>
                <c:pt idx="594">
                  <c:v>0.28103914155508392</c:v>
                </c:pt>
                <c:pt idx="595">
                  <c:v>0.28131781073170714</c:v>
                </c:pt>
                <c:pt idx="596">
                  <c:v>0.28159496650914662</c:v>
                </c:pt>
                <c:pt idx="597">
                  <c:v>0.2818706379912328</c:v>
                </c:pt>
                <c:pt idx="598">
                  <c:v>0.28214470876264386</c:v>
                </c:pt>
                <c:pt idx="599">
                  <c:v>0.28241735344636254</c:v>
                </c:pt>
                <c:pt idx="600">
                  <c:v>0.2826883974194061</c:v>
                </c:pt>
                <c:pt idx="601">
                  <c:v>0.28295801530475728</c:v>
                </c:pt>
                <c:pt idx="602">
                  <c:v>0.2832260615832638</c:v>
                </c:pt>
                <c:pt idx="603">
                  <c:v>0.28349262356641702</c:v>
                </c:pt>
                <c:pt idx="604">
                  <c:v>0.2837576721503865</c:v>
                </c:pt>
                <c:pt idx="605">
                  <c:v>0.28402117823134176</c:v>
                </c:pt>
                <c:pt idx="606">
                  <c:v>0.28428317091311328</c:v>
                </c:pt>
                <c:pt idx="607">
                  <c:v>0.28454365019570105</c:v>
                </c:pt>
                <c:pt idx="608">
                  <c:v>0.28480267428676598</c:v>
                </c:pt>
                <c:pt idx="609">
                  <c:v>0.2850601558748167</c:v>
                </c:pt>
                <c:pt idx="610">
                  <c:v>0.28531618227134459</c:v>
                </c:pt>
                <c:pt idx="611">
                  <c:v>0.28557069526868872</c:v>
                </c:pt>
                <c:pt idx="612">
                  <c:v>0.28582369486684911</c:v>
                </c:pt>
                <c:pt idx="613">
                  <c:v>0.2860752101696562</c:v>
                </c:pt>
                <c:pt idx="614">
                  <c:v>0.28632521207327954</c:v>
                </c:pt>
                <c:pt idx="615">
                  <c:v>0.28657370057771914</c:v>
                </c:pt>
                <c:pt idx="616">
                  <c:v>0.28682070478680544</c:v>
                </c:pt>
                <c:pt idx="617">
                  <c:v>0.28706634111586027</c:v>
                </c:pt>
                <c:pt idx="618">
                  <c:v>0.28731028942274861</c:v>
                </c:pt>
                <c:pt idx="619">
                  <c:v>0.28755289895343594</c:v>
                </c:pt>
                <c:pt idx="620">
                  <c:v>0.28779390777344815</c:v>
                </c:pt>
                <c:pt idx="621">
                  <c:v>0.28803351960959844</c:v>
                </c:pt>
                <c:pt idx="622">
                  <c:v>0.28827164715039544</c:v>
                </c:pt>
                <c:pt idx="623">
                  <c:v>0.28850820308434777</c:v>
                </c:pt>
                <c:pt idx="624">
                  <c:v>0.28874342024209909</c:v>
                </c:pt>
                <c:pt idx="625">
                  <c:v>0.28897703668917529</c:v>
                </c:pt>
                <c:pt idx="626">
                  <c:v>0.28920928525622003</c:v>
                </c:pt>
                <c:pt idx="627">
                  <c:v>0.28944004952791147</c:v>
                </c:pt>
                <c:pt idx="628">
                  <c:v>0.28966921308892779</c:v>
                </c:pt>
                <c:pt idx="629">
                  <c:v>0.2898970378737431</c:v>
                </c:pt>
                <c:pt idx="630">
                  <c:v>0.29012334925937466</c:v>
                </c:pt>
                <c:pt idx="631">
                  <c:v>0.29034823455731384</c:v>
                </c:pt>
                <c:pt idx="632">
                  <c:v>0.29057157735223882</c:v>
                </c:pt>
                <c:pt idx="633">
                  <c:v>0.29079352316330187</c:v>
                </c:pt>
                <c:pt idx="634">
                  <c:v>0.29101398467901163</c:v>
                </c:pt>
                <c:pt idx="635">
                  <c:v>0.29123307831468992</c:v>
                </c:pt>
                <c:pt idx="636">
                  <c:v>0.29145057123969309</c:v>
                </c:pt>
                <c:pt idx="637">
                  <c:v>0.29166672538849525</c:v>
                </c:pt>
                <c:pt idx="638">
                  <c:v>0.29188136613811366</c:v>
                </c:pt>
                <c:pt idx="639">
                  <c:v>0.29209455169620924</c:v>
                </c:pt>
                <c:pt idx="640">
                  <c:v>0.29230636937427334</c:v>
                </c:pt>
                <c:pt idx="641">
                  <c:v>0.29251670275698416</c:v>
                </c:pt>
                <c:pt idx="642">
                  <c:v>0.29272558094817214</c:v>
                </c:pt>
                <c:pt idx="643">
                  <c:v>0.29293306215549819</c:v>
                </c:pt>
                <c:pt idx="644">
                  <c:v>0.29313908817130141</c:v>
                </c:pt>
                <c:pt idx="645">
                  <c:v>0.29334360078792088</c:v>
                </c:pt>
                <c:pt idx="646">
                  <c:v>0.29354680373216979</c:v>
                </c:pt>
                <c:pt idx="647">
                  <c:v>0.2937484641734045</c:v>
                </c:pt>
                <c:pt idx="648">
                  <c:v>0.29394875673460774</c:v>
                </c:pt>
                <c:pt idx="649">
                  <c:v>0.2941476232081186</c:v>
                </c:pt>
                <c:pt idx="650">
                  <c:v>0.29434509269776754</c:v>
                </c:pt>
                <c:pt idx="651">
                  <c:v>0.2945411360997241</c:v>
                </c:pt>
                <c:pt idx="652">
                  <c:v>0.29473575341398828</c:v>
                </c:pt>
                <c:pt idx="653">
                  <c:v>0.29492897374439053</c:v>
                </c:pt>
                <c:pt idx="654">
                  <c:v>0.29512068067560904</c:v>
                </c:pt>
                <c:pt idx="655">
                  <c:v>0.29531107793445699</c:v>
                </c:pt>
                <c:pt idx="656">
                  <c:v>0.29550013641710393</c:v>
                </c:pt>
                <c:pt idx="657">
                  <c:v>0.29568765239673667</c:v>
                </c:pt>
                <c:pt idx="658">
                  <c:v>0.29587385870399885</c:v>
                </c:pt>
                <c:pt idx="659">
                  <c:v>0.29605858071590774</c:v>
                </c:pt>
                <c:pt idx="660">
                  <c:v>0.29624196395161562</c:v>
                </c:pt>
                <c:pt idx="661">
                  <c:v>0.29642389199580066</c:v>
                </c:pt>
                <c:pt idx="662">
                  <c:v>0.29660448126378469</c:v>
                </c:pt>
                <c:pt idx="663">
                  <c:v>0.29678373175556771</c:v>
                </c:pt>
                <c:pt idx="664">
                  <c:v>0.29696149795199744</c:v>
                </c:pt>
                <c:pt idx="665">
                  <c:v>0.29713789626839571</c:v>
                </c:pt>
                <c:pt idx="666">
                  <c:v>0.29731301401625387</c:v>
                </c:pt>
                <c:pt idx="667">
                  <c:v>0.29748664746875875</c:v>
                </c:pt>
                <c:pt idx="668">
                  <c:v>0.2976588839374017</c:v>
                </c:pt>
                <c:pt idx="669">
                  <c:v>0.29782989804516546</c:v>
                </c:pt>
                <c:pt idx="670">
                  <c:v>0.29799936964991502</c:v>
                </c:pt>
                <c:pt idx="671">
                  <c:v>0.29816758978995495</c:v>
                </c:pt>
                <c:pt idx="672">
                  <c:v>0.2983344420499634</c:v>
                </c:pt>
                <c:pt idx="673">
                  <c:v>0.29849983911844902</c:v>
                </c:pt>
                <c:pt idx="674">
                  <c:v>0.29866392651456408</c:v>
                </c:pt>
                <c:pt idx="675">
                  <c:v>0.29882673334213905</c:v>
                </c:pt>
                <c:pt idx="676">
                  <c:v>0.29898811408202164</c:v>
                </c:pt>
                <c:pt idx="677">
                  <c:v>0.29914812694187276</c:v>
                </c:pt>
                <c:pt idx="678">
                  <c:v>0.29930688833701424</c:v>
                </c:pt>
                <c:pt idx="679">
                  <c:v>0.29946416543680243</c:v>
                </c:pt>
                <c:pt idx="680">
                  <c:v>0.29962022017571144</c:v>
                </c:pt>
                <c:pt idx="681">
                  <c:v>0.29977493613841943</c:v>
                </c:pt>
                <c:pt idx="682">
                  <c:v>0.29992825511726551</c:v>
                </c:pt>
                <c:pt idx="683">
                  <c:v>0.30008023531991057</c:v>
                </c:pt>
                <c:pt idx="684">
                  <c:v>0.30023096405784599</c:v>
                </c:pt>
                <c:pt idx="685">
                  <c:v>0.30038026670808904</c:v>
                </c:pt>
                <c:pt idx="686">
                  <c:v>0.30052837610128336</c:v>
                </c:pt>
                <c:pt idx="687">
                  <c:v>0.30067508851061575</c:v>
                </c:pt>
                <c:pt idx="688">
                  <c:v>0.30082046214374714</c:v>
                </c:pt>
                <c:pt idx="689">
                  <c:v>0.30096452610450797</c:v>
                </c:pt>
                <c:pt idx="690">
                  <c:v>0.3011073094967287</c:v>
                </c:pt>
                <c:pt idx="691">
                  <c:v>0.30124872500891797</c:v>
                </c:pt>
                <c:pt idx="692">
                  <c:v>0.30138894726405852</c:v>
                </c:pt>
                <c:pt idx="693">
                  <c:v>0.30152785984682851</c:v>
                </c:pt>
                <c:pt idx="694">
                  <c:v>0.30166540454956703</c:v>
                </c:pt>
                <c:pt idx="695">
                  <c:v>0.30180161047610454</c:v>
                </c:pt>
                <c:pt idx="696">
                  <c:v>0.30193665224942379</c:v>
                </c:pt>
                <c:pt idx="697">
                  <c:v>0.30207038435037248</c:v>
                </c:pt>
                <c:pt idx="698">
                  <c:v>0.30220280677895062</c:v>
                </c:pt>
                <c:pt idx="699">
                  <c:v>0.3023339195351582</c:v>
                </c:pt>
                <c:pt idx="700">
                  <c:v>0.30246375172282569</c:v>
                </c:pt>
                <c:pt idx="701">
                  <c:v>0.30259230334195308</c:v>
                </c:pt>
                <c:pt idx="702">
                  <c:v>0.30271960349637084</c:v>
                </c:pt>
                <c:pt idx="703">
                  <c:v>0.30284568128990941</c:v>
                </c:pt>
                <c:pt idx="704">
                  <c:v>0.30297042030724697</c:v>
                </c:pt>
                <c:pt idx="705">
                  <c:v>0.30309390785987489</c:v>
                </c:pt>
                <c:pt idx="706">
                  <c:v>0.30321614394779317</c:v>
                </c:pt>
                <c:pt idx="707">
                  <c:v>0.30333718677866273</c:v>
                </c:pt>
                <c:pt idx="708">
                  <c:v>0.30345689083333127</c:v>
                </c:pt>
                <c:pt idx="709">
                  <c:v>0.30357543073478155</c:v>
                </c:pt>
                <c:pt idx="710">
                  <c:v>0.30369269006769173</c:v>
                </c:pt>
                <c:pt idx="711">
                  <c:v>0.30380869793589227</c:v>
                </c:pt>
                <c:pt idx="712">
                  <c:v>0.30392351254704408</c:v>
                </c:pt>
                <c:pt idx="713">
                  <c:v>0.30403698838199489</c:v>
                </c:pt>
                <c:pt idx="714">
                  <c:v>0.30414938737521879</c:v>
                </c:pt>
                <c:pt idx="715">
                  <c:v>0.30426044759224169</c:v>
                </c:pt>
                <c:pt idx="716">
                  <c:v>0.30437025634455495</c:v>
                </c:pt>
                <c:pt idx="717">
                  <c:v>0.30447895915131085</c:v>
                </c:pt>
                <c:pt idx="718">
                  <c:v>0.30458641049335711</c:v>
                </c:pt>
                <c:pt idx="719">
                  <c:v>0.30469252305920236</c:v>
                </c:pt>
                <c:pt idx="720">
                  <c:v>0.30479755878332071</c:v>
                </c:pt>
                <c:pt idx="721">
                  <c:v>0.30490134304272942</c:v>
                </c:pt>
                <c:pt idx="722">
                  <c:v>0.30500396314891987</c:v>
                </c:pt>
                <c:pt idx="723">
                  <c:v>0.30510538999806158</c:v>
                </c:pt>
                <c:pt idx="724">
                  <c:v>0.3052055362786632</c:v>
                </c:pt>
                <c:pt idx="725">
                  <c:v>0.30530460571753792</c:v>
                </c:pt>
                <c:pt idx="726">
                  <c:v>0.30540236548404209</c:v>
                </c:pt>
                <c:pt idx="727">
                  <c:v>0.30549907751264982</c:v>
                </c:pt>
                <c:pt idx="728">
                  <c:v>0.30559447986888699</c:v>
                </c:pt>
                <c:pt idx="729">
                  <c:v>0.30568877627956681</c:v>
                </c:pt>
                <c:pt idx="730">
                  <c:v>0.30578185032936744</c:v>
                </c:pt>
                <c:pt idx="731">
                  <c:v>0.30587384753744118</c:v>
                </c:pt>
                <c:pt idx="732">
                  <c:v>0.30596459328080527</c:v>
                </c:pt>
                <c:pt idx="733">
                  <c:v>0.3060541748709511</c:v>
                </c:pt>
                <c:pt idx="734">
                  <c:v>0.30614259230787866</c:v>
                </c:pt>
                <c:pt idx="735">
                  <c:v>0.30622996200690977</c:v>
                </c:pt>
                <c:pt idx="736">
                  <c:v>0.30631605113740079</c:v>
                </c:pt>
                <c:pt idx="737">
                  <c:v>0.30640106342616491</c:v>
                </c:pt>
                <c:pt idx="738">
                  <c:v>0.30648491156171076</c:v>
                </c:pt>
                <c:pt idx="739">
                  <c:v>0.30656768285552971</c:v>
                </c:pt>
                <c:pt idx="740">
                  <c:v>0.30664920268463902</c:v>
                </c:pt>
                <c:pt idx="741">
                  <c:v>0.30672967477585189</c:v>
                </c:pt>
                <c:pt idx="742">
                  <c:v>0.30680898271384649</c:v>
                </c:pt>
                <c:pt idx="743">
                  <c:v>0.30688721381011419</c:v>
                </c:pt>
                <c:pt idx="744">
                  <c:v>0.30696428075316362</c:v>
                </c:pt>
                <c:pt idx="745">
                  <c:v>0.30704018354299478</c:v>
                </c:pt>
                <c:pt idx="746">
                  <c:v>0.30711495128343813</c:v>
                </c:pt>
                <c:pt idx="747">
                  <c:v>0.30718872949364595</c:v>
                </c:pt>
                <c:pt idx="748">
                  <c:v>0.3072613435506355</c:v>
                </c:pt>
                <c:pt idx="749">
                  <c:v>0.30733288076589815</c:v>
                </c:pt>
                <c:pt idx="750">
                  <c:v>0.30740334113943391</c:v>
                </c:pt>
                <c:pt idx="751">
                  <c:v>0.30747263735975139</c:v>
                </c:pt>
                <c:pt idx="752">
                  <c:v>0.30754091494600289</c:v>
                </c:pt>
                <c:pt idx="753">
                  <c:v>0.30760805748286657</c:v>
                </c:pt>
                <c:pt idx="754">
                  <c:v>0.30767415228183381</c:v>
                </c:pt>
                <c:pt idx="755">
                  <c:v>0.30773911203141324</c:v>
                </c:pt>
                <c:pt idx="756">
                  <c:v>0.30780299493926577</c:v>
                </c:pt>
                <c:pt idx="757">
                  <c:v>0.30786585921305232</c:v>
                </c:pt>
                <c:pt idx="758">
                  <c:v>0.30792761754128151</c:v>
                </c:pt>
                <c:pt idx="759">
                  <c:v>0.30798835723544471</c:v>
                </c:pt>
                <c:pt idx="760">
                  <c:v>0.30804802008788101</c:v>
                </c:pt>
                <c:pt idx="761">
                  <c:v>0.30810660609859042</c:v>
                </c:pt>
                <c:pt idx="762">
                  <c:v>0.30816420257906429</c:v>
                </c:pt>
                <c:pt idx="763">
                  <c:v>0.30822069311398081</c:v>
                </c:pt>
                <c:pt idx="764">
                  <c:v>0.30827613591100089</c:v>
                </c:pt>
                <c:pt idx="765">
                  <c:v>0.30833056007395498</c:v>
                </c:pt>
                <c:pt idx="766">
                  <c:v>0.30838396560284309</c:v>
                </c:pt>
                <c:pt idx="767">
                  <c:v>0.30843632339383475</c:v>
                </c:pt>
                <c:pt idx="768">
                  <c:v>0.30848763344692998</c:v>
                </c:pt>
                <c:pt idx="769">
                  <c:v>0.30853789576212876</c:v>
                </c:pt>
                <c:pt idx="770">
                  <c:v>0.30858722675475292</c:v>
                </c:pt>
                <c:pt idx="771">
                  <c:v>0.30863551000948064</c:v>
                </c:pt>
                <c:pt idx="772">
                  <c:v>0.30868277463014238</c:v>
                </c:pt>
                <c:pt idx="773">
                  <c:v>0.30872902061673813</c:v>
                </c:pt>
                <c:pt idx="774">
                  <c:v>0.30877427707309835</c:v>
                </c:pt>
                <c:pt idx="775">
                  <c:v>0.3088185731030535</c:v>
                </c:pt>
                <c:pt idx="776">
                  <c:v>0.30886179229128174</c:v>
                </c:pt>
                <c:pt idx="777">
                  <c:v>0.30890402194927447</c:v>
                </c:pt>
                <c:pt idx="778">
                  <c:v>0.30894529118086211</c:v>
                </c:pt>
                <c:pt idx="779">
                  <c:v>0.30898568729753606</c:v>
                </c:pt>
                <c:pt idx="780">
                  <c:v>0.30902494836482219</c:v>
                </c:pt>
                <c:pt idx="781">
                  <c:v>0.30906330721336417</c:v>
                </c:pt>
                <c:pt idx="782">
                  <c:v>0.30910070563550107</c:v>
                </c:pt>
                <c:pt idx="783">
                  <c:v>0.3091371436312329</c:v>
                </c:pt>
                <c:pt idx="784">
                  <c:v>0.3091725920967292</c:v>
                </c:pt>
                <c:pt idx="785">
                  <c:v>0.30920705103198998</c:v>
                </c:pt>
                <c:pt idx="786">
                  <c:v>0.30924060774850659</c:v>
                </c:pt>
                <c:pt idx="787">
                  <c:v>0.30927317493478768</c:v>
                </c:pt>
                <c:pt idx="788">
                  <c:v>0.3093048399023246</c:v>
                </c:pt>
                <c:pt idx="789">
                  <c:v>0.309335515339626</c:v>
                </c:pt>
                <c:pt idx="790">
                  <c:v>0.30936531766201369</c:v>
                </c:pt>
                <c:pt idx="791">
                  <c:v>0.30939415955799632</c:v>
                </c:pt>
                <c:pt idx="792">
                  <c:v>0.30942201192374341</c:v>
                </c:pt>
                <c:pt idx="793">
                  <c:v>0.30944904938223772</c:v>
                </c:pt>
                <c:pt idx="794">
                  <c:v>0.30947506820666604</c:v>
                </c:pt>
                <c:pt idx="795">
                  <c:v>0.3095001848123502</c:v>
                </c:pt>
                <c:pt idx="796">
                  <c:v>0.30952445740695111</c:v>
                </c:pt>
                <c:pt idx="797">
                  <c:v>0.30954776957514696</c:v>
                </c:pt>
                <c:pt idx="798">
                  <c:v>0.3095702086284291</c:v>
                </c:pt>
                <c:pt idx="799">
                  <c:v>0.30959177456679754</c:v>
                </c:pt>
                <c:pt idx="800">
                  <c:v>0.30961235097493045</c:v>
                </c:pt>
                <c:pt idx="801">
                  <c:v>0.30963208337198012</c:v>
                </c:pt>
                <c:pt idx="802">
                  <c:v>0.30965091355028562</c:v>
                </c:pt>
                <c:pt idx="803">
                  <c:v>0.30966887061367743</c:v>
                </c:pt>
                <c:pt idx="804">
                  <c:v>0.30968601276981644</c:v>
                </c:pt>
                <c:pt idx="805">
                  <c:v>0.30970219449955039</c:v>
                </c:pt>
                <c:pt idx="806">
                  <c:v>0.309717590425862</c:v>
                </c:pt>
                <c:pt idx="807">
                  <c:v>0.309732055029599</c:v>
                </c:pt>
                <c:pt idx="808">
                  <c:v>0.30974561741459183</c:v>
                </c:pt>
                <c:pt idx="809">
                  <c:v>0.30975839399616234</c:v>
                </c:pt>
                <c:pt idx="810">
                  <c:v>0.30977035567048006</c:v>
                </c:pt>
                <c:pt idx="811">
                  <c:v>0.30978138602222316</c:v>
                </c:pt>
                <c:pt idx="812">
                  <c:v>0.30979160146671347</c:v>
                </c:pt>
                <c:pt idx="813">
                  <c:v>0.30980094379629008</c:v>
                </c:pt>
                <c:pt idx="814">
                  <c:v>0.30980950032244436</c:v>
                </c:pt>
                <c:pt idx="815">
                  <c:v>0.3098172128375154</c:v>
                </c:pt>
                <c:pt idx="816">
                  <c:v>0.3098241395491641</c:v>
                </c:pt>
                <c:pt idx="817">
                  <c:v>0.30983007673057728</c:v>
                </c:pt>
                <c:pt idx="818">
                  <c:v>0.30983531542005949</c:v>
                </c:pt>
                <c:pt idx="819">
                  <c:v>0.30983979740994982</c:v>
                </c:pt>
                <c:pt idx="820">
                  <c:v>0.30984340628492646</c:v>
                </c:pt>
                <c:pt idx="821">
                  <c:v>0.30984617114881985</c:v>
                </c:pt>
                <c:pt idx="822">
                  <c:v>0.30984815020929091</c:v>
                </c:pt>
                <c:pt idx="823">
                  <c:v>0.30984940167400055</c:v>
                </c:pt>
                <c:pt idx="824">
                  <c:v>0.30984978002379648</c:v>
                </c:pt>
                <c:pt idx="825">
                  <c:v>0.30984945988166146</c:v>
                </c:pt>
                <c:pt idx="826">
                  <c:v>0.30984826662461273</c:v>
                </c:pt>
                <c:pt idx="827">
                  <c:v>0.30984628756414168</c:v>
                </c:pt>
                <c:pt idx="828">
                  <c:v>0.3098435809079092</c:v>
                </c:pt>
                <c:pt idx="829">
                  <c:v>0.30984008844825439</c:v>
                </c:pt>
                <c:pt idx="830">
                  <c:v>0.30983578108134679</c:v>
                </c:pt>
                <c:pt idx="831">
                  <c:v>0.30983080432633869</c:v>
                </c:pt>
                <c:pt idx="832">
                  <c:v>0.3098250126640778</c:v>
                </c:pt>
                <c:pt idx="833">
                  <c:v>0.3098184934060555</c:v>
                </c:pt>
                <c:pt idx="834">
                  <c:v>0.3098111592407804</c:v>
                </c:pt>
                <c:pt idx="835">
                  <c:v>0.30980309747974388</c:v>
                </c:pt>
                <c:pt idx="836">
                  <c:v>0.30979430812294595</c:v>
                </c:pt>
                <c:pt idx="837">
                  <c:v>0.30978482027421705</c:v>
                </c:pt>
                <c:pt idx="838">
                  <c:v>0.30977454662206583</c:v>
                </c:pt>
                <c:pt idx="839">
                  <c:v>0.30976357447798364</c:v>
                </c:pt>
                <c:pt idx="840">
                  <c:v>0.30975178742664866</c:v>
                </c:pt>
                <c:pt idx="841">
                  <c:v>0.30973938919487409</c:v>
                </c:pt>
                <c:pt idx="842">
                  <c:v>0.30972626336733811</c:v>
                </c:pt>
                <c:pt idx="843">
                  <c:v>0.30971243904787116</c:v>
                </c:pt>
                <c:pt idx="844">
                  <c:v>0.30969785802881233</c:v>
                </c:pt>
                <c:pt idx="845">
                  <c:v>0.30968257851782255</c:v>
                </c:pt>
                <c:pt idx="846">
                  <c:v>0.30966657141107135</c:v>
                </c:pt>
                <c:pt idx="847">
                  <c:v>0.30964989491621964</c:v>
                </c:pt>
                <c:pt idx="848">
                  <c:v>0.30963254903326742</c:v>
                </c:pt>
                <c:pt idx="849">
                  <c:v>0.30961456286604516</c:v>
                </c:pt>
                <c:pt idx="850">
                  <c:v>0.30959581999923103</c:v>
                </c:pt>
                <c:pt idx="851">
                  <c:v>0.30957634953665547</c:v>
                </c:pt>
                <c:pt idx="852">
                  <c:v>0.30955632610130124</c:v>
                </c:pt>
                <c:pt idx="853">
                  <c:v>0.30953548775869422</c:v>
                </c:pt>
                <c:pt idx="854">
                  <c:v>0.30951409644330852</c:v>
                </c:pt>
                <c:pt idx="855">
                  <c:v>0.30949200663599186</c:v>
                </c:pt>
                <c:pt idx="856">
                  <c:v>0.3094693056482356</c:v>
                </c:pt>
                <c:pt idx="857">
                  <c:v>0.30944587706471793</c:v>
                </c:pt>
                <c:pt idx="858">
                  <c:v>0.30942186640459113</c:v>
                </c:pt>
                <c:pt idx="859">
                  <c:v>0.30939718635636382</c:v>
                </c:pt>
                <c:pt idx="860">
                  <c:v>0.30937189512769692</c:v>
                </c:pt>
                <c:pt idx="861">
                  <c:v>0.30934584719943814</c:v>
                </c:pt>
                <c:pt idx="862">
                  <c:v>0.30931924629840069</c:v>
                </c:pt>
                <c:pt idx="863">
                  <c:v>0.30929200511309318</c:v>
                </c:pt>
                <c:pt idx="864">
                  <c:v>0.30926424005883746</c:v>
                </c:pt>
                <c:pt idx="865">
                  <c:v>0.30923571830498986</c:v>
                </c:pt>
                <c:pt idx="866">
                  <c:v>0.30920664357836358</c:v>
                </c:pt>
                <c:pt idx="867">
                  <c:v>0.30917695767129771</c:v>
                </c:pt>
                <c:pt idx="868">
                  <c:v>0.30914668968762271</c:v>
                </c:pt>
                <c:pt idx="869">
                  <c:v>0.3091157523158472</c:v>
                </c:pt>
                <c:pt idx="870">
                  <c:v>0.30908426197129302</c:v>
                </c:pt>
                <c:pt idx="871">
                  <c:v>0.30905221865396015</c:v>
                </c:pt>
                <c:pt idx="872">
                  <c:v>0.30901950594852678</c:v>
                </c:pt>
                <c:pt idx="873">
                  <c:v>0.30898621116648428</c:v>
                </c:pt>
                <c:pt idx="874">
                  <c:v>0.30895242161932401</c:v>
                </c:pt>
                <c:pt idx="875">
                  <c:v>0.30891793358023278</c:v>
                </c:pt>
                <c:pt idx="876">
                  <c:v>0.30888297987985425</c:v>
                </c:pt>
                <c:pt idx="877">
                  <c:v>0.30884741499903612</c:v>
                </c:pt>
                <c:pt idx="878">
                  <c:v>0.3088112389377784</c:v>
                </c:pt>
                <c:pt idx="879">
                  <c:v>0.30877459721523337</c:v>
                </c:pt>
                <c:pt idx="880">
                  <c:v>0.30873737341607921</c:v>
                </c:pt>
                <c:pt idx="881">
                  <c:v>0.30869956754031591</c:v>
                </c:pt>
                <c:pt idx="882">
                  <c:v>0.30866123779560439</c:v>
                </c:pt>
                <c:pt idx="883">
                  <c:v>0.30862229687045328</c:v>
                </c:pt>
                <c:pt idx="884">
                  <c:v>0.30858286118018441</c:v>
                </c:pt>
                <c:pt idx="885">
                  <c:v>0.30854290162096731</c:v>
                </c:pt>
                <c:pt idx="886">
                  <c:v>0.30850238908897154</c:v>
                </c:pt>
                <c:pt idx="887">
                  <c:v>0.308461381791858</c:v>
                </c:pt>
                <c:pt idx="888">
                  <c:v>0.30841985062579624</c:v>
                </c:pt>
                <c:pt idx="889">
                  <c:v>0.30837767917546444</c:v>
                </c:pt>
                <c:pt idx="890">
                  <c:v>0.30833518758299761</c:v>
                </c:pt>
                <c:pt idx="891">
                  <c:v>0.30829208481009118</c:v>
                </c:pt>
                <c:pt idx="892">
                  <c:v>0.30824842906440608</c:v>
                </c:pt>
                <c:pt idx="893">
                  <c:v>0.30820430765743367</c:v>
                </c:pt>
                <c:pt idx="894">
                  <c:v>0.30815972058917396</c:v>
                </c:pt>
                <c:pt idx="895">
                  <c:v>0.30811469696345739</c:v>
                </c:pt>
                <c:pt idx="896">
                  <c:v>0.30806906215730123</c:v>
                </c:pt>
                <c:pt idx="897">
                  <c:v>0.30802304900134914</c:v>
                </c:pt>
                <c:pt idx="898">
                  <c:v>0.30797648287261836</c:v>
                </c:pt>
                <c:pt idx="899">
                  <c:v>0.30792942197876982</c:v>
                </c:pt>
                <c:pt idx="900">
                  <c:v>0.30788192452746443</c:v>
                </c:pt>
                <c:pt idx="901">
                  <c:v>0.30783393231104128</c:v>
                </c:pt>
                <c:pt idx="902">
                  <c:v>0.30778550353716128</c:v>
                </c:pt>
                <c:pt idx="903">
                  <c:v>0.30773655089433305</c:v>
                </c:pt>
                <c:pt idx="904">
                  <c:v>0.30768724900553934</c:v>
                </c:pt>
                <c:pt idx="905">
                  <c:v>0.3076373650401365</c:v>
                </c:pt>
                <c:pt idx="906">
                  <c:v>0.30758713182876818</c:v>
                </c:pt>
                <c:pt idx="907">
                  <c:v>0.30753646205994301</c:v>
                </c:pt>
                <c:pt idx="908">
                  <c:v>0.30748529752600007</c:v>
                </c:pt>
                <c:pt idx="909">
                  <c:v>0.30743369643460028</c:v>
                </c:pt>
                <c:pt idx="910">
                  <c:v>0.3073816878895741</c:v>
                </c:pt>
                <c:pt idx="911">
                  <c:v>0.30732924278709106</c:v>
                </c:pt>
                <c:pt idx="912">
                  <c:v>0.30727627381565981</c:v>
                </c:pt>
                <c:pt idx="913">
                  <c:v>0.30722298470209353</c:v>
                </c:pt>
                <c:pt idx="914">
                  <c:v>0.30716931723873131</c:v>
                </c:pt>
                <c:pt idx="915">
                  <c:v>0.30711515501025133</c:v>
                </c:pt>
                <c:pt idx="916">
                  <c:v>0.30706061443197541</c:v>
                </c:pt>
                <c:pt idx="917">
                  <c:v>0.30700563729624264</c:v>
                </c:pt>
                <c:pt idx="918">
                  <c:v>0.30695031091454439</c:v>
                </c:pt>
                <c:pt idx="919">
                  <c:v>0.30689454797538929</c:v>
                </c:pt>
                <c:pt idx="920">
                  <c:v>0.30683837758260779</c:v>
                </c:pt>
                <c:pt idx="921">
                  <c:v>0.30678182884003036</c:v>
                </c:pt>
                <c:pt idx="922">
                  <c:v>0.3067249599553179</c:v>
                </c:pt>
                <c:pt idx="923">
                  <c:v>0.30666762540931813</c:v>
                </c:pt>
                <c:pt idx="924">
                  <c:v>0.30660991251352243</c:v>
                </c:pt>
                <c:pt idx="925">
                  <c:v>0.30655185037176125</c:v>
                </c:pt>
                <c:pt idx="926">
                  <c:v>0.30649343898403458</c:v>
                </c:pt>
                <c:pt idx="927">
                  <c:v>0.30643462014268152</c:v>
                </c:pt>
                <c:pt idx="928">
                  <c:v>0.30637545205536298</c:v>
                </c:pt>
                <c:pt idx="929">
                  <c:v>0.30631596382590942</c:v>
                </c:pt>
                <c:pt idx="930">
                  <c:v>0.30625603903899901</c:v>
                </c:pt>
                <c:pt idx="931">
                  <c:v>0.30619585231761448</c:v>
                </c:pt>
                <c:pt idx="932">
                  <c:v>0.30613525814260356</c:v>
                </c:pt>
                <c:pt idx="933">
                  <c:v>0.30607437292928807</c:v>
                </c:pt>
                <c:pt idx="934">
                  <c:v>0.30601308026234619</c:v>
                </c:pt>
                <c:pt idx="935">
                  <c:v>0.30595146745326929</c:v>
                </c:pt>
                <c:pt idx="936">
                  <c:v>0.30588953450205736</c:v>
                </c:pt>
                <c:pt idx="937">
                  <c:v>0.30582722320104949</c:v>
                </c:pt>
                <c:pt idx="938">
                  <c:v>0.30576464996556751</c:v>
                </c:pt>
                <c:pt idx="939">
                  <c:v>0.30570172748412006</c:v>
                </c:pt>
                <c:pt idx="940">
                  <c:v>0.30563851396436803</c:v>
                </c:pt>
                <c:pt idx="941">
                  <c:v>0.30557495119865052</c:v>
                </c:pt>
                <c:pt idx="942">
                  <c:v>0.30551109739462845</c:v>
                </c:pt>
                <c:pt idx="943">
                  <c:v>0.30544692344847135</c:v>
                </c:pt>
                <c:pt idx="944">
                  <c:v>0.30538254577550106</c:v>
                </c:pt>
                <c:pt idx="945">
                  <c:v>0.30531773154507391</c:v>
                </c:pt>
                <c:pt idx="946">
                  <c:v>0.3052526262763422</c:v>
                </c:pt>
                <c:pt idx="947">
                  <c:v>0.30518722996930592</c:v>
                </c:pt>
                <c:pt idx="948">
                  <c:v>0.30512160083162598</c:v>
                </c:pt>
                <c:pt idx="949">
                  <c:v>0.30505573886330239</c:v>
                </c:pt>
                <c:pt idx="950">
                  <c:v>0.30498946944135241</c:v>
                </c:pt>
                <c:pt idx="951">
                  <c:v>0.30492299629258923</c:v>
                </c:pt>
                <c:pt idx="952">
                  <c:v>0.30485620300169103</c:v>
                </c:pt>
                <c:pt idx="953">
                  <c:v>0.30478920598397963</c:v>
                </c:pt>
                <c:pt idx="954">
                  <c:v>0.3047218888241332</c:v>
                </c:pt>
                <c:pt idx="955">
                  <c:v>0.30465425152215175</c:v>
                </c:pt>
                <c:pt idx="956">
                  <c:v>0.30458646870101802</c:v>
                </c:pt>
                <c:pt idx="957">
                  <c:v>0.30451833663391881</c:v>
                </c:pt>
                <c:pt idx="958">
                  <c:v>0.30445005904766731</c:v>
                </c:pt>
                <c:pt idx="959">
                  <c:v>0.30438143221545033</c:v>
                </c:pt>
                <c:pt idx="960">
                  <c:v>0.30431251434492879</c:v>
                </c:pt>
                <c:pt idx="961">
                  <c:v>0.30424345095525496</c:v>
                </c:pt>
                <c:pt idx="962">
                  <c:v>0.30417421294259839</c:v>
                </c:pt>
                <c:pt idx="963">
                  <c:v>0.30410462568397634</c:v>
                </c:pt>
                <c:pt idx="964">
                  <c:v>0.30403477649088018</c:v>
                </c:pt>
                <c:pt idx="965">
                  <c:v>0.30396472357097082</c:v>
                </c:pt>
                <c:pt idx="966">
                  <c:v>0.30389449602807872</c:v>
                </c:pt>
                <c:pt idx="967">
                  <c:v>0.30382409386220388</c:v>
                </c:pt>
                <c:pt idx="968">
                  <c:v>0.30375328424270265</c:v>
                </c:pt>
                <c:pt idx="969">
                  <c:v>0.30368247462320141</c:v>
                </c:pt>
                <c:pt idx="970">
                  <c:v>0.3036113157577347</c:v>
                </c:pt>
                <c:pt idx="971">
                  <c:v>0.3035400113731157</c:v>
                </c:pt>
                <c:pt idx="972">
                  <c:v>0.30346838684636168</c:v>
                </c:pt>
                <c:pt idx="973">
                  <c:v>0.30339670411194675</c:v>
                </c:pt>
                <c:pt idx="974">
                  <c:v>0.30332473033922724</c:v>
                </c:pt>
                <c:pt idx="975">
                  <c:v>0.30325264015118591</c:v>
                </c:pt>
                <c:pt idx="976">
                  <c:v>0.30318031713250093</c:v>
                </c:pt>
                <c:pt idx="977">
                  <c:v>0.30310776128317229</c:v>
                </c:pt>
                <c:pt idx="978">
                  <c:v>0.30303503081086092</c:v>
                </c:pt>
                <c:pt idx="979">
                  <c:v>0.30296218392322771</c:v>
                </c:pt>
                <c:pt idx="980">
                  <c:v>0.3028890751011204</c:v>
                </c:pt>
                <c:pt idx="981">
                  <c:v>0.30281584986369126</c:v>
                </c:pt>
                <c:pt idx="982">
                  <c:v>0.30274242089944892</c:v>
                </c:pt>
                <c:pt idx="983">
                  <c:v>0.30266881731222384</c:v>
                </c:pt>
                <c:pt idx="984">
                  <c:v>0.30259503910201602</c:v>
                </c:pt>
                <c:pt idx="985">
                  <c:v>0.30252111537265591</c:v>
                </c:pt>
                <c:pt idx="986">
                  <c:v>0.30244701702031307</c:v>
                </c:pt>
                <c:pt idx="987">
                  <c:v>0.3023728022526484</c:v>
                </c:pt>
                <c:pt idx="988">
                  <c:v>0.30229838375817053</c:v>
                </c:pt>
                <c:pt idx="989">
                  <c:v>0.30222384884837084</c:v>
                </c:pt>
                <c:pt idx="990">
                  <c:v>0.30214916841941886</c:v>
                </c:pt>
                <c:pt idx="991">
                  <c:v>0.30207425515982322</c:v>
                </c:pt>
                <c:pt idx="992">
                  <c:v>0.30199922548490576</c:v>
                </c:pt>
                <c:pt idx="993">
                  <c:v>0.30192413760232739</c:v>
                </c:pt>
                <c:pt idx="994">
                  <c:v>0.30184890420059673</c:v>
                </c:pt>
                <c:pt idx="995">
                  <c:v>0.30177343796822242</c:v>
                </c:pt>
                <c:pt idx="996">
                  <c:v>0.30169794263201766</c:v>
                </c:pt>
                <c:pt idx="997">
                  <c:v>0.30162221446516924</c:v>
                </c:pt>
                <c:pt idx="998">
                  <c:v>0.3015464280906599</c:v>
                </c:pt>
                <c:pt idx="999">
                  <c:v>0.30147049619699828</c:v>
                </c:pt>
                <c:pt idx="1000">
                  <c:v>0.30139450609567575</c:v>
                </c:pt>
                <c:pt idx="1001">
                  <c:v>0.30131834137137048</c:v>
                </c:pt>
                <c:pt idx="1002">
                  <c:v>0.30124208933557384</c:v>
                </c:pt>
                <c:pt idx="1003">
                  <c:v>0.30116569178062491</c:v>
                </c:pt>
                <c:pt idx="1004">
                  <c:v>0.30108917781035416</c:v>
                </c:pt>
                <c:pt idx="1005">
                  <c:v>0.30101260563242249</c:v>
                </c:pt>
                <c:pt idx="1006">
                  <c:v>0.300935917039169</c:v>
                </c:pt>
                <c:pt idx="1007">
                  <c:v>0.30085914113442414</c:v>
                </c:pt>
                <c:pt idx="1008">
                  <c:v>0.30078221971052699</c:v>
                </c:pt>
                <c:pt idx="1009">
                  <c:v>0.30070524007896893</c:v>
                </c:pt>
                <c:pt idx="1010">
                  <c:v>0.30062814403208904</c:v>
                </c:pt>
                <c:pt idx="1011">
                  <c:v>0.30055098977754824</c:v>
                </c:pt>
                <c:pt idx="1012">
                  <c:v>0.30047369000385515</c:v>
                </c:pt>
                <c:pt idx="1013">
                  <c:v>0.30039636112633161</c:v>
                </c:pt>
                <c:pt idx="1014">
                  <c:v>0.30031891583348624</c:v>
                </c:pt>
                <c:pt idx="1015">
                  <c:v>0.30024141233297996</c:v>
                </c:pt>
                <c:pt idx="1016">
                  <c:v>0.30016382152098231</c:v>
                </c:pt>
                <c:pt idx="1017">
                  <c:v>0.30008623070898466</c:v>
                </c:pt>
                <c:pt idx="1018">
                  <c:v>0.30000840706634335</c:v>
                </c:pt>
                <c:pt idx="1019">
                  <c:v>0.2999306125275325</c:v>
                </c:pt>
                <c:pt idx="1020">
                  <c:v>0.2998527888848912</c:v>
                </c:pt>
                <c:pt idx="1021">
                  <c:v>0.29977487793075852</c:v>
                </c:pt>
                <c:pt idx="1022">
                  <c:v>0.2996967923536431</c:v>
                </c:pt>
                <c:pt idx="1023">
                  <c:v>0.2996187649841886</c:v>
                </c:pt>
                <c:pt idx="1024">
                  <c:v>0.29954067940707318</c:v>
                </c:pt>
                <c:pt idx="1025">
                  <c:v>0.29946256472612731</c:v>
                </c:pt>
                <c:pt idx="1026">
                  <c:v>0.29938433362985961</c:v>
                </c:pt>
                <c:pt idx="1027">
                  <c:v>0.299306044325931</c:v>
                </c:pt>
                <c:pt idx="1028">
                  <c:v>0.29922775502200238</c:v>
                </c:pt>
                <c:pt idx="1029">
                  <c:v>0.29914940751041286</c:v>
                </c:pt>
                <c:pt idx="1030">
                  <c:v>0.29907100179116242</c:v>
                </c:pt>
                <c:pt idx="1031">
                  <c:v>0.29899247965659015</c:v>
                </c:pt>
                <c:pt idx="1032">
                  <c:v>0.29891407393733971</c:v>
                </c:pt>
                <c:pt idx="1033">
                  <c:v>0.29883552269893698</c:v>
                </c:pt>
                <c:pt idx="1034">
                  <c:v>0.29875700056436472</c:v>
                </c:pt>
                <c:pt idx="1035">
                  <c:v>0.29867844932596199</c:v>
                </c:pt>
                <c:pt idx="1036">
                  <c:v>0.29859978167223744</c:v>
                </c:pt>
                <c:pt idx="1037">
                  <c:v>0.29852123043383472</c:v>
                </c:pt>
                <c:pt idx="1038">
                  <c:v>0.29844253367627971</c:v>
                </c:pt>
                <c:pt idx="1039">
                  <c:v>0.29836380781489424</c:v>
                </c:pt>
                <c:pt idx="1040">
                  <c:v>0.29828511105733924</c:v>
                </c:pt>
                <c:pt idx="1041">
                  <c:v>0.29820638519595377</c:v>
                </c:pt>
                <c:pt idx="1042">
                  <c:v>0.29812768843839876</c:v>
                </c:pt>
                <c:pt idx="1043">
                  <c:v>0.29804893347318284</c:v>
                </c:pt>
                <c:pt idx="1044">
                  <c:v>0.29797014940413646</c:v>
                </c:pt>
                <c:pt idx="1045">
                  <c:v>0.29789133623125963</c:v>
                </c:pt>
                <c:pt idx="1046">
                  <c:v>0.29781252305838279</c:v>
                </c:pt>
                <c:pt idx="1047">
                  <c:v>0.29773376809316687</c:v>
                </c:pt>
                <c:pt idx="1048">
                  <c:v>0.29765495492029004</c:v>
                </c:pt>
                <c:pt idx="1049">
                  <c:v>0.29757617085124366</c:v>
                </c:pt>
                <c:pt idx="1050">
                  <c:v>0.29749729947070591</c:v>
                </c:pt>
                <c:pt idx="1051">
                  <c:v>0.29741851540165953</c:v>
                </c:pt>
                <c:pt idx="1052">
                  <c:v>0.29733976043644361</c:v>
                </c:pt>
                <c:pt idx="1053">
                  <c:v>0.29726091815973632</c:v>
                </c:pt>
                <c:pt idx="1054">
                  <c:v>0.29718213409068994</c:v>
                </c:pt>
                <c:pt idx="1055">
                  <c:v>0.29710332091781311</c:v>
                </c:pt>
                <c:pt idx="1056">
                  <c:v>0.29702453684876673</c:v>
                </c:pt>
                <c:pt idx="1057">
                  <c:v>0.29694584009121172</c:v>
                </c:pt>
                <c:pt idx="1058">
                  <c:v>0.2968670851259958</c:v>
                </c:pt>
                <c:pt idx="1059">
                  <c:v>0.29678835926461034</c:v>
                </c:pt>
                <c:pt idx="1060">
                  <c:v>0.29670963340322487</c:v>
                </c:pt>
                <c:pt idx="1061">
                  <c:v>0.29663093664566986</c:v>
                </c:pt>
                <c:pt idx="1062">
                  <c:v>0.29655223988811485</c:v>
                </c:pt>
                <c:pt idx="1063">
                  <c:v>0.2964735722343903</c:v>
                </c:pt>
                <c:pt idx="1064">
                  <c:v>0.2963948754768353</c:v>
                </c:pt>
                <c:pt idx="1065">
                  <c:v>0.29631635334226303</c:v>
                </c:pt>
                <c:pt idx="1066">
                  <c:v>0.29623774389619939</c:v>
                </c:pt>
                <c:pt idx="1067">
                  <c:v>0.2961591053463053</c:v>
                </c:pt>
                <c:pt idx="1068">
                  <c:v>0.29608058321173303</c:v>
                </c:pt>
                <c:pt idx="1069">
                  <c:v>0.29600209018099122</c:v>
                </c:pt>
                <c:pt idx="1070">
                  <c:v>0.29592362625407986</c:v>
                </c:pt>
                <c:pt idx="1071">
                  <c:v>0.29584519143099897</c:v>
                </c:pt>
                <c:pt idx="1072">
                  <c:v>0.29576681481557898</c:v>
                </c:pt>
                <c:pt idx="1073">
                  <c:v>0.295688438200159</c:v>
                </c:pt>
                <c:pt idx="1074">
                  <c:v>0.29561009068856947</c:v>
                </c:pt>
                <c:pt idx="1075">
                  <c:v>0.2955317722808104</c:v>
                </c:pt>
                <c:pt idx="1076">
                  <c:v>0.29545351208071224</c:v>
                </c:pt>
                <c:pt idx="1077">
                  <c:v>0.295375310088275</c:v>
                </c:pt>
                <c:pt idx="1078">
                  <c:v>0.2952970789920073</c:v>
                </c:pt>
                <c:pt idx="1079">
                  <c:v>0.29521893520723097</c:v>
                </c:pt>
                <c:pt idx="1080">
                  <c:v>0.29514084963011555</c:v>
                </c:pt>
                <c:pt idx="1081">
                  <c:v>0.29506282226066105</c:v>
                </c:pt>
                <c:pt idx="1082">
                  <c:v>0.294984823995037</c:v>
                </c:pt>
                <c:pt idx="1083">
                  <c:v>0.29490688393707387</c:v>
                </c:pt>
                <c:pt idx="1084">
                  <c:v>0.29482900208677165</c:v>
                </c:pt>
                <c:pt idx="1085">
                  <c:v>0.29475112023646943</c:v>
                </c:pt>
                <c:pt idx="1086">
                  <c:v>0.29467326748999767</c:v>
                </c:pt>
                <c:pt idx="1087">
                  <c:v>0.29459550205501728</c:v>
                </c:pt>
                <c:pt idx="1088">
                  <c:v>0.2945177948276978</c:v>
                </c:pt>
                <c:pt idx="1089">
                  <c:v>0.29444020401570015</c:v>
                </c:pt>
                <c:pt idx="1090">
                  <c:v>0.29436255499604158</c:v>
                </c:pt>
                <c:pt idx="1091">
                  <c:v>0.29428499328787439</c:v>
                </c:pt>
                <c:pt idx="1092">
                  <c:v>0.29420757709885947</c:v>
                </c:pt>
                <c:pt idx="1093">
                  <c:v>0.29413013180601411</c:v>
                </c:pt>
                <c:pt idx="1094">
                  <c:v>0.29405271561699919</c:v>
                </c:pt>
                <c:pt idx="1095">
                  <c:v>0.2939753576356452</c:v>
                </c:pt>
                <c:pt idx="1096">
                  <c:v>0.29389817427727394</c:v>
                </c:pt>
                <c:pt idx="1097">
                  <c:v>0.29382093271124177</c:v>
                </c:pt>
                <c:pt idx="1098">
                  <c:v>0.29374377845670097</c:v>
                </c:pt>
                <c:pt idx="1099">
                  <c:v>0.29366674061748199</c:v>
                </c:pt>
                <c:pt idx="1100">
                  <c:v>0.29358967367443256</c:v>
                </c:pt>
                <c:pt idx="1101">
                  <c:v>0.29351278135436587</c:v>
                </c:pt>
                <c:pt idx="1102">
                  <c:v>0.29343583082663827</c:v>
                </c:pt>
                <c:pt idx="1103">
                  <c:v>0.29335893850657158</c:v>
                </c:pt>
                <c:pt idx="1104">
                  <c:v>0.29328227901714854</c:v>
                </c:pt>
                <c:pt idx="1105">
                  <c:v>0.29320547400857322</c:v>
                </c:pt>
                <c:pt idx="1106">
                  <c:v>0.29312884362298064</c:v>
                </c:pt>
                <c:pt idx="1107">
                  <c:v>0.29305230054887943</c:v>
                </c:pt>
                <c:pt idx="1108">
                  <c:v>0.29297575747477822</c:v>
                </c:pt>
                <c:pt idx="1109">
                  <c:v>0.29289927260833792</c:v>
                </c:pt>
                <c:pt idx="1110">
                  <c:v>0.29282293326104991</c:v>
                </c:pt>
                <c:pt idx="1111">
                  <c:v>0.29274662301759236</c:v>
                </c:pt>
                <c:pt idx="1112">
                  <c:v>0.29267040008562617</c:v>
                </c:pt>
                <c:pt idx="1113">
                  <c:v>0.29259414804982953</c:v>
                </c:pt>
                <c:pt idx="1114">
                  <c:v>0.29251807063701563</c:v>
                </c:pt>
                <c:pt idx="1115">
                  <c:v>0.29244202232803218</c:v>
                </c:pt>
                <c:pt idx="1116">
                  <c:v>0.29236603222670965</c:v>
                </c:pt>
                <c:pt idx="1117">
                  <c:v>0.29229012943687849</c:v>
                </c:pt>
                <c:pt idx="1118">
                  <c:v>0.29221422664704733</c:v>
                </c:pt>
                <c:pt idx="1119">
                  <c:v>0.2921384984801989</c:v>
                </c:pt>
                <c:pt idx="1120">
                  <c:v>0.29206274120952003</c:v>
                </c:pt>
                <c:pt idx="1121">
                  <c:v>0.29198710035416298</c:v>
                </c:pt>
                <c:pt idx="1122">
                  <c:v>0.29191151770646684</c:v>
                </c:pt>
                <c:pt idx="1123">
                  <c:v>0.29183602237026207</c:v>
                </c:pt>
                <c:pt idx="1124">
                  <c:v>0.29176055613788776</c:v>
                </c:pt>
                <c:pt idx="1125">
                  <c:v>0.29168520632083528</c:v>
                </c:pt>
                <c:pt idx="1126">
                  <c:v>0.29160985650378279</c:v>
                </c:pt>
                <c:pt idx="1127">
                  <c:v>0.29153456489439122</c:v>
                </c:pt>
                <c:pt idx="1128">
                  <c:v>0.29145941880415194</c:v>
                </c:pt>
                <c:pt idx="1129">
                  <c:v>0.29138430181774311</c:v>
                </c:pt>
                <c:pt idx="1130">
                  <c:v>0.29130924303899519</c:v>
                </c:pt>
                <c:pt idx="1131">
                  <c:v>0.2912343006755691</c:v>
                </c:pt>
                <c:pt idx="1132">
                  <c:v>0.29115938741597347</c:v>
                </c:pt>
                <c:pt idx="1133">
                  <c:v>0.29108450326020829</c:v>
                </c:pt>
                <c:pt idx="1134">
                  <c:v>0.29100967731210403</c:v>
                </c:pt>
                <c:pt idx="1135">
                  <c:v>0.2909349677793216</c:v>
                </c:pt>
                <c:pt idx="1136">
                  <c:v>0.29086031645420007</c:v>
                </c:pt>
                <c:pt idx="1137">
                  <c:v>0.29078569423290901</c:v>
                </c:pt>
                <c:pt idx="1138">
                  <c:v>0.29071121753077023</c:v>
                </c:pt>
                <c:pt idx="1139">
                  <c:v>0.29063668262097053</c:v>
                </c:pt>
                <c:pt idx="1140">
                  <c:v>0.29056226412649266</c:v>
                </c:pt>
                <c:pt idx="1141">
                  <c:v>0.29048793294350617</c:v>
                </c:pt>
                <c:pt idx="1142">
                  <c:v>0.29041363086435013</c:v>
                </c:pt>
                <c:pt idx="1143">
                  <c:v>0.29033935788902454</c:v>
                </c:pt>
                <c:pt idx="1144">
                  <c:v>0.2902652595366817</c:v>
                </c:pt>
                <c:pt idx="1145">
                  <c:v>0.2901911320805084</c:v>
                </c:pt>
                <c:pt idx="1146">
                  <c:v>0.29011706283199601</c:v>
                </c:pt>
                <c:pt idx="1147">
                  <c:v>0.29004305179114453</c:v>
                </c:pt>
                <c:pt idx="1148">
                  <c:v>0.28996912806178443</c:v>
                </c:pt>
                <c:pt idx="1149">
                  <c:v>0.28989514612476341</c:v>
                </c:pt>
                <c:pt idx="1150">
                  <c:v>0.28982139701838605</c:v>
                </c:pt>
                <c:pt idx="1151">
                  <c:v>0.28974758970434777</c:v>
                </c:pt>
                <c:pt idx="1152">
                  <c:v>0.28967386970180087</c:v>
                </c:pt>
                <c:pt idx="1153">
                  <c:v>0.28960014969925396</c:v>
                </c:pt>
                <c:pt idx="1154">
                  <c:v>0.28952654611202888</c:v>
                </c:pt>
                <c:pt idx="1155">
                  <c:v>0.28945291342097335</c:v>
                </c:pt>
                <c:pt idx="1156">
                  <c:v>0.28937942624907009</c:v>
                </c:pt>
                <c:pt idx="1157">
                  <c:v>0.28930588086950593</c:v>
                </c:pt>
                <c:pt idx="1158">
                  <c:v>0.28923242280143313</c:v>
                </c:pt>
                <c:pt idx="1159">
                  <c:v>0.28915908114868216</c:v>
                </c:pt>
                <c:pt idx="1160">
                  <c:v>0.28908571039210074</c:v>
                </c:pt>
                <c:pt idx="1161">
                  <c:v>0.28901236873934977</c:v>
                </c:pt>
                <c:pt idx="1162">
                  <c:v>0.28893911439809017</c:v>
                </c:pt>
                <c:pt idx="1163">
                  <c:v>0.28886580184916966</c:v>
                </c:pt>
                <c:pt idx="1164">
                  <c:v>0.28879263481940143</c:v>
                </c:pt>
                <c:pt idx="1165">
                  <c:v>0.28871949689346366</c:v>
                </c:pt>
                <c:pt idx="1166">
                  <c:v>0.28864635896752588</c:v>
                </c:pt>
                <c:pt idx="1167">
                  <c:v>0.28857322104158811</c:v>
                </c:pt>
                <c:pt idx="1168">
                  <c:v>0.28850022863480262</c:v>
                </c:pt>
                <c:pt idx="1169">
                  <c:v>0.28842714891652577</c:v>
                </c:pt>
                <c:pt idx="1170">
                  <c:v>0.28835409830207936</c:v>
                </c:pt>
                <c:pt idx="1171">
                  <c:v>0.28828110589529388</c:v>
                </c:pt>
                <c:pt idx="1172">
                  <c:v>0.2882081716961693</c:v>
                </c:pt>
                <c:pt idx="1173">
                  <c:v>0.28813520839321427</c:v>
                </c:pt>
                <c:pt idx="1174">
                  <c:v>0.2880622741940897</c:v>
                </c:pt>
                <c:pt idx="1175">
                  <c:v>0.28798936909879558</c:v>
                </c:pt>
                <c:pt idx="1176">
                  <c:v>0.28791649310733192</c:v>
                </c:pt>
                <c:pt idx="1177">
                  <c:v>0.28784367532352917</c:v>
                </c:pt>
                <c:pt idx="1178">
                  <c:v>0.28777085753972642</c:v>
                </c:pt>
                <c:pt idx="1179">
                  <c:v>0.28769798154826276</c:v>
                </c:pt>
                <c:pt idx="1180">
                  <c:v>0.28762516376446001</c:v>
                </c:pt>
                <c:pt idx="1181">
                  <c:v>0.28755234598065726</c:v>
                </c:pt>
                <c:pt idx="1182">
                  <c:v>0.28747952819685452</c:v>
                </c:pt>
                <c:pt idx="1183">
                  <c:v>0.28740668130922131</c:v>
                </c:pt>
                <c:pt idx="1184">
                  <c:v>0.28733389262924902</c:v>
                </c:pt>
                <c:pt idx="1185">
                  <c:v>0.28726107484544627</c:v>
                </c:pt>
                <c:pt idx="1186">
                  <c:v>0.28718828616547398</c:v>
                </c:pt>
                <c:pt idx="1187">
                  <c:v>0.28711549748550169</c:v>
                </c:pt>
                <c:pt idx="1188">
                  <c:v>0.28704265059786849</c:v>
                </c:pt>
                <c:pt idx="1189">
                  <c:v>0.28696980371023528</c:v>
                </c:pt>
                <c:pt idx="1190">
                  <c:v>0.28689701503026299</c:v>
                </c:pt>
                <c:pt idx="1191">
                  <c:v>0.28682416814262979</c:v>
                </c:pt>
                <c:pt idx="1192">
                  <c:v>0.28675126304733567</c:v>
                </c:pt>
                <c:pt idx="1193">
                  <c:v>0.28667832884821109</c:v>
                </c:pt>
                <c:pt idx="1194">
                  <c:v>0.28660542375291698</c:v>
                </c:pt>
                <c:pt idx="1195">
                  <c:v>0.28653254776145332</c:v>
                </c:pt>
                <c:pt idx="1196">
                  <c:v>0.28645955535466783</c:v>
                </c:pt>
                <c:pt idx="1197">
                  <c:v>0.28638665025937371</c:v>
                </c:pt>
                <c:pt idx="1198">
                  <c:v>0.28631354143726639</c:v>
                </c:pt>
                <c:pt idx="1199">
                  <c:v>0.28624060723814182</c:v>
                </c:pt>
                <c:pt idx="1200">
                  <c:v>0.28616752751986496</c:v>
                </c:pt>
                <c:pt idx="1201">
                  <c:v>0.28609438959392719</c:v>
                </c:pt>
                <c:pt idx="1202">
                  <c:v>0.28602113525266759</c:v>
                </c:pt>
                <c:pt idx="1203">
                  <c:v>0.28594793911906891</c:v>
                </c:pt>
                <c:pt idx="1204">
                  <c:v>0.28587468477780931</c:v>
                </c:pt>
                <c:pt idx="1205">
                  <c:v>0.28580140133271925</c:v>
                </c:pt>
                <c:pt idx="1206">
                  <c:v>0.28572803057613783</c:v>
                </c:pt>
                <c:pt idx="1207">
                  <c:v>0.28565460161189549</c:v>
                </c:pt>
                <c:pt idx="1208">
                  <c:v>0.28558111443999223</c:v>
                </c:pt>
                <c:pt idx="1209">
                  <c:v>0.28550756906042807</c:v>
                </c:pt>
                <c:pt idx="1210">
                  <c:v>0.28543399457703345</c:v>
                </c:pt>
                <c:pt idx="1211">
                  <c:v>0.28536024547065608</c:v>
                </c:pt>
                <c:pt idx="1212">
                  <c:v>0.28528649636427872</c:v>
                </c:pt>
                <c:pt idx="1213">
                  <c:v>0.28521274725790136</c:v>
                </c:pt>
                <c:pt idx="1214">
                  <c:v>0.28513885263237171</c:v>
                </c:pt>
                <c:pt idx="1215">
                  <c:v>0.28506481248768978</c:v>
                </c:pt>
                <c:pt idx="1216">
                  <c:v>0.28499074323917739</c:v>
                </c:pt>
                <c:pt idx="1217">
                  <c:v>0.28491655757534318</c:v>
                </c:pt>
                <c:pt idx="1218">
                  <c:v>0.28484237191150896</c:v>
                </c:pt>
                <c:pt idx="1219">
                  <c:v>0.28476801162469201</c:v>
                </c:pt>
                <c:pt idx="1220">
                  <c:v>0.28469353492255323</c:v>
                </c:pt>
                <c:pt idx="1221">
                  <c:v>0.28461897090892307</c:v>
                </c:pt>
                <c:pt idx="1222">
                  <c:v>0.28454431958380155</c:v>
                </c:pt>
                <c:pt idx="1223">
                  <c:v>0.28446961005101912</c:v>
                </c:pt>
                <c:pt idx="1224">
                  <c:v>0.28439472589525394</c:v>
                </c:pt>
                <c:pt idx="1225">
                  <c:v>0.28431972532416694</c:v>
                </c:pt>
                <c:pt idx="1226">
                  <c:v>0.28424463744158857</c:v>
                </c:pt>
                <c:pt idx="1227">
                  <c:v>0.28416931672836654</c:v>
                </c:pt>
                <c:pt idx="1228">
                  <c:v>0.28409399601514451</c:v>
                </c:pt>
                <c:pt idx="1229">
                  <c:v>0.28401850067893974</c:v>
                </c:pt>
                <c:pt idx="1230">
                  <c:v>0.28394283071975224</c:v>
                </c:pt>
                <c:pt idx="1231">
                  <c:v>0.28386710255290382</c:v>
                </c:pt>
                <c:pt idx="1232">
                  <c:v>0.2837911706592422</c:v>
                </c:pt>
                <c:pt idx="1233">
                  <c:v>0.2837150932464283</c:v>
                </c:pt>
                <c:pt idx="1234">
                  <c:v>0.28363889941829257</c:v>
                </c:pt>
                <c:pt idx="1235">
                  <c:v>0.28356256007100455</c:v>
                </c:pt>
                <c:pt idx="1236">
                  <c:v>0.28348601699690334</c:v>
                </c:pt>
                <c:pt idx="1237">
                  <c:v>0.28340929929981939</c:v>
                </c:pt>
                <c:pt idx="1238">
                  <c:v>0.28333243608358316</c:v>
                </c:pt>
                <c:pt idx="1239">
                  <c:v>0.28325534003670327</c:v>
                </c:pt>
                <c:pt idx="1240">
                  <c:v>0.28317818578216247</c:v>
                </c:pt>
                <c:pt idx="1241">
                  <c:v>0.28310076959314756</c:v>
                </c:pt>
                <c:pt idx="1242">
                  <c:v>0.28302317878114991</c:v>
                </c:pt>
                <c:pt idx="1243">
                  <c:v>0.2829453551385086</c:v>
                </c:pt>
                <c:pt idx="1244">
                  <c:v>0.28286744418437593</c:v>
                </c:pt>
                <c:pt idx="1245">
                  <c:v>0.28278924219193868</c:v>
                </c:pt>
                <c:pt idx="1246">
                  <c:v>0.2827108655765187</c:v>
                </c:pt>
                <c:pt idx="1247">
                  <c:v>0.28263231433811598</c:v>
                </c:pt>
                <c:pt idx="1248">
                  <c:v>0.2825535302690696</c:v>
                </c:pt>
                <c:pt idx="1249">
                  <c:v>0.28247451336937957</c:v>
                </c:pt>
                <c:pt idx="1250">
                  <c:v>0.28239526363904588</c:v>
                </c:pt>
                <c:pt idx="1251">
                  <c:v>0.28231578107806854</c:v>
                </c:pt>
                <c:pt idx="1252">
                  <c:v>0.28223606568644755</c:v>
                </c:pt>
                <c:pt idx="1253">
                  <c:v>0.2821561174641829</c:v>
                </c:pt>
                <c:pt idx="1254">
                  <c:v>0.2820759364112746</c:v>
                </c:pt>
                <c:pt idx="1255">
                  <c:v>0.28199552252772264</c:v>
                </c:pt>
                <c:pt idx="1256">
                  <c:v>0.28191487581352703</c:v>
                </c:pt>
                <c:pt idx="1257">
                  <c:v>0.2818339089571964</c:v>
                </c:pt>
                <c:pt idx="1258">
                  <c:v>0.28175273837405257</c:v>
                </c:pt>
                <c:pt idx="1259">
                  <c:v>0.28167130585643463</c:v>
                </c:pt>
                <c:pt idx="1260">
                  <c:v>0.28158952409285121</c:v>
                </c:pt>
                <c:pt idx="1261">
                  <c:v>0.28150753860245459</c:v>
                </c:pt>
                <c:pt idx="1262">
                  <c:v>0.2814252620737534</c:v>
                </c:pt>
                <c:pt idx="1263">
                  <c:v>0.28134260719525628</c:v>
                </c:pt>
                <c:pt idx="1264">
                  <c:v>0.28125974858994596</c:v>
                </c:pt>
                <c:pt idx="1265">
                  <c:v>0.28117656984250061</c:v>
                </c:pt>
                <c:pt idx="1266">
                  <c:v>0.28109315826441161</c:v>
                </c:pt>
                <c:pt idx="1267">
                  <c:v>0.28100933923269622</c:v>
                </c:pt>
                <c:pt idx="1268">
                  <c:v>0.2809252000588458</c:v>
                </c:pt>
                <c:pt idx="1269">
                  <c:v>0.28084076984669082</c:v>
                </c:pt>
                <c:pt idx="1270">
                  <c:v>0.28075599038857035</c:v>
                </c:pt>
                <c:pt idx="1271">
                  <c:v>0.28067089078831486</c:v>
                </c:pt>
                <c:pt idx="1272">
                  <c:v>0.28058547104592435</c:v>
                </c:pt>
                <c:pt idx="1273">
                  <c:v>0.28049970205756836</c:v>
                </c:pt>
                <c:pt idx="1274">
                  <c:v>0.28041358382324688</c:v>
                </c:pt>
                <c:pt idx="1275">
                  <c:v>0.28032708723912947</c:v>
                </c:pt>
                <c:pt idx="1276">
                  <c:v>0.28024021230521612</c:v>
                </c:pt>
                <c:pt idx="1277">
                  <c:v>0.2801530463329982</c:v>
                </c:pt>
                <c:pt idx="1278">
                  <c:v>0.28006541469949298</c:v>
                </c:pt>
                <c:pt idx="1279">
                  <c:v>0.27997743382002227</c:v>
                </c:pt>
                <c:pt idx="1280">
                  <c:v>0.27988913279841654</c:v>
                </c:pt>
                <c:pt idx="1281">
                  <c:v>0.27980039521935396</c:v>
                </c:pt>
                <c:pt idx="1282">
                  <c:v>0.27971125018666498</c:v>
                </c:pt>
                <c:pt idx="1283">
                  <c:v>0.27962166859651916</c:v>
                </c:pt>
                <c:pt idx="1284">
                  <c:v>0.27953173776040785</c:v>
                </c:pt>
                <c:pt idx="1285">
                  <c:v>0.27944142857450061</c:v>
                </c:pt>
                <c:pt idx="1286">
                  <c:v>0.27935056641581468</c:v>
                </c:pt>
                <c:pt idx="1287">
                  <c:v>0.27925926769967191</c:v>
                </c:pt>
                <c:pt idx="1288">
                  <c:v>0.27916767794522457</c:v>
                </c:pt>
                <c:pt idx="1289">
                  <c:v>0.27907556432182901</c:v>
                </c:pt>
                <c:pt idx="1290">
                  <c:v>0.27898298503714614</c:v>
                </c:pt>
                <c:pt idx="1291">
                  <c:v>0.27888996919500642</c:v>
                </c:pt>
                <c:pt idx="1292">
                  <c:v>0.27879645858774893</c:v>
                </c:pt>
                <c:pt idx="1293">
                  <c:v>0.27870251142303459</c:v>
                </c:pt>
                <c:pt idx="1294">
                  <c:v>0.27860812770086341</c:v>
                </c:pt>
                <c:pt idx="1295">
                  <c:v>0.278513220109744</c:v>
                </c:pt>
                <c:pt idx="1296">
                  <c:v>0.27841778864967637</c:v>
                </c:pt>
                <c:pt idx="1297">
                  <c:v>0.27832183332066052</c:v>
                </c:pt>
                <c:pt idx="1298">
                  <c:v>0.27822552874567918</c:v>
                </c:pt>
                <c:pt idx="1299">
                  <c:v>0.27812861299025826</c:v>
                </c:pt>
                <c:pt idx="1300">
                  <c:v>0.27803114426205866</c:v>
                </c:pt>
                <c:pt idx="1301">
                  <c:v>0.27793320987257175</c:v>
                </c:pt>
                <c:pt idx="1302">
                  <c:v>0.27783466430264525</c:v>
                </c:pt>
                <c:pt idx="1303">
                  <c:v>0.27773565307143144</c:v>
                </c:pt>
                <c:pt idx="1304">
                  <c:v>0.27763608886743896</c:v>
                </c:pt>
                <c:pt idx="1305">
                  <c:v>0.27753597169066779</c:v>
                </c:pt>
                <c:pt idx="1306">
                  <c:v>0.27743524333345704</c:v>
                </c:pt>
                <c:pt idx="1307">
                  <c:v>0.27733399110729806</c:v>
                </c:pt>
                <c:pt idx="1308">
                  <c:v>0.27723215680452995</c:v>
                </c:pt>
                <c:pt idx="1309">
                  <c:v>0.27712971132132225</c:v>
                </c:pt>
                <c:pt idx="1310">
                  <c:v>0.27702671286533587</c:v>
                </c:pt>
                <c:pt idx="1311">
                  <c:v>0.27692310322890989</c:v>
                </c:pt>
                <c:pt idx="1312">
                  <c:v>0.27681888241204433</c:v>
                </c:pt>
                <c:pt idx="1313">
                  <c:v>0.27671407951856963</c:v>
                </c:pt>
                <c:pt idx="1314">
                  <c:v>0.27660857813316397</c:v>
                </c:pt>
                <c:pt idx="1315">
                  <c:v>0.27650246556731872</c:v>
                </c:pt>
                <c:pt idx="1316">
                  <c:v>0.27639580002869479</c:v>
                </c:pt>
                <c:pt idx="1317">
                  <c:v>0.27628840689430945</c:v>
                </c:pt>
                <c:pt idx="1318">
                  <c:v>0.27618031526799314</c:v>
                </c:pt>
                <c:pt idx="1319">
                  <c:v>0.27607169977272861</c:v>
                </c:pt>
                <c:pt idx="1320">
                  <c:v>0.2759623275778722</c:v>
                </c:pt>
                <c:pt idx="1321">
                  <c:v>0.27585225689108483</c:v>
                </c:pt>
                <c:pt idx="1322">
                  <c:v>0.27574151681619696</c:v>
                </c:pt>
                <c:pt idx="1323">
                  <c:v>0.27563010735320859</c:v>
                </c:pt>
                <c:pt idx="1324">
                  <c:v>0.27551794119062833</c:v>
                </c:pt>
                <c:pt idx="1325">
                  <c:v>0.27540516384760849</c:v>
                </c:pt>
                <c:pt idx="1326">
                  <c:v>0.27529157159733586</c:v>
                </c:pt>
                <c:pt idx="1327">
                  <c:v>0.27517733906279318</c:v>
                </c:pt>
                <c:pt idx="1328">
                  <c:v>0.27506232072482817</c:v>
                </c:pt>
                <c:pt idx="1329">
                  <c:v>0.27494657479110174</c:v>
                </c:pt>
                <c:pt idx="1330">
                  <c:v>0.27483004305395298</c:v>
                </c:pt>
                <c:pt idx="1331">
                  <c:v>0.27471275461721234</c:v>
                </c:pt>
                <c:pt idx="1332">
                  <c:v>0.27459470948087983</c:v>
                </c:pt>
                <c:pt idx="1333">
                  <c:v>0.27447582033346407</c:v>
                </c:pt>
                <c:pt idx="1334">
                  <c:v>0.27435623269411735</c:v>
                </c:pt>
                <c:pt idx="1335">
                  <c:v>0.27423583014751785</c:v>
                </c:pt>
                <c:pt idx="1336">
                  <c:v>0.27411458358983509</c:v>
                </c:pt>
                <c:pt idx="1337">
                  <c:v>0.27399255122873001</c:v>
                </c:pt>
                <c:pt idx="1338">
                  <c:v>0.27386973306420259</c:v>
                </c:pt>
                <c:pt idx="1339">
                  <c:v>0.27374598357710056</c:v>
                </c:pt>
                <c:pt idx="1340">
                  <c:v>0.27362141918274574</c:v>
                </c:pt>
                <c:pt idx="1341">
                  <c:v>0.27349606898496859</c:v>
                </c:pt>
                <c:pt idx="1342">
                  <c:v>0.27336978746461682</c:v>
                </c:pt>
                <c:pt idx="1343">
                  <c:v>0.27324266193318181</c:v>
                </c:pt>
                <c:pt idx="1344">
                  <c:v>0.27311466328683309</c:v>
                </c:pt>
                <c:pt idx="1345">
                  <c:v>0.27298579152557068</c:v>
                </c:pt>
                <c:pt idx="1346">
                  <c:v>0.27285598844173364</c:v>
                </c:pt>
                <c:pt idx="1347">
                  <c:v>0.27272534134681337</c:v>
                </c:pt>
                <c:pt idx="1348">
                  <c:v>0.2725936756178271</c:v>
                </c:pt>
                <c:pt idx="1349">
                  <c:v>0.27246113677392714</c:v>
                </c:pt>
                <c:pt idx="1350">
                  <c:v>0.27232766660745256</c:v>
                </c:pt>
                <c:pt idx="1351">
                  <c:v>0.27219320691074245</c:v>
                </c:pt>
                <c:pt idx="1352">
                  <c:v>0.27205787409911864</c:v>
                </c:pt>
                <c:pt idx="1353">
                  <c:v>0.27192149354959838</c:v>
                </c:pt>
                <c:pt idx="1354">
                  <c:v>0.27178418167750351</c:v>
                </c:pt>
                <c:pt idx="1355">
                  <c:v>0.27164590937900357</c:v>
                </c:pt>
                <c:pt idx="1356">
                  <c:v>0.27150661844643764</c:v>
                </c:pt>
                <c:pt idx="1357">
                  <c:v>0.27136625067214482</c:v>
                </c:pt>
                <c:pt idx="1358">
                  <c:v>0.27122489336761646</c:v>
                </c:pt>
                <c:pt idx="1359">
                  <c:v>0.27108257563668303</c:v>
                </c:pt>
                <c:pt idx="1360">
                  <c:v>0.27093923927168362</c:v>
                </c:pt>
                <c:pt idx="1361">
                  <c:v>0.27079479696112685</c:v>
                </c:pt>
                <c:pt idx="1362">
                  <c:v>0.27064930691267364</c:v>
                </c:pt>
                <c:pt idx="1363">
                  <c:v>0.27050279823015444</c:v>
                </c:pt>
                <c:pt idx="1364">
                  <c:v>0.27035515449824743</c:v>
                </c:pt>
                <c:pt idx="1365">
                  <c:v>0.27020640482078306</c:v>
                </c:pt>
                <c:pt idx="1366">
                  <c:v>0.27005660740542226</c:v>
                </c:pt>
                <c:pt idx="1367">
                  <c:v>0.26990564583684318</c:v>
                </c:pt>
                <c:pt idx="1368">
                  <c:v>0.26975363653036766</c:v>
                </c:pt>
                <c:pt idx="1369">
                  <c:v>0.26960040486301295</c:v>
                </c:pt>
                <c:pt idx="1370">
                  <c:v>0.26944615456159227</c:v>
                </c:pt>
                <c:pt idx="1371">
                  <c:v>0.26929071100312285</c:v>
                </c:pt>
                <c:pt idx="1372">
                  <c:v>0.26913398687611334</c:v>
                </c:pt>
                <c:pt idx="1373">
                  <c:v>0.26897621501120739</c:v>
                </c:pt>
                <c:pt idx="1374">
                  <c:v>0.26881724988925271</c:v>
                </c:pt>
                <c:pt idx="1375">
                  <c:v>0.26865703330258839</c:v>
                </c:pt>
                <c:pt idx="1376">
                  <c:v>0.2684956525627058</c:v>
                </c:pt>
                <c:pt idx="1377">
                  <c:v>0.26833302035811357</c:v>
                </c:pt>
                <c:pt idx="1378">
                  <c:v>0.26816919489647262</c:v>
                </c:pt>
                <c:pt idx="1379">
                  <c:v>0.26800414707395248</c:v>
                </c:pt>
                <c:pt idx="1380">
                  <c:v>0.26783776047523133</c:v>
                </c:pt>
                <c:pt idx="1381">
                  <c:v>0.26767023882712238</c:v>
                </c:pt>
                <c:pt idx="1382">
                  <c:v>0.26750132019515149</c:v>
                </c:pt>
                <c:pt idx="1383">
                  <c:v>0.26733117920230143</c:v>
                </c:pt>
                <c:pt idx="1384">
                  <c:v>0.26715972853708081</c:v>
                </c:pt>
                <c:pt idx="1385">
                  <c:v>0.26698693909565918</c:v>
                </c:pt>
                <c:pt idx="1386">
                  <c:v>0.26681286908569746</c:v>
                </c:pt>
                <c:pt idx="1387">
                  <c:v>0.26663746029953472</c:v>
                </c:pt>
                <c:pt idx="1388">
                  <c:v>0.26646071273717098</c:v>
                </c:pt>
                <c:pt idx="1389">
                  <c:v>0.26628265550243668</c:v>
                </c:pt>
                <c:pt idx="1390">
                  <c:v>0.26610311397234909</c:v>
                </c:pt>
                <c:pt idx="1391">
                  <c:v>0.26592223366606049</c:v>
                </c:pt>
                <c:pt idx="1392">
                  <c:v>0.26574004368740134</c:v>
                </c:pt>
                <c:pt idx="1393">
                  <c:v>0.26555634030955844</c:v>
                </c:pt>
                <c:pt idx="1394">
                  <c:v>0.26537129815551452</c:v>
                </c:pt>
                <c:pt idx="1395">
                  <c:v>0.26518477170611732</c:v>
                </c:pt>
                <c:pt idx="1396">
                  <c:v>0.26499679006519727</c:v>
                </c:pt>
                <c:pt idx="1397">
                  <c:v>0.26480741144041531</c:v>
                </c:pt>
                <c:pt idx="1398">
                  <c:v>0.26461654852028005</c:v>
                </c:pt>
                <c:pt idx="1399">
                  <c:v>0.26442425951245241</c:v>
                </c:pt>
                <c:pt idx="1400">
                  <c:v>0.26423039889778011</c:v>
                </c:pt>
                <c:pt idx="1401">
                  <c:v>0.26403511219541542</c:v>
                </c:pt>
                <c:pt idx="1402">
                  <c:v>0.26383822478237562</c:v>
                </c:pt>
                <c:pt idx="1403">
                  <c:v>0.26363982397015207</c:v>
                </c:pt>
                <c:pt idx="1404">
                  <c:v>0.26343990975874476</c:v>
                </c:pt>
                <c:pt idx="1405">
                  <c:v>0.26323848214815371</c:v>
                </c:pt>
                <c:pt idx="1406">
                  <c:v>0.26303545382688753</c:v>
                </c:pt>
                <c:pt idx="1407">
                  <c:v>0.26283079569111578</c:v>
                </c:pt>
                <c:pt idx="1408">
                  <c:v>0.26262462415616028</c:v>
                </c:pt>
                <c:pt idx="1409">
                  <c:v>0.26241673549520783</c:v>
                </c:pt>
                <c:pt idx="1410">
                  <c:v>0.262207420746563</c:v>
                </c:pt>
                <c:pt idx="1411">
                  <c:v>0.26199630156042986</c:v>
                </c:pt>
                <c:pt idx="1412">
                  <c:v>0.26178358166362159</c:v>
                </c:pt>
                <c:pt idx="1413">
                  <c:v>0.26156920284847729</c:v>
                </c:pt>
                <c:pt idx="1414">
                  <c:v>0.2613531360111665</c:v>
                </c:pt>
                <c:pt idx="1415">
                  <c:v>0.26113546846318059</c:v>
                </c:pt>
                <c:pt idx="1416">
                  <c:v>0.26091599647770636</c:v>
                </c:pt>
                <c:pt idx="1417">
                  <c:v>0.26069483647006564</c:v>
                </c:pt>
                <c:pt idx="1418">
                  <c:v>0.26047198844025843</c:v>
                </c:pt>
                <c:pt idx="1419">
                  <c:v>0.26024745238828473</c:v>
                </c:pt>
                <c:pt idx="1420">
                  <c:v>0.26002108279499225</c:v>
                </c:pt>
                <c:pt idx="1421">
                  <c:v>0.25979293786804192</c:v>
                </c:pt>
                <c:pt idx="1422">
                  <c:v>0.25956307581509463</c:v>
                </c:pt>
                <c:pt idx="1423">
                  <c:v>0.25933138022082858</c:v>
                </c:pt>
                <c:pt idx="1424">
                  <c:v>0.25909790929290466</c:v>
                </c:pt>
                <c:pt idx="1425">
                  <c:v>0.25886254661600105</c:v>
                </c:pt>
                <c:pt idx="1426">
                  <c:v>0.25862535039777867</c:v>
                </c:pt>
                <c:pt idx="1427">
                  <c:v>0.25838637884589843</c:v>
                </c:pt>
                <c:pt idx="1428">
                  <c:v>0.25814551554503851</c:v>
                </c:pt>
                <c:pt idx="1429">
                  <c:v>0.25790276049519889</c:v>
                </c:pt>
                <c:pt idx="1430">
                  <c:v>0.25765811369637959</c:v>
                </c:pt>
                <c:pt idx="1431">
                  <c:v>0.25741148783708923</c:v>
                </c:pt>
                <c:pt idx="1432">
                  <c:v>0.257163086644141</c:v>
                </c:pt>
                <c:pt idx="1433">
                  <c:v>0.25691270639072172</c:v>
                </c:pt>
                <c:pt idx="1434">
                  <c:v>0.25666031797300093</c:v>
                </c:pt>
                <c:pt idx="1435">
                  <c:v>0.25640592139097862</c:v>
                </c:pt>
                <c:pt idx="1436">
                  <c:v>0.25614960395614617</c:v>
                </c:pt>
                <c:pt idx="1437">
                  <c:v>0.25589133656467311</c:v>
                </c:pt>
                <c:pt idx="1438">
                  <c:v>0.25563106100889854</c:v>
                </c:pt>
                <c:pt idx="1439">
                  <c:v>0.25536863176967017</c:v>
                </c:pt>
                <c:pt idx="1440">
                  <c:v>0.25510431078146212</c:v>
                </c:pt>
                <c:pt idx="1441">
                  <c:v>0.25483786521363072</c:v>
                </c:pt>
                <c:pt idx="1442">
                  <c:v>0.25456938237766735</c:v>
                </c:pt>
                <c:pt idx="1443">
                  <c:v>0.25429877496208064</c:v>
                </c:pt>
                <c:pt idx="1444">
                  <c:v>0.25402604296687059</c:v>
                </c:pt>
                <c:pt idx="1445">
                  <c:v>0.25375124459969811</c:v>
                </c:pt>
                <c:pt idx="1446">
                  <c:v>0.25347435075673275</c:v>
                </c:pt>
                <c:pt idx="1447">
                  <c:v>0.25319527412648313</c:v>
                </c:pt>
                <c:pt idx="1448">
                  <c:v>0.25291401470894925</c:v>
                </c:pt>
                <c:pt idx="1449">
                  <c:v>0.25263060160796158</c:v>
                </c:pt>
                <c:pt idx="1450">
                  <c:v>0.2523449766158592</c:v>
                </c:pt>
                <c:pt idx="1451">
                  <c:v>0.25205719794030301</c:v>
                </c:pt>
                <c:pt idx="1452">
                  <c:v>0.2517671491659712</c:v>
                </c:pt>
                <c:pt idx="1453">
                  <c:v>0.2514747429813724</c:v>
                </c:pt>
                <c:pt idx="1454">
                  <c:v>0.25118024132098071</c:v>
                </c:pt>
                <c:pt idx="1455">
                  <c:v>0.25088344045798294</c:v>
                </c:pt>
                <c:pt idx="1456">
                  <c:v>0.25058434039237909</c:v>
                </c:pt>
                <c:pt idx="1457">
                  <c:v>0.25028297022799961</c:v>
                </c:pt>
                <c:pt idx="1458">
                  <c:v>0.24997921354952268</c:v>
                </c:pt>
                <c:pt idx="1459">
                  <c:v>0.24967318677227013</c:v>
                </c:pt>
                <c:pt idx="1460">
                  <c:v>0.24936468616942875</c:v>
                </c:pt>
                <c:pt idx="1461">
                  <c:v>0.24905391546781175</c:v>
                </c:pt>
                <c:pt idx="1462">
                  <c:v>0.24874075825209729</c:v>
                </c:pt>
                <c:pt idx="1463">
                  <c:v>0.24842515631462447</c:v>
                </c:pt>
                <c:pt idx="1464">
                  <c:v>0.24810719696688466</c:v>
                </c:pt>
                <c:pt idx="1465">
                  <c:v>0.24778679289738648</c:v>
                </c:pt>
                <c:pt idx="1466">
                  <c:v>0.24746388589846902</c:v>
                </c:pt>
                <c:pt idx="1467">
                  <c:v>0.24713853417779319</c:v>
                </c:pt>
                <c:pt idx="1468">
                  <c:v>0.24681076683918945</c:v>
                </c:pt>
                <c:pt idx="1469">
                  <c:v>0.24648040925967507</c:v>
                </c:pt>
                <c:pt idx="1470">
                  <c:v>0.24614754875074141</c:v>
                </c:pt>
                <c:pt idx="1471">
                  <c:v>0.24581215620855801</c:v>
                </c:pt>
                <c:pt idx="1472">
                  <c:v>0.24547420252929442</c:v>
                </c:pt>
                <c:pt idx="1473">
                  <c:v>0.24513374592061155</c:v>
                </c:pt>
                <c:pt idx="1474">
                  <c:v>0.24479061175952666</c:v>
                </c:pt>
                <c:pt idx="1475">
                  <c:v>0.24444485825370066</c:v>
                </c:pt>
                <c:pt idx="1476">
                  <c:v>0.24409663092228584</c:v>
                </c:pt>
                <c:pt idx="1477">
                  <c:v>0.24374560962314717</c:v>
                </c:pt>
                <c:pt idx="1478">
                  <c:v>0.24339199808309786</c:v>
                </c:pt>
                <c:pt idx="1479">
                  <c:v>0.24303570899064653</c:v>
                </c:pt>
                <c:pt idx="1480">
                  <c:v>0.24267674234579317</c:v>
                </c:pt>
                <c:pt idx="1481">
                  <c:v>0.24231501083704643</c:v>
                </c:pt>
                <c:pt idx="1482">
                  <c:v>0.24195063087972812</c:v>
                </c:pt>
                <c:pt idx="1483">
                  <c:v>0.24158342785085551</c:v>
                </c:pt>
                <c:pt idx="1484">
                  <c:v>0.24121348906191997</c:v>
                </c:pt>
                <c:pt idx="1485">
                  <c:v>0.2408408145129215</c:v>
                </c:pt>
                <c:pt idx="1486">
                  <c:v>0.24046531689236872</c:v>
                </c:pt>
                <c:pt idx="1487">
                  <c:v>0.24008693799260072</c:v>
                </c:pt>
                <c:pt idx="1488">
                  <c:v>0.2397058233327698</c:v>
                </c:pt>
                <c:pt idx="1489">
                  <c:v>0.23932185649755411</c:v>
                </c:pt>
                <c:pt idx="1490">
                  <c:v>0.23893489196780138</c:v>
                </c:pt>
                <c:pt idx="1491">
                  <c:v>0.23854516257415526</c:v>
                </c:pt>
                <c:pt idx="1492">
                  <c:v>0.23815252279746346</c:v>
                </c:pt>
                <c:pt idx="1493">
                  <c:v>0.23775685622240417</c:v>
                </c:pt>
                <c:pt idx="1494">
                  <c:v>0.23735833747196011</c:v>
                </c:pt>
                <c:pt idx="1495">
                  <c:v>0.23695682102697901</c:v>
                </c:pt>
                <c:pt idx="1496">
                  <c:v>0.23655230688746087</c:v>
                </c:pt>
                <c:pt idx="1497">
                  <c:v>0.23614482415723614</c:v>
                </c:pt>
                <c:pt idx="1498">
                  <c:v>0.23573431462864392</c:v>
                </c:pt>
                <c:pt idx="1499">
                  <c:v>0.23532069099019282</c:v>
                </c:pt>
                <c:pt idx="1500">
                  <c:v>0.23490412786486559</c:v>
                </c:pt>
                <c:pt idx="1501">
                  <c:v>0.23448442152584903</c:v>
                </c:pt>
                <c:pt idx="1502">
                  <c:v>0.23406163018080406</c:v>
                </c:pt>
                <c:pt idx="1503">
                  <c:v>0.23363569562206976</c:v>
                </c:pt>
                <c:pt idx="1504">
                  <c:v>0.23320664695347659</c:v>
                </c:pt>
                <c:pt idx="1505">
                  <c:v>0.23277448417502455</c:v>
                </c:pt>
                <c:pt idx="1506">
                  <c:v>0.23233909087139182</c:v>
                </c:pt>
                <c:pt idx="1507">
                  <c:v>0.23190055435406975</c:v>
                </c:pt>
                <c:pt idx="1508">
                  <c:v>0.23145878731156699</c:v>
                </c:pt>
                <c:pt idx="1509">
                  <c:v>0.23101378974388354</c:v>
                </c:pt>
                <c:pt idx="1510">
                  <c:v>0.23056550344335847</c:v>
                </c:pt>
                <c:pt idx="1511">
                  <c:v>0.23011395751382224</c:v>
                </c:pt>
                <c:pt idx="1512">
                  <c:v>0.22965915195527487</c:v>
                </c:pt>
                <c:pt idx="1513">
                  <c:v>0.22920102856005542</c:v>
                </c:pt>
                <c:pt idx="1514">
                  <c:v>0.22873955822433345</c:v>
                </c:pt>
                <c:pt idx="1515">
                  <c:v>0.22827474094810896</c:v>
                </c:pt>
                <c:pt idx="1516">
                  <c:v>0.22780654762755148</c:v>
                </c:pt>
                <c:pt idx="1517">
                  <c:v>0.22733503647032194</c:v>
                </c:pt>
                <c:pt idx="1518">
                  <c:v>0.22686003285343759</c:v>
                </c:pt>
                <c:pt idx="1519">
                  <c:v>0.22638159498455934</c:v>
                </c:pt>
                <c:pt idx="1520">
                  <c:v>0.2258997228636872</c:v>
                </c:pt>
                <c:pt idx="1521">
                  <c:v>0.22541438738699071</c:v>
                </c:pt>
                <c:pt idx="1522">
                  <c:v>0.22492558855446987</c:v>
                </c:pt>
                <c:pt idx="1523">
                  <c:v>0.22443320995080285</c:v>
                </c:pt>
                <c:pt idx="1524">
                  <c:v>0.22393736799131148</c:v>
                </c:pt>
                <c:pt idx="1525">
                  <c:v>0.22343797536450438</c:v>
                </c:pt>
                <c:pt idx="1526">
                  <c:v>0.2229349447588902</c:v>
                </c:pt>
                <c:pt idx="1527">
                  <c:v>0.22242833438212983</c:v>
                </c:pt>
                <c:pt idx="1528">
                  <c:v>0.22191805692273192</c:v>
                </c:pt>
                <c:pt idx="1529">
                  <c:v>0.22140417058835737</c:v>
                </c:pt>
                <c:pt idx="1530">
                  <c:v>0.22088661717134528</c:v>
                </c:pt>
                <c:pt idx="1531">
                  <c:v>0.22036551308701746</c:v>
                </c:pt>
                <c:pt idx="1532">
                  <c:v>0.2198405381932389</c:v>
                </c:pt>
                <c:pt idx="1533">
                  <c:v>0.21931192532065324</c:v>
                </c:pt>
                <c:pt idx="1534">
                  <c:v>0.21877952895010822</c:v>
                </c:pt>
                <c:pt idx="1535">
                  <c:v>0.21824337818543427</c:v>
                </c:pt>
                <c:pt idx="1536">
                  <c:v>0.2177034730266314</c:v>
                </c:pt>
                <c:pt idx="1537">
                  <c:v>0.21715969705837779</c:v>
                </c:pt>
                <c:pt idx="1538">
                  <c:v>0.2166121375921648</c:v>
                </c:pt>
                <c:pt idx="1539">
                  <c:v>0.21606070731650107</c:v>
                </c:pt>
                <c:pt idx="1540">
                  <c:v>0.21550540623138659</c:v>
                </c:pt>
                <c:pt idx="1541">
                  <c:v>0.21494623433682136</c:v>
                </c:pt>
                <c:pt idx="1542">
                  <c:v>0.21438304611365311</c:v>
                </c:pt>
                <c:pt idx="1543">
                  <c:v>0.21381595797720365</c:v>
                </c:pt>
                <c:pt idx="1544">
                  <c:v>0.21324494082364254</c:v>
                </c:pt>
                <c:pt idx="1545">
                  <c:v>0.21266993644530885</c:v>
                </c:pt>
                <c:pt idx="1546">
                  <c:v>0.21209094484220259</c:v>
                </c:pt>
                <c:pt idx="1547">
                  <c:v>0.21150790780666284</c:v>
                </c:pt>
                <c:pt idx="1548">
                  <c:v>0.21092073802719824</c:v>
                </c:pt>
                <c:pt idx="1549">
                  <c:v>0.21032961012679152</c:v>
                </c:pt>
                <c:pt idx="1550">
                  <c:v>0.20973432037862949</c:v>
                </c:pt>
                <c:pt idx="1551">
                  <c:v>0.2091348978865426</c:v>
                </c:pt>
                <c:pt idx="1552">
                  <c:v>0.20853142996202223</c:v>
                </c:pt>
                <c:pt idx="1553">
                  <c:v>0.20792368377442472</c:v>
                </c:pt>
                <c:pt idx="1554">
                  <c:v>0.2073118339467328</c:v>
                </c:pt>
                <c:pt idx="1555">
                  <c:v>0.20669567675213329</c:v>
                </c:pt>
                <c:pt idx="1556">
                  <c:v>0.20607532860594802</c:v>
                </c:pt>
                <c:pt idx="1557">
                  <c:v>0.20545067309285514</c:v>
                </c:pt>
                <c:pt idx="1558">
                  <c:v>0.20482185573200695</c:v>
                </c:pt>
                <c:pt idx="1559">
                  <c:v>0.2041886436927598</c:v>
                </c:pt>
                <c:pt idx="1560">
                  <c:v>0.20355109518277459</c:v>
                </c:pt>
                <c:pt idx="1561">
                  <c:v>0.20290923930588178</c:v>
                </c:pt>
                <c:pt idx="1562">
                  <c:v>0.20226301785442047</c:v>
                </c:pt>
                <c:pt idx="1563">
                  <c:v>0.20161237262072973</c:v>
                </c:pt>
                <c:pt idx="1564">
                  <c:v>0.20095733270864002</c:v>
                </c:pt>
                <c:pt idx="1565">
                  <c:v>0.20029772349516861</c:v>
                </c:pt>
                <c:pt idx="1566">
                  <c:v>0.19963377781095915</c:v>
                </c:pt>
                <c:pt idx="1567">
                  <c:v>0.19896532103302889</c:v>
                </c:pt>
                <c:pt idx="1568">
                  <c:v>0.19829226584988646</c:v>
                </c:pt>
                <c:pt idx="1569">
                  <c:v>0.19761475778068416</c:v>
                </c:pt>
                <c:pt idx="1570">
                  <c:v>0.19693268041010015</c:v>
                </c:pt>
                <c:pt idx="1571">
                  <c:v>0.19624600463430397</c:v>
                </c:pt>
                <c:pt idx="1572">
                  <c:v>0.19555464314180426</c:v>
                </c:pt>
                <c:pt idx="1573">
                  <c:v>0.1948587414517533</c:v>
                </c:pt>
                <c:pt idx="1574">
                  <c:v>0.1941580958373379</c:v>
                </c:pt>
                <c:pt idx="1575">
                  <c:v>0.19345279361004941</c:v>
                </c:pt>
                <c:pt idx="1576">
                  <c:v>0.19274283476988785</c:v>
                </c:pt>
                <c:pt idx="1577">
                  <c:v>0.19202801559004001</c:v>
                </c:pt>
                <c:pt idx="1578">
                  <c:v>0.1913085397973191</c:v>
                </c:pt>
                <c:pt idx="1579">
                  <c:v>0.19058420366491191</c:v>
                </c:pt>
                <c:pt idx="1580">
                  <c:v>0.18985506540047936</c:v>
                </c:pt>
                <c:pt idx="1581">
                  <c:v>0.18912115410785191</c:v>
                </c:pt>
                <c:pt idx="1582">
                  <c:v>0.18838232426787727</c:v>
                </c:pt>
                <c:pt idx="1583">
                  <c:v>0.18763866319204681</c:v>
                </c:pt>
                <c:pt idx="1584">
                  <c:v>0.18688996715354733</c:v>
                </c:pt>
                <c:pt idx="1585">
                  <c:v>0.18613652719068341</c:v>
                </c:pt>
                <c:pt idx="1586">
                  <c:v>0.18537799405748956</c:v>
                </c:pt>
                <c:pt idx="1587">
                  <c:v>0.18461451327311806</c:v>
                </c:pt>
                <c:pt idx="1588">
                  <c:v>0.1838459684222471</c:v>
                </c:pt>
                <c:pt idx="1589">
                  <c:v>0.18307241771253757</c:v>
                </c:pt>
                <c:pt idx="1590">
                  <c:v>0.18229377383249812</c:v>
                </c:pt>
                <c:pt idx="1591">
                  <c:v>0.18151009498978965</c:v>
                </c:pt>
                <c:pt idx="1592">
                  <c:v>0.18072117745759897</c:v>
                </c:pt>
                <c:pt idx="1593">
                  <c:v>0.17992722496273927</c:v>
                </c:pt>
                <c:pt idx="1594">
                  <c:v>0.17912812108988874</c:v>
                </c:pt>
                <c:pt idx="1595">
                  <c:v>0.17832380763138644</c:v>
                </c:pt>
                <c:pt idx="1596">
                  <c:v>0.1775142845872324</c:v>
                </c:pt>
                <c:pt idx="1597">
                  <c:v>0.17669940643827431</c:v>
                </c:pt>
                <c:pt idx="1598">
                  <c:v>0.17587940601515584</c:v>
                </c:pt>
                <c:pt idx="1599">
                  <c:v>0.17505396317574196</c:v>
                </c:pt>
                <c:pt idx="1600">
                  <c:v>0.17422328164684586</c:v>
                </c:pt>
                <c:pt idx="1601">
                  <c:v>0.17338721590931527</c:v>
                </c:pt>
                <c:pt idx="1602">
                  <c:v>0.17254579506698065</c:v>
                </c:pt>
                <c:pt idx="1603">
                  <c:v>0.17169896091218106</c:v>
                </c:pt>
                <c:pt idx="1604">
                  <c:v>0.17084665523725562</c:v>
                </c:pt>
                <c:pt idx="1605">
                  <c:v>0.16998893624986522</c:v>
                </c:pt>
                <c:pt idx="1606">
                  <c:v>0.1691257166385185</c:v>
                </c:pt>
                <c:pt idx="1607">
                  <c:v>0.16825693819555454</c:v>
                </c:pt>
                <c:pt idx="1608">
                  <c:v>0.16738265912863426</c:v>
                </c:pt>
                <c:pt idx="1609">
                  <c:v>0.16650276302243583</c:v>
                </c:pt>
                <c:pt idx="1610">
                  <c:v>0.16561739539611153</c:v>
                </c:pt>
                <c:pt idx="1611">
                  <c:v>0.16472629431518726</c:v>
                </c:pt>
                <c:pt idx="1612">
                  <c:v>0.16382951798732392</c:v>
                </c:pt>
                <c:pt idx="1613">
                  <c:v>0.1629271537240129</c:v>
                </c:pt>
                <c:pt idx="1614">
                  <c:v>0.16201902690227143</c:v>
                </c:pt>
                <c:pt idx="1615">
                  <c:v>0.16110519572976045</c:v>
                </c:pt>
                <c:pt idx="1616">
                  <c:v>0.16018560199881904</c:v>
                </c:pt>
                <c:pt idx="1617">
                  <c:v>0.15926015839795582</c:v>
                </c:pt>
                <c:pt idx="1618">
                  <c:v>0.15832898134249263</c:v>
                </c:pt>
                <c:pt idx="1619">
                  <c:v>0.15739192531327717</c:v>
                </c:pt>
                <c:pt idx="1620">
                  <c:v>0.15644907762180082</c:v>
                </c:pt>
                <c:pt idx="1621">
                  <c:v>0.15550020543741994</c:v>
                </c:pt>
                <c:pt idx="1622">
                  <c:v>0.15454536696779542</c:v>
                </c:pt>
                <c:pt idx="1623">
                  <c:v>0.15358464952441864</c:v>
                </c:pt>
                <c:pt idx="1624">
                  <c:v>0.15261793669196777</c:v>
                </c:pt>
                <c:pt idx="1625">
                  <c:v>0.15164519936661236</c:v>
                </c:pt>
                <c:pt idx="1626">
                  <c:v>0.15066640844452195</c:v>
                </c:pt>
                <c:pt idx="1627">
                  <c:v>0.14968159302952699</c:v>
                </c:pt>
                <c:pt idx="1628">
                  <c:v>0.14869063670630567</c:v>
                </c:pt>
                <c:pt idx="1629">
                  <c:v>0.14769359768251888</c:v>
                </c:pt>
                <c:pt idx="1630">
                  <c:v>0.14669033043901436</c:v>
                </c:pt>
                <c:pt idx="1631">
                  <c:v>0.14568092228728347</c:v>
                </c:pt>
                <c:pt idx="1632">
                  <c:v>0.14466522770817392</c:v>
                </c:pt>
                <c:pt idx="1633">
                  <c:v>0.14364330490934663</c:v>
                </c:pt>
                <c:pt idx="1634">
                  <c:v>0.14261518299463205</c:v>
                </c:pt>
                <c:pt idx="1635">
                  <c:v>0.14158068734104745</c:v>
                </c:pt>
                <c:pt idx="1636">
                  <c:v>0.14053987615625374</c:v>
                </c:pt>
                <c:pt idx="1637">
                  <c:v>0.13949266212875955</c:v>
                </c:pt>
                <c:pt idx="1638">
                  <c:v>0.1384391616738867</c:v>
                </c:pt>
                <c:pt idx="1639">
                  <c:v>0.13737911285716109</c:v>
                </c:pt>
                <c:pt idx="1640">
                  <c:v>0.136312661197735</c:v>
                </c:pt>
                <c:pt idx="1641">
                  <c:v>0.13523974848794751</c:v>
                </c:pt>
                <c:pt idx="1642">
                  <c:v>0.13416020010481589</c:v>
                </c:pt>
                <c:pt idx="1643">
                  <c:v>0.13307424887898378</c:v>
                </c:pt>
                <c:pt idx="1644">
                  <c:v>0.13198166197980754</c:v>
                </c:pt>
                <c:pt idx="1645">
                  <c:v>0.13088246851111762</c:v>
                </c:pt>
                <c:pt idx="1646">
                  <c:v>0.12977666847291403</c:v>
                </c:pt>
                <c:pt idx="1647">
                  <c:v>0.12866423276136629</c:v>
                </c:pt>
                <c:pt idx="1648">
                  <c:v>0.12754507406498305</c:v>
                </c:pt>
                <c:pt idx="1649">
                  <c:v>0.12641907596844248</c:v>
                </c:pt>
                <c:pt idx="1650">
                  <c:v>0.12528641309472732</c:v>
                </c:pt>
                <c:pt idx="1651">
                  <c:v>0.12414696902851574</c:v>
                </c:pt>
                <c:pt idx="1652">
                  <c:v>0.1230007728736382</c:v>
                </c:pt>
                <c:pt idx="1653">
                  <c:v>0.12184762090328149</c:v>
                </c:pt>
                <c:pt idx="1654">
                  <c:v>0.120687600428937</c:v>
                </c:pt>
                <c:pt idx="1655">
                  <c:v>0.11952068234677427</c:v>
                </c:pt>
                <c:pt idx="1656">
                  <c:v>0.11834683755296282</c:v>
                </c:pt>
                <c:pt idx="1657">
                  <c:v>0.11716600783984177</c:v>
                </c:pt>
                <c:pt idx="1658">
                  <c:v>0.1159781932074111</c:v>
                </c:pt>
                <c:pt idx="1659">
                  <c:v>0.11478336455184035</c:v>
                </c:pt>
                <c:pt idx="1660">
                  <c:v>0.1135814054578077</c:v>
                </c:pt>
                <c:pt idx="1661">
                  <c:v>0.11237231592531316</c:v>
                </c:pt>
                <c:pt idx="1662">
                  <c:v>0.11115615416201763</c:v>
                </c:pt>
                <c:pt idx="1663">
                  <c:v>0.10993283285642974</c:v>
                </c:pt>
                <c:pt idx="1664">
                  <c:v>0.10870232290471904</c:v>
                </c:pt>
                <c:pt idx="1665">
                  <c:v>0.1074645078915637</c:v>
                </c:pt>
                <c:pt idx="1666">
                  <c:v>0.106219533336116</c:v>
                </c:pt>
                <c:pt idx="1667">
                  <c:v>0.10496719551156275</c:v>
                </c:pt>
                <c:pt idx="1668">
                  <c:v>0.1037075235217344</c:v>
                </c:pt>
                <c:pt idx="1669">
                  <c:v>0.10244057557429187</c:v>
                </c:pt>
                <c:pt idx="1670">
                  <c:v>0.10116614794242196</c:v>
                </c:pt>
                <c:pt idx="1671">
                  <c:v>9.9884357041446492E-2</c:v>
                </c:pt>
                <c:pt idx="1672">
                  <c:v>9.8595086456043646E-2</c:v>
                </c:pt>
                <c:pt idx="1673">
                  <c:v>9.7298336186213419E-2</c:v>
                </c:pt>
                <c:pt idx="1674">
                  <c:v>9.5994018920464441E-2</c:v>
                </c:pt>
                <c:pt idx="1675">
                  <c:v>9.468225107411854E-2</c:v>
                </c:pt>
                <c:pt idx="1676">
                  <c:v>9.3362799816532061E-2</c:v>
                </c:pt>
                <c:pt idx="1677">
                  <c:v>9.2035810666857287E-2</c:v>
                </c:pt>
                <c:pt idx="1678">
                  <c:v>9.0701079898281023E-2</c:v>
                </c:pt>
                <c:pt idx="1679">
                  <c:v>8.9358782133786008E-2</c:v>
                </c:pt>
                <c:pt idx="1680">
                  <c:v>8.8008684542728588E-2</c:v>
                </c:pt>
                <c:pt idx="1681">
                  <c:v>8.6650845332769677E-2</c:v>
                </c:pt>
                <c:pt idx="1682">
                  <c:v>8.5285235400078818E-2</c:v>
                </c:pt>
                <c:pt idx="1683">
                  <c:v>8.3911796536995098E-2</c:v>
                </c:pt>
                <c:pt idx="1684">
                  <c:v>8.2530528743518516E-2</c:v>
                </c:pt>
                <c:pt idx="1685">
                  <c:v>8.1141315604327247E-2</c:v>
                </c:pt>
                <c:pt idx="1686">
                  <c:v>7.9744244430912659E-2</c:v>
                </c:pt>
                <c:pt idx="1687">
                  <c:v>7.8339198807952926E-2</c:v>
                </c:pt>
                <c:pt idx="1688">
                  <c:v>7.6926178735448048E-2</c:v>
                </c:pt>
                <c:pt idx="1689">
                  <c:v>7.5505155109567568E-2</c:v>
                </c:pt>
                <c:pt idx="1690">
                  <c:v>7.4075953307328746E-2</c:v>
                </c:pt>
                <c:pt idx="1691">
                  <c:v>7.2638747951714322E-2</c:v>
                </c:pt>
                <c:pt idx="1692">
                  <c:v>7.119350993889384E-2</c:v>
                </c:pt>
                <c:pt idx="1693">
                  <c:v>6.9739977334393188E-2</c:v>
                </c:pt>
                <c:pt idx="1694">
                  <c:v>6.8278295657364652E-2</c:v>
                </c:pt>
                <c:pt idx="1695">
                  <c:v>6.6808435803977773E-2</c:v>
                </c:pt>
                <c:pt idx="1696">
                  <c:v>6.5330223151249811E-2</c:v>
                </c:pt>
                <c:pt idx="1697">
                  <c:v>6.3843832322163507E-2</c:v>
                </c:pt>
                <c:pt idx="1698">
                  <c:v>6.2348914070753381E-2</c:v>
                </c:pt>
                <c:pt idx="1699">
                  <c:v>6.0845759435323998E-2</c:v>
                </c:pt>
                <c:pt idx="1700">
                  <c:v>5.933419379289262E-2</c:v>
                </c:pt>
                <c:pt idx="1701">
                  <c:v>5.7814188039628789E-2</c:v>
                </c:pt>
                <c:pt idx="1702">
                  <c:v>5.6285683967871591E-2</c:v>
                </c:pt>
                <c:pt idx="1703">
                  <c:v>5.4748710681451485E-2</c:v>
                </c:pt>
                <c:pt idx="1704">
                  <c:v>5.3203122661216184E-2</c:v>
                </c:pt>
                <c:pt idx="1705">
                  <c:v>5.1649007218657061E-2</c:v>
                </c:pt>
                <c:pt idx="1706">
                  <c:v>5.0086306146113202E-2</c:v>
                </c:pt>
                <c:pt idx="1707">
                  <c:v>4.8514932132093236E-2</c:v>
                </c:pt>
                <c:pt idx="1708">
                  <c:v>4.693482696893625E-2</c:v>
                </c:pt>
                <c:pt idx="1709">
                  <c:v>4.53460197604727E-2</c:v>
                </c:pt>
                <c:pt idx="1710">
                  <c:v>4.3748510506702587E-2</c:v>
                </c:pt>
                <c:pt idx="1711">
                  <c:v>4.214212458464317E-2</c:v>
                </c:pt>
                <c:pt idx="1712">
                  <c:v>4.0527007513446733E-2</c:v>
                </c:pt>
                <c:pt idx="1713">
                  <c:v>3.8902926462469622E-2</c:v>
                </c:pt>
                <c:pt idx="1714">
                  <c:v>3.7269968743203208E-2</c:v>
                </c:pt>
                <c:pt idx="1715">
                  <c:v>3.5628105251817033E-2</c:v>
                </c:pt>
                <c:pt idx="1716">
                  <c:v>3.3977161365328357E-2</c:v>
                </c:pt>
                <c:pt idx="1717">
                  <c:v>3.231731170671992E-2</c:v>
                </c:pt>
                <c:pt idx="1718">
                  <c:v>3.0648381653008983E-2</c:v>
                </c:pt>
                <c:pt idx="1719">
                  <c:v>2.8970342100365087E-2</c:v>
                </c:pt>
                <c:pt idx="1720">
                  <c:v>2.7283222152618691E-2</c:v>
                </c:pt>
                <c:pt idx="1721">
                  <c:v>2.5586905394447967E-2</c:v>
                </c:pt>
                <c:pt idx="1722">
                  <c:v>2.3881362722022459E-2</c:v>
                </c:pt>
                <c:pt idx="1723">
                  <c:v>2.2166623239172623E-2</c:v>
                </c:pt>
                <c:pt idx="1724">
                  <c:v>2.0442599634407088E-2</c:v>
                </c:pt>
                <c:pt idx="1725">
                  <c:v>1.8709321011556312E-2</c:v>
                </c:pt>
                <c:pt idx="1726">
                  <c:v>1.6966612747637555E-2</c:v>
                </c:pt>
                <c:pt idx="1727">
                  <c:v>1.5214474842650816E-2</c:v>
                </c:pt>
                <c:pt idx="1728">
                  <c:v>1.3453111023409292E-2</c:v>
                </c:pt>
                <c:pt idx="1729">
                  <c:v>1.1682142940117046E-2</c:v>
                </c:pt>
                <c:pt idx="1730">
                  <c:v>9.9017161119263619E-3</c:v>
                </c:pt>
                <c:pt idx="1731">
                  <c:v>8.1116559158544987E-3</c:v>
                </c:pt>
                <c:pt idx="1732">
                  <c:v>6.3121660787146538E-3</c:v>
                </c:pt>
                <c:pt idx="1733">
                  <c:v>4.5029846660327166E-3</c:v>
                </c:pt>
                <c:pt idx="1734">
                  <c:v>2.6841407816391438E-3</c:v>
                </c:pt>
                <c:pt idx="1735">
                  <c:v>8.5560532170347869E-4</c:v>
                </c:pt>
                <c:pt idx="1736">
                  <c:v>-9.8265081760473549E-4</c:v>
                </c:pt>
                <c:pt idx="1737">
                  <c:v>-2.830598532455042E-3</c:v>
                </c:pt>
                <c:pt idx="1738">
                  <c:v>-4.6883833419997245E-3</c:v>
                </c:pt>
                <c:pt idx="1739">
                  <c:v>-6.5561507653910667E-3</c:v>
                </c:pt>
                <c:pt idx="1740">
                  <c:v>-8.4336679719854146E-3</c:v>
                </c:pt>
                <c:pt idx="1741">
                  <c:v>-1.0321080480935052E-2</c:v>
                </c:pt>
                <c:pt idx="1742">
                  <c:v>-1.2218533811392263E-2</c:v>
                </c:pt>
                <c:pt idx="1743">
                  <c:v>-1.4125969755696133E-2</c:v>
                </c:pt>
                <c:pt idx="1744">
                  <c:v>-1.6043417417677119E-2</c:v>
                </c:pt>
                <c:pt idx="1745">
                  <c:v>-1.7970935004996136E-2</c:v>
                </c:pt>
                <c:pt idx="1746">
                  <c:v>-1.9908609829144552E-2</c:v>
                </c:pt>
                <c:pt idx="1747">
                  <c:v>-2.1856470993952826E-2</c:v>
                </c:pt>
                <c:pt idx="1748">
                  <c:v>-2.3814402084099129E-2</c:v>
                </c:pt>
                <c:pt idx="1749">
                  <c:v>-2.5782694137888029E-2</c:v>
                </c:pt>
                <c:pt idx="1750">
                  <c:v>-2.77612307399977E-2</c:v>
                </c:pt>
                <c:pt idx="1751">
                  <c:v>-2.9750070098089054E-2</c:v>
                </c:pt>
                <c:pt idx="1752">
                  <c:v>-3.1749299523653463E-2</c:v>
                </c:pt>
                <c:pt idx="1753">
                  <c:v>-3.3758860809030011E-2</c:v>
                </c:pt>
                <c:pt idx="1754">
                  <c:v>-3.5778928577201441E-2</c:v>
                </c:pt>
                <c:pt idx="1755">
                  <c:v>-3.7809473724337295E-2</c:v>
                </c:pt>
                <c:pt idx="1756">
                  <c:v>-3.9850496250437573E-2</c:v>
                </c:pt>
                <c:pt idx="1757">
                  <c:v>-4.1902054363163188E-2</c:v>
                </c:pt>
                <c:pt idx="1758">
                  <c:v>-4.3964235374005511E-2</c:v>
                </c:pt>
                <c:pt idx="1759">
                  <c:v>-4.6037126594455913E-2</c:v>
                </c:pt>
                <c:pt idx="1760">
                  <c:v>-4.8120553401531652E-2</c:v>
                </c:pt>
                <c:pt idx="1761">
                  <c:v>-5.0214835937367752E-2</c:v>
                </c:pt>
                <c:pt idx="1762">
                  <c:v>-5.2319828682811931E-2</c:v>
                </c:pt>
                <c:pt idx="1763">
                  <c:v>-5.4435589845525101E-2</c:v>
                </c:pt>
                <c:pt idx="1764">
                  <c:v>-5.6562235840829089E-2</c:v>
                </c:pt>
                <c:pt idx="1765">
                  <c:v>-5.8699795772554353E-2</c:v>
                </c:pt>
                <c:pt idx="1766">
                  <c:v>-6.0848269640700892E-2</c:v>
                </c:pt>
                <c:pt idx="1767">
                  <c:v>-6.3007628341438249E-2</c:v>
                </c:pt>
                <c:pt idx="1768">
                  <c:v>-6.5178046497749165E-2</c:v>
                </c:pt>
                <c:pt idx="1769">
                  <c:v>-6.7359553213464096E-2</c:v>
                </c:pt>
                <c:pt idx="1770">
                  <c:v>-6.95521775924135E-2</c:v>
                </c:pt>
                <c:pt idx="1771">
                  <c:v>-7.1755803219275549E-2</c:v>
                </c:pt>
                <c:pt idx="1772">
                  <c:v>-7.3970750236185268E-2</c:v>
                </c:pt>
                <c:pt idx="1773">
                  <c:v>-7.6196873123990372E-2</c:v>
                </c:pt>
                <c:pt idx="1774">
                  <c:v>-7.8434200986521319E-2</c:v>
                </c:pt>
                <c:pt idx="1775">
                  <c:v>-8.0682908446760848E-2</c:v>
                </c:pt>
                <c:pt idx="1776">
                  <c:v>-8.294290819321759E-2</c:v>
                </c:pt>
                <c:pt idx="1777">
                  <c:v>-8.5214229329722002E-2</c:v>
                </c:pt>
                <c:pt idx="1778">
                  <c:v>-8.7497104686917737E-2</c:v>
                </c:pt>
                <c:pt idx="1779">
                  <c:v>-8.9791446953313425E-2</c:v>
                </c:pt>
                <c:pt idx="1780">
                  <c:v>-9.2097256128909066E-2</c:v>
                </c:pt>
                <c:pt idx="1781">
                  <c:v>-9.4414677732856944E-2</c:v>
                </c:pt>
                <c:pt idx="1782">
                  <c:v>-9.6743595349835232E-2</c:v>
                </c:pt>
                <c:pt idx="1783">
                  <c:v>-9.9084300018148497E-2</c:v>
                </c:pt>
                <c:pt idx="1784">
                  <c:v>-0.10143658801098354</c:v>
                </c:pt>
                <c:pt idx="1785">
                  <c:v>-0.10380063395132311</c:v>
                </c:pt>
                <c:pt idx="1786">
                  <c:v>-0.10617643783916719</c:v>
                </c:pt>
                <c:pt idx="1787">
                  <c:v>-0.10856408698600717</c:v>
                </c:pt>
                <c:pt idx="1788">
                  <c:v>-0.11096358139184304</c:v>
                </c:pt>
                <c:pt idx="1789">
                  <c:v>-0.11337503747199662</c:v>
                </c:pt>
                <c:pt idx="1790">
                  <c:v>-0.1157983388111461</c:v>
                </c:pt>
                <c:pt idx="1791">
                  <c:v>-0.11823371823993511</c:v>
                </c:pt>
                <c:pt idx="1792">
                  <c:v>-0.1206810302392114</c:v>
                </c:pt>
                <c:pt idx="1793">
                  <c:v>-0.1231405658472795</c:v>
                </c:pt>
                <c:pt idx="1794">
                  <c:v>-0.12561212133732624</c:v>
                </c:pt>
                <c:pt idx="1795">
                  <c:v>-0.12809595864382572</c:v>
                </c:pt>
                <c:pt idx="1796">
                  <c:v>-0.13059196135145612</c:v>
                </c:pt>
                <c:pt idx="1797">
                  <c:v>-0.13310010035638697</c:v>
                </c:pt>
                <c:pt idx="1798">
                  <c:v>-0.13562069580075331</c:v>
                </c:pt>
                <c:pt idx="1799">
                  <c:v>-0.13815357306157239</c:v>
                </c:pt>
                <c:pt idx="1800">
                  <c:v>-0.14069887765799649</c:v>
                </c:pt>
                <c:pt idx="1801">
                  <c:v>-0.14325658048619516</c:v>
                </c:pt>
                <c:pt idx="1802">
                  <c:v>-0.14582676885765977</c:v>
                </c:pt>
                <c:pt idx="1803">
                  <c:v>-0.14840950098005123</c:v>
                </c:pt>
                <c:pt idx="1804">
                  <c:v>-0.15100474774953909</c:v>
                </c:pt>
                <c:pt idx="1805">
                  <c:v>-0.15361265468527563</c:v>
                </c:pt>
                <c:pt idx="1806">
                  <c:v>-0.15623330909875222</c:v>
                </c:pt>
                <c:pt idx="1807">
                  <c:v>-0.15886656547081657</c:v>
                </c:pt>
                <c:pt idx="1808">
                  <c:v>-0.16151265663211234</c:v>
                </c:pt>
                <c:pt idx="1809">
                  <c:v>-0.16417140795965679</c:v>
                </c:pt>
                <c:pt idx="1810">
                  <c:v>-0.16684308138792403</c:v>
                </c:pt>
                <c:pt idx="1811">
                  <c:v>-0.16952767691691406</c:v>
                </c:pt>
                <c:pt idx="1812">
                  <c:v>-0.17222519454662688</c:v>
                </c:pt>
                <c:pt idx="1813">
                  <c:v>-0.17493563427706249</c:v>
                </c:pt>
                <c:pt idx="1814">
                  <c:v>-0.17765922893886454</c:v>
                </c:pt>
                <c:pt idx="1815">
                  <c:v>-0.18039577480521984</c:v>
                </c:pt>
                <c:pt idx="1816">
                  <c:v>-0.1831455338106025</c:v>
                </c:pt>
                <c:pt idx="1817">
                  <c:v>-0.18590836043586023</c:v>
                </c:pt>
                <c:pt idx="1818">
                  <c:v>-0.18868451661546715</c:v>
                </c:pt>
                <c:pt idx="1819">
                  <c:v>-0.19147385683027096</c:v>
                </c:pt>
                <c:pt idx="1820">
                  <c:v>-0.19427655570325442</c:v>
                </c:pt>
                <c:pt idx="1821">
                  <c:v>-0.19709258413058706</c:v>
                </c:pt>
                <c:pt idx="1822">
                  <c:v>-0.19992200031992979</c:v>
                </c:pt>
                <c:pt idx="1823">
                  <c:v>-0.20276492068660446</c:v>
                </c:pt>
                <c:pt idx="1824">
                  <c:v>-0.20562131612678058</c:v>
                </c:pt>
                <c:pt idx="1825">
                  <c:v>-0.20849124484811909</c:v>
                </c:pt>
                <c:pt idx="1826">
                  <c:v>-0.2113747650582809</c:v>
                </c:pt>
                <c:pt idx="1827">
                  <c:v>-0.21427181854960509</c:v>
                </c:pt>
                <c:pt idx="1828">
                  <c:v>-0.21718272546422668</c:v>
                </c:pt>
                <c:pt idx="1829">
                  <c:v>-0.22010731117916293</c:v>
                </c:pt>
                <c:pt idx="1830">
                  <c:v>-0.22304572121356614</c:v>
                </c:pt>
                <c:pt idx="1831">
                  <c:v>-0.22599783915211447</c:v>
                </c:pt>
                <c:pt idx="1832">
                  <c:v>-0.22896395603311248</c:v>
                </c:pt>
                <c:pt idx="1833">
                  <c:v>-0.23194389723357745</c:v>
                </c:pt>
                <c:pt idx="1834">
                  <c:v>-0.23493786648032255</c:v>
                </c:pt>
                <c:pt idx="1835">
                  <c:v>-0.23794589287717827</c:v>
                </c:pt>
                <c:pt idx="1836">
                  <c:v>-0.24096788911265321</c:v>
                </c:pt>
                <c:pt idx="1837">
                  <c:v>-0.24400414622505195</c:v>
                </c:pt>
                <c:pt idx="1838">
                  <c:v>-0.2470544604875613</c:v>
                </c:pt>
                <c:pt idx="1839">
                  <c:v>-0.2501190647308249</c:v>
                </c:pt>
                <c:pt idx="1840">
                  <c:v>-0.25319790074718185</c:v>
                </c:pt>
                <c:pt idx="1841">
                  <c:v>-0.25629102674429305</c:v>
                </c:pt>
                <c:pt idx="1842">
                  <c:v>-0.25939858824131079</c:v>
                </c:pt>
                <c:pt idx="1843">
                  <c:v>-0.26252055613440461</c:v>
                </c:pt>
                <c:pt idx="1844">
                  <c:v>-0.26565687221591361</c:v>
                </c:pt>
                <c:pt idx="1845">
                  <c:v>-0.2688078566279728</c:v>
                </c:pt>
                <c:pt idx="1846">
                  <c:v>-0.27197327653993852</c:v>
                </c:pt>
                <c:pt idx="1847">
                  <c:v>-0.2751533938862849</c:v>
                </c:pt>
                <c:pt idx="1848">
                  <c:v>-0.27834812135552056</c:v>
                </c:pt>
                <c:pt idx="1849">
                  <c:v>-0.28155757536296733</c:v>
                </c:pt>
                <c:pt idx="1850">
                  <c:v>-0.28478178501245566</c:v>
                </c:pt>
                <c:pt idx="1851">
                  <c:v>-0.28802089582313783</c:v>
                </c:pt>
                <c:pt idx="1852">
                  <c:v>-0.29127476227586158</c:v>
                </c:pt>
                <c:pt idx="1853">
                  <c:v>-0.29454355899360962</c:v>
                </c:pt>
                <c:pt idx="1854">
                  <c:v>-0.29782731508021243</c:v>
                </c:pt>
                <c:pt idx="1855">
                  <c:v>-0.30112608874333091</c:v>
                </c:pt>
                <c:pt idx="1856">
                  <c:v>-0.30443993819062598</c:v>
                </c:pt>
                <c:pt idx="1857">
                  <c:v>-0.30776895073358901</c:v>
                </c:pt>
                <c:pt idx="1858">
                  <c:v>-0.31111303906072862</c:v>
                </c:pt>
                <c:pt idx="1859">
                  <c:v>-0.31447237779502757</c:v>
                </c:pt>
                <c:pt idx="1860">
                  <c:v>-0.31784705424797721</c:v>
                </c:pt>
                <c:pt idx="1861">
                  <c:v>-0.32123698110808618</c:v>
                </c:pt>
                <c:pt idx="1862">
                  <c:v>-0.32464224568684585</c:v>
                </c:pt>
                <c:pt idx="1863">
                  <c:v>-0.32806299350340851</c:v>
                </c:pt>
                <c:pt idx="1864">
                  <c:v>-0.33149916635011323</c:v>
                </c:pt>
                <c:pt idx="1865">
                  <c:v>-0.3349509097461123</c:v>
                </c:pt>
                <c:pt idx="1866">
                  <c:v>-0.33841819458757527</c:v>
                </c:pt>
                <c:pt idx="1867">
                  <c:v>-0.34190116639365442</c:v>
                </c:pt>
                <c:pt idx="1868">
                  <c:v>-0.34539973785285838</c:v>
                </c:pt>
                <c:pt idx="1869">
                  <c:v>-0.34891408358816989</c:v>
                </c:pt>
                <c:pt idx="1870">
                  <c:v>-0.35244420359958895</c:v>
                </c:pt>
                <c:pt idx="1871">
                  <c:v>-0.35599012699094601</c:v>
                </c:pt>
                <c:pt idx="1872">
                  <c:v>-0.35955199928139336</c:v>
                </c:pt>
                <c:pt idx="1873">
                  <c:v>-0.36312976226327009</c:v>
                </c:pt>
                <c:pt idx="1874">
                  <c:v>-0.36672359055955894</c:v>
                </c:pt>
                <c:pt idx="1875">
                  <c:v>-0.37033342596259899</c:v>
                </c:pt>
                <c:pt idx="1876">
                  <c:v>-0.37395929757622071</c:v>
                </c:pt>
                <c:pt idx="1877">
                  <c:v>-0.37760140912723728</c:v>
                </c:pt>
                <c:pt idx="1878">
                  <c:v>-0.3812597606156487</c:v>
                </c:pt>
                <c:pt idx="1879">
                  <c:v>-0.38493426472996362</c:v>
                </c:pt>
                <c:pt idx="1880">
                  <c:v>-0.38862503788550384</c:v>
                </c:pt>
                <c:pt idx="1881">
                  <c:v>-0.39233231291291304</c:v>
                </c:pt>
                <c:pt idx="1882">
                  <c:v>-0.39605597339686938</c:v>
                </c:pt>
                <c:pt idx="1883">
                  <c:v>-0.39979610664886422</c:v>
                </c:pt>
                <c:pt idx="1884">
                  <c:v>-0.40355268356506713</c:v>
                </c:pt>
                <c:pt idx="1885">
                  <c:v>-0.40732593697612174</c:v>
                </c:pt>
                <c:pt idx="1886">
                  <c:v>-0.41111575046670623</c:v>
                </c:pt>
                <c:pt idx="1887">
                  <c:v>-0.4149223277636338</c:v>
                </c:pt>
                <c:pt idx="1888">
                  <c:v>-0.41874561065924354</c:v>
                </c:pt>
                <c:pt idx="1889">
                  <c:v>-0.42258568646502681</c:v>
                </c:pt>
                <c:pt idx="1890">
                  <c:v>-0.42644258428481407</c:v>
                </c:pt>
                <c:pt idx="1891">
                  <c:v>-0.4303163914300967</c:v>
                </c:pt>
                <c:pt idx="1892">
                  <c:v>-0.43420722431619652</c:v>
                </c:pt>
                <c:pt idx="1893">
                  <c:v>-0.43811496652779169</c:v>
                </c:pt>
                <c:pt idx="1894">
                  <c:v>-0.44203987999935634</c:v>
                </c:pt>
                <c:pt idx="1895">
                  <c:v>-0.44598184831556864</c:v>
                </c:pt>
                <c:pt idx="1896">
                  <c:v>-0.44994098789175041</c:v>
                </c:pt>
                <c:pt idx="1897">
                  <c:v>-0.45391747335088439</c:v>
                </c:pt>
                <c:pt idx="1898">
                  <c:v>-0.45791104275849648</c:v>
                </c:pt>
                <c:pt idx="1899">
                  <c:v>-0.46192213267204352</c:v>
                </c:pt>
                <c:pt idx="1900">
                  <c:v>-0.46595059757237323</c:v>
                </c:pt>
                <c:pt idx="1901">
                  <c:v>-0.46999646656331606</c:v>
                </c:pt>
                <c:pt idx="1902">
                  <c:v>-0.47405988516402431</c:v>
                </c:pt>
                <c:pt idx="1903">
                  <c:v>-0.47814085337449796</c:v>
                </c:pt>
                <c:pt idx="1904">
                  <c:v>-0.4822394585062284</c:v>
                </c:pt>
                <c:pt idx="1905">
                  <c:v>-0.48635570055921562</c:v>
                </c:pt>
                <c:pt idx="1906">
                  <c:v>-0.49048975415644236</c:v>
                </c:pt>
                <c:pt idx="1907">
                  <c:v>-0.49464150288258679</c:v>
                </c:pt>
                <c:pt idx="1908">
                  <c:v>-0.49881115046446212</c:v>
                </c:pt>
                <c:pt idx="1909">
                  <c:v>-0.50299863869440742</c:v>
                </c:pt>
                <c:pt idx="1910">
                  <c:v>-0.5072041712992359</c:v>
                </c:pt>
                <c:pt idx="1911">
                  <c:v>-0.51142774827894755</c:v>
                </c:pt>
                <c:pt idx="1912">
                  <c:v>-0.51566931142588146</c:v>
                </c:pt>
                <c:pt idx="1913">
                  <c:v>-0.51992906446685083</c:v>
                </c:pt>
                <c:pt idx="1914">
                  <c:v>-0.52420697829802521</c:v>
                </c:pt>
                <c:pt idx="1915">
                  <c:v>-0.52850314023089595</c:v>
                </c:pt>
                <c:pt idx="1916">
                  <c:v>-0.53281757936929353</c:v>
                </c:pt>
                <c:pt idx="1917">
                  <c:v>-0.53715041212853976</c:v>
                </c:pt>
                <c:pt idx="1918">
                  <c:v>-0.54150169671629556</c:v>
                </c:pt>
                <c:pt idx="1919">
                  <c:v>-0.54587137492490001</c:v>
                </c:pt>
                <c:pt idx="1920">
                  <c:v>-0.5502595922735054</c:v>
                </c:pt>
                <c:pt idx="1921">
                  <c:v>-0.55466643607360311</c:v>
                </c:pt>
                <c:pt idx="1922">
                  <c:v>-0.55909196453285404</c:v>
                </c:pt>
                <c:pt idx="1923">
                  <c:v>-0.56353611944359727</c:v>
                </c:pt>
                <c:pt idx="1924">
                  <c:v>-0.56799913363647647</c:v>
                </c:pt>
                <c:pt idx="1925">
                  <c:v>-0.57248089069616981</c:v>
                </c:pt>
                <c:pt idx="1926">
                  <c:v>-0.57698159434949048</c:v>
                </c:pt>
                <c:pt idx="1927">
                  <c:v>-0.58150121549260803</c:v>
                </c:pt>
                <c:pt idx="1928">
                  <c:v>-0.58603975412552245</c:v>
                </c:pt>
                <c:pt idx="1929">
                  <c:v>-0.59059747218270786</c:v>
                </c:pt>
                <c:pt idx="1930">
                  <c:v>-0.59517419504118152</c:v>
                </c:pt>
                <c:pt idx="1931">
                  <c:v>-0.59977012642775662</c:v>
                </c:pt>
                <c:pt idx="1932">
                  <c:v>-0.60438535365392454</c:v>
                </c:pt>
                <c:pt idx="1933">
                  <c:v>-0.60901981851202436</c:v>
                </c:pt>
                <c:pt idx="1934">
                  <c:v>-0.6136736374173779</c:v>
                </c:pt>
                <c:pt idx="1935">
                  <c:v>-0.61834686857764609</c:v>
                </c:pt>
                <c:pt idx="1936">
                  <c:v>-0.6230396575119812</c:v>
                </c:pt>
                <c:pt idx="1937">
                  <c:v>-0.62775191690889187</c:v>
                </c:pt>
                <c:pt idx="1938">
                  <c:v>-0.63248367587220855</c:v>
                </c:pt>
                <c:pt idx="1939">
                  <c:v>-0.6372351672325749</c:v>
                </c:pt>
                <c:pt idx="1940">
                  <c:v>-0.6420063909899909</c:v>
                </c:pt>
                <c:pt idx="1941">
                  <c:v>-0.64679737624828704</c:v>
                </c:pt>
                <c:pt idx="1942">
                  <c:v>-0.65160821031895466</c:v>
                </c:pt>
                <c:pt idx="1943">
                  <c:v>-0.65643892230582424</c:v>
                </c:pt>
                <c:pt idx="1944">
                  <c:v>-0.66128954131272621</c:v>
                </c:pt>
                <c:pt idx="1945">
                  <c:v>-0.66616018375498243</c:v>
                </c:pt>
                <c:pt idx="1946">
                  <c:v>-0.6710509660479147</c:v>
                </c:pt>
                <c:pt idx="1947">
                  <c:v>-0.67596180088003166</c:v>
                </c:pt>
                <c:pt idx="1948">
                  <c:v>-0.68089283377048559</c:v>
                </c:pt>
                <c:pt idx="1949">
                  <c:v>-0.68584418113459833</c:v>
                </c:pt>
                <c:pt idx="1950">
                  <c:v>-0.69081584297236986</c:v>
                </c:pt>
                <c:pt idx="1951">
                  <c:v>-0.69580793569912203</c:v>
                </c:pt>
                <c:pt idx="1952">
                  <c:v>-0.70082037200336345</c:v>
                </c:pt>
                <c:pt idx="1953">
                  <c:v>-0.70585335561190732</c:v>
                </c:pt>
                <c:pt idx="1954">
                  <c:v>-0.71090679921326227</c:v>
                </c:pt>
                <c:pt idx="1955">
                  <c:v>-0.71598102294956334</c:v>
                </c:pt>
                <c:pt idx="1956">
                  <c:v>-0.72107585219782777</c:v>
                </c:pt>
                <c:pt idx="1957">
                  <c:v>-0.72619149068486877</c:v>
                </c:pt>
                <c:pt idx="1958">
                  <c:v>-0.73132790930685587</c:v>
                </c:pt>
                <c:pt idx="1959">
                  <c:v>-0.73648513716761954</c:v>
                </c:pt>
                <c:pt idx="1960">
                  <c:v>-0.74166337799397297</c:v>
                </c:pt>
                <c:pt idx="1961">
                  <c:v>-0.74686257357825525</c:v>
                </c:pt>
                <c:pt idx="1962">
                  <c:v>-0.75208281123195775</c:v>
                </c:pt>
                <c:pt idx="1963">
                  <c:v>-0.75732432378572412</c:v>
                </c:pt>
                <c:pt idx="1964">
                  <c:v>-0.76258690751274116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926624"/>
        <c:axId val="1795930976"/>
      </c:scatterChart>
      <c:valAx>
        <c:axId val="179592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930976"/>
        <c:crosses val="autoZero"/>
        <c:crossBetween val="midCat"/>
      </c:valAx>
      <c:valAx>
        <c:axId val="179593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92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55736011531654"/>
          <c:y val="0.1253569752925594"/>
          <c:w val="0.84478432145892313"/>
          <c:h val="0.8374651673815265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Data'!$O$9:$O$1973</c:f>
              <c:numCache>
                <c:formatCode>General</c:formatCode>
                <c:ptCount val="1965"/>
                <c:pt idx="0">
                  <c:v>31007</c:v>
                </c:pt>
                <c:pt idx="1">
                  <c:v>31008</c:v>
                </c:pt>
                <c:pt idx="2">
                  <c:v>31009</c:v>
                </c:pt>
                <c:pt idx="3">
                  <c:v>31010</c:v>
                </c:pt>
                <c:pt idx="4">
                  <c:v>31011</c:v>
                </c:pt>
                <c:pt idx="5">
                  <c:v>31012</c:v>
                </c:pt>
                <c:pt idx="6">
                  <c:v>31013</c:v>
                </c:pt>
                <c:pt idx="7">
                  <c:v>31014</c:v>
                </c:pt>
                <c:pt idx="8">
                  <c:v>31015</c:v>
                </c:pt>
                <c:pt idx="9">
                  <c:v>31016</c:v>
                </c:pt>
                <c:pt idx="10">
                  <c:v>31017</c:v>
                </c:pt>
                <c:pt idx="11">
                  <c:v>31018</c:v>
                </c:pt>
                <c:pt idx="12">
                  <c:v>31019</c:v>
                </c:pt>
                <c:pt idx="13">
                  <c:v>31020</c:v>
                </c:pt>
                <c:pt idx="14">
                  <c:v>31021</c:v>
                </c:pt>
                <c:pt idx="15">
                  <c:v>31022</c:v>
                </c:pt>
                <c:pt idx="16">
                  <c:v>31023</c:v>
                </c:pt>
                <c:pt idx="17">
                  <c:v>31024</c:v>
                </c:pt>
                <c:pt idx="18">
                  <c:v>31025</c:v>
                </c:pt>
                <c:pt idx="19">
                  <c:v>31026</c:v>
                </c:pt>
                <c:pt idx="20">
                  <c:v>31027</c:v>
                </c:pt>
                <c:pt idx="21">
                  <c:v>31028</c:v>
                </c:pt>
                <c:pt idx="22">
                  <c:v>31029</c:v>
                </c:pt>
                <c:pt idx="23">
                  <c:v>31030</c:v>
                </c:pt>
                <c:pt idx="24">
                  <c:v>31031</c:v>
                </c:pt>
                <c:pt idx="25">
                  <c:v>31032</c:v>
                </c:pt>
                <c:pt idx="26">
                  <c:v>31033</c:v>
                </c:pt>
                <c:pt idx="27">
                  <c:v>31034</c:v>
                </c:pt>
                <c:pt idx="28">
                  <c:v>31035</c:v>
                </c:pt>
                <c:pt idx="29">
                  <c:v>31036</c:v>
                </c:pt>
                <c:pt idx="30">
                  <c:v>31037</c:v>
                </c:pt>
                <c:pt idx="31">
                  <c:v>31038</c:v>
                </c:pt>
                <c:pt idx="32">
                  <c:v>31039</c:v>
                </c:pt>
                <c:pt idx="33">
                  <c:v>31040</c:v>
                </c:pt>
                <c:pt idx="34">
                  <c:v>31041</c:v>
                </c:pt>
                <c:pt idx="35">
                  <c:v>31042</c:v>
                </c:pt>
                <c:pt idx="36">
                  <c:v>31043</c:v>
                </c:pt>
                <c:pt idx="37">
                  <c:v>31044</c:v>
                </c:pt>
                <c:pt idx="38">
                  <c:v>31045</c:v>
                </c:pt>
                <c:pt idx="39">
                  <c:v>31046</c:v>
                </c:pt>
                <c:pt idx="40">
                  <c:v>31047</c:v>
                </c:pt>
                <c:pt idx="41">
                  <c:v>31048</c:v>
                </c:pt>
                <c:pt idx="42">
                  <c:v>31049</c:v>
                </c:pt>
                <c:pt idx="43">
                  <c:v>31050</c:v>
                </c:pt>
                <c:pt idx="44">
                  <c:v>31051</c:v>
                </c:pt>
                <c:pt idx="45">
                  <c:v>31052</c:v>
                </c:pt>
                <c:pt idx="46">
                  <c:v>31053</c:v>
                </c:pt>
                <c:pt idx="47">
                  <c:v>31054</c:v>
                </c:pt>
                <c:pt idx="48">
                  <c:v>31055</c:v>
                </c:pt>
                <c:pt idx="49">
                  <c:v>31056</c:v>
                </c:pt>
                <c:pt idx="50">
                  <c:v>31057</c:v>
                </c:pt>
                <c:pt idx="51">
                  <c:v>31058</c:v>
                </c:pt>
                <c:pt idx="52">
                  <c:v>31059</c:v>
                </c:pt>
                <c:pt idx="53">
                  <c:v>31060</c:v>
                </c:pt>
                <c:pt idx="54">
                  <c:v>31061</c:v>
                </c:pt>
                <c:pt idx="55">
                  <c:v>31062</c:v>
                </c:pt>
                <c:pt idx="56">
                  <c:v>31063</c:v>
                </c:pt>
                <c:pt idx="57">
                  <c:v>31064</c:v>
                </c:pt>
                <c:pt idx="58">
                  <c:v>31065</c:v>
                </c:pt>
                <c:pt idx="59">
                  <c:v>31066</c:v>
                </c:pt>
                <c:pt idx="60">
                  <c:v>31067</c:v>
                </c:pt>
                <c:pt idx="61">
                  <c:v>31068</c:v>
                </c:pt>
                <c:pt idx="62">
                  <c:v>31069</c:v>
                </c:pt>
                <c:pt idx="63">
                  <c:v>31070</c:v>
                </c:pt>
                <c:pt idx="64">
                  <c:v>31071</c:v>
                </c:pt>
                <c:pt idx="65">
                  <c:v>31072</c:v>
                </c:pt>
                <c:pt idx="66">
                  <c:v>31073</c:v>
                </c:pt>
                <c:pt idx="67">
                  <c:v>31074</c:v>
                </c:pt>
                <c:pt idx="68">
                  <c:v>31075</c:v>
                </c:pt>
                <c:pt idx="69">
                  <c:v>31076</c:v>
                </c:pt>
                <c:pt idx="70">
                  <c:v>31077</c:v>
                </c:pt>
                <c:pt idx="71">
                  <c:v>31078</c:v>
                </c:pt>
                <c:pt idx="72">
                  <c:v>31079</c:v>
                </c:pt>
                <c:pt idx="73">
                  <c:v>31080</c:v>
                </c:pt>
                <c:pt idx="74">
                  <c:v>31081</c:v>
                </c:pt>
                <c:pt idx="75">
                  <c:v>31082</c:v>
                </c:pt>
                <c:pt idx="76">
                  <c:v>31083</c:v>
                </c:pt>
                <c:pt idx="77">
                  <c:v>31084</c:v>
                </c:pt>
                <c:pt idx="78">
                  <c:v>31085</c:v>
                </c:pt>
                <c:pt idx="79">
                  <c:v>31086</c:v>
                </c:pt>
                <c:pt idx="80">
                  <c:v>31087</c:v>
                </c:pt>
                <c:pt idx="81">
                  <c:v>31088</c:v>
                </c:pt>
                <c:pt idx="82">
                  <c:v>31089</c:v>
                </c:pt>
                <c:pt idx="83">
                  <c:v>31090</c:v>
                </c:pt>
                <c:pt idx="84">
                  <c:v>31091</c:v>
                </c:pt>
                <c:pt idx="85">
                  <c:v>31092</c:v>
                </c:pt>
                <c:pt idx="86">
                  <c:v>31093</c:v>
                </c:pt>
                <c:pt idx="87">
                  <c:v>31094</c:v>
                </c:pt>
                <c:pt idx="88">
                  <c:v>31095</c:v>
                </c:pt>
                <c:pt idx="89">
                  <c:v>31096</c:v>
                </c:pt>
                <c:pt idx="90">
                  <c:v>31097</c:v>
                </c:pt>
                <c:pt idx="91">
                  <c:v>31098</c:v>
                </c:pt>
                <c:pt idx="92">
                  <c:v>31099</c:v>
                </c:pt>
                <c:pt idx="93">
                  <c:v>31100</c:v>
                </c:pt>
                <c:pt idx="94">
                  <c:v>31101</c:v>
                </c:pt>
                <c:pt idx="95">
                  <c:v>31102</c:v>
                </c:pt>
                <c:pt idx="96">
                  <c:v>31103</c:v>
                </c:pt>
                <c:pt idx="97">
                  <c:v>31104</c:v>
                </c:pt>
                <c:pt idx="98">
                  <c:v>31105</c:v>
                </c:pt>
                <c:pt idx="99">
                  <c:v>31106</c:v>
                </c:pt>
                <c:pt idx="100">
                  <c:v>31107</c:v>
                </c:pt>
                <c:pt idx="101">
                  <c:v>31108</c:v>
                </c:pt>
                <c:pt idx="102">
                  <c:v>31109</c:v>
                </c:pt>
                <c:pt idx="103">
                  <c:v>31110</c:v>
                </c:pt>
                <c:pt idx="104">
                  <c:v>31111</c:v>
                </c:pt>
                <c:pt idx="105">
                  <c:v>31112</c:v>
                </c:pt>
                <c:pt idx="106">
                  <c:v>31113</c:v>
                </c:pt>
                <c:pt idx="107">
                  <c:v>31114</c:v>
                </c:pt>
                <c:pt idx="108">
                  <c:v>31115</c:v>
                </c:pt>
                <c:pt idx="109">
                  <c:v>31116</c:v>
                </c:pt>
                <c:pt idx="110">
                  <c:v>31117</c:v>
                </c:pt>
                <c:pt idx="111">
                  <c:v>31118</c:v>
                </c:pt>
                <c:pt idx="112">
                  <c:v>31119</c:v>
                </c:pt>
                <c:pt idx="113">
                  <c:v>31120</c:v>
                </c:pt>
                <c:pt idx="114">
                  <c:v>31121</c:v>
                </c:pt>
                <c:pt idx="115">
                  <c:v>31122</c:v>
                </c:pt>
                <c:pt idx="116">
                  <c:v>31123</c:v>
                </c:pt>
                <c:pt idx="117">
                  <c:v>31124</c:v>
                </c:pt>
                <c:pt idx="118">
                  <c:v>31125</c:v>
                </c:pt>
                <c:pt idx="119">
                  <c:v>31126</c:v>
                </c:pt>
                <c:pt idx="120">
                  <c:v>31127</c:v>
                </c:pt>
                <c:pt idx="121">
                  <c:v>31128</c:v>
                </c:pt>
                <c:pt idx="122">
                  <c:v>31129</c:v>
                </c:pt>
                <c:pt idx="123">
                  <c:v>31130</c:v>
                </c:pt>
                <c:pt idx="124">
                  <c:v>31131</c:v>
                </c:pt>
                <c:pt idx="125">
                  <c:v>31132</c:v>
                </c:pt>
                <c:pt idx="126">
                  <c:v>31133</c:v>
                </c:pt>
                <c:pt idx="127">
                  <c:v>31134</c:v>
                </c:pt>
                <c:pt idx="128">
                  <c:v>31135</c:v>
                </c:pt>
                <c:pt idx="129">
                  <c:v>31136</c:v>
                </c:pt>
                <c:pt idx="130">
                  <c:v>31137</c:v>
                </c:pt>
                <c:pt idx="131">
                  <c:v>31138</c:v>
                </c:pt>
                <c:pt idx="132">
                  <c:v>31139</c:v>
                </c:pt>
                <c:pt idx="133">
                  <c:v>31140</c:v>
                </c:pt>
                <c:pt idx="134">
                  <c:v>31141</c:v>
                </c:pt>
                <c:pt idx="135">
                  <c:v>31142</c:v>
                </c:pt>
                <c:pt idx="136">
                  <c:v>31143</c:v>
                </c:pt>
                <c:pt idx="137">
                  <c:v>31144</c:v>
                </c:pt>
                <c:pt idx="138">
                  <c:v>31145</c:v>
                </c:pt>
                <c:pt idx="139">
                  <c:v>31146</c:v>
                </c:pt>
                <c:pt idx="140">
                  <c:v>31147</c:v>
                </c:pt>
                <c:pt idx="141">
                  <c:v>31148</c:v>
                </c:pt>
                <c:pt idx="142">
                  <c:v>31149</c:v>
                </c:pt>
                <c:pt idx="143">
                  <c:v>31150</c:v>
                </c:pt>
                <c:pt idx="144">
                  <c:v>31151</c:v>
                </c:pt>
                <c:pt idx="145">
                  <c:v>31152</c:v>
                </c:pt>
                <c:pt idx="146">
                  <c:v>31153</c:v>
                </c:pt>
                <c:pt idx="147">
                  <c:v>31154</c:v>
                </c:pt>
                <c:pt idx="148">
                  <c:v>31155</c:v>
                </c:pt>
                <c:pt idx="149">
                  <c:v>31156</c:v>
                </c:pt>
                <c:pt idx="150">
                  <c:v>31157</c:v>
                </c:pt>
                <c:pt idx="151">
                  <c:v>31158</c:v>
                </c:pt>
                <c:pt idx="152">
                  <c:v>31159</c:v>
                </c:pt>
                <c:pt idx="153">
                  <c:v>31160</c:v>
                </c:pt>
                <c:pt idx="154">
                  <c:v>31161</c:v>
                </c:pt>
                <c:pt idx="155">
                  <c:v>31162</c:v>
                </c:pt>
                <c:pt idx="156">
                  <c:v>31163</c:v>
                </c:pt>
                <c:pt idx="157">
                  <c:v>31164</c:v>
                </c:pt>
                <c:pt idx="158">
                  <c:v>31165</c:v>
                </c:pt>
                <c:pt idx="159">
                  <c:v>31166</c:v>
                </c:pt>
                <c:pt idx="160">
                  <c:v>31167</c:v>
                </c:pt>
                <c:pt idx="161">
                  <c:v>31168</c:v>
                </c:pt>
                <c:pt idx="162">
                  <c:v>31169</c:v>
                </c:pt>
                <c:pt idx="163">
                  <c:v>31170</c:v>
                </c:pt>
                <c:pt idx="164">
                  <c:v>31171</c:v>
                </c:pt>
                <c:pt idx="165">
                  <c:v>31172</c:v>
                </c:pt>
                <c:pt idx="166">
                  <c:v>31173</c:v>
                </c:pt>
                <c:pt idx="167">
                  <c:v>31174</c:v>
                </c:pt>
                <c:pt idx="168">
                  <c:v>31175</c:v>
                </c:pt>
                <c:pt idx="169">
                  <c:v>31176</c:v>
                </c:pt>
                <c:pt idx="170">
                  <c:v>31177</c:v>
                </c:pt>
                <c:pt idx="171">
                  <c:v>31178</c:v>
                </c:pt>
                <c:pt idx="172">
                  <c:v>31179</c:v>
                </c:pt>
                <c:pt idx="173">
                  <c:v>31180</c:v>
                </c:pt>
                <c:pt idx="174">
                  <c:v>31181</c:v>
                </c:pt>
                <c:pt idx="175">
                  <c:v>31182</c:v>
                </c:pt>
                <c:pt idx="176">
                  <c:v>31183</c:v>
                </c:pt>
                <c:pt idx="177">
                  <c:v>31184</c:v>
                </c:pt>
                <c:pt idx="178">
                  <c:v>31185</c:v>
                </c:pt>
                <c:pt idx="179">
                  <c:v>31186</c:v>
                </c:pt>
                <c:pt idx="180">
                  <c:v>31187</c:v>
                </c:pt>
                <c:pt idx="181">
                  <c:v>31188</c:v>
                </c:pt>
                <c:pt idx="182">
                  <c:v>31189</c:v>
                </c:pt>
                <c:pt idx="183">
                  <c:v>31190</c:v>
                </c:pt>
                <c:pt idx="184">
                  <c:v>31191</c:v>
                </c:pt>
                <c:pt idx="185">
                  <c:v>31192</c:v>
                </c:pt>
                <c:pt idx="186">
                  <c:v>31193</c:v>
                </c:pt>
                <c:pt idx="187">
                  <c:v>31194</c:v>
                </c:pt>
                <c:pt idx="188">
                  <c:v>31195</c:v>
                </c:pt>
                <c:pt idx="189">
                  <c:v>31196</c:v>
                </c:pt>
                <c:pt idx="190">
                  <c:v>31197</c:v>
                </c:pt>
                <c:pt idx="191">
                  <c:v>31198</c:v>
                </c:pt>
                <c:pt idx="192">
                  <c:v>31199</c:v>
                </c:pt>
                <c:pt idx="193">
                  <c:v>31200</c:v>
                </c:pt>
                <c:pt idx="194">
                  <c:v>31201</c:v>
                </c:pt>
                <c:pt idx="195">
                  <c:v>31202</c:v>
                </c:pt>
                <c:pt idx="196">
                  <c:v>31203</c:v>
                </c:pt>
                <c:pt idx="197">
                  <c:v>31204</c:v>
                </c:pt>
                <c:pt idx="198">
                  <c:v>31205</c:v>
                </c:pt>
                <c:pt idx="199">
                  <c:v>31206</c:v>
                </c:pt>
                <c:pt idx="200">
                  <c:v>31207</c:v>
                </c:pt>
                <c:pt idx="201">
                  <c:v>31208</c:v>
                </c:pt>
                <c:pt idx="202">
                  <c:v>31209</c:v>
                </c:pt>
                <c:pt idx="203">
                  <c:v>31210</c:v>
                </c:pt>
                <c:pt idx="204">
                  <c:v>31211</c:v>
                </c:pt>
                <c:pt idx="205">
                  <c:v>31212</c:v>
                </c:pt>
                <c:pt idx="206">
                  <c:v>31213</c:v>
                </c:pt>
                <c:pt idx="207">
                  <c:v>31214</c:v>
                </c:pt>
                <c:pt idx="208">
                  <c:v>31215</c:v>
                </c:pt>
                <c:pt idx="209">
                  <c:v>31216</c:v>
                </c:pt>
                <c:pt idx="210">
                  <c:v>31217</c:v>
                </c:pt>
                <c:pt idx="211">
                  <c:v>31218</c:v>
                </c:pt>
                <c:pt idx="212">
                  <c:v>31219</c:v>
                </c:pt>
                <c:pt idx="213">
                  <c:v>31220</c:v>
                </c:pt>
                <c:pt idx="214">
                  <c:v>31221</c:v>
                </c:pt>
                <c:pt idx="215">
                  <c:v>31222</c:v>
                </c:pt>
                <c:pt idx="216">
                  <c:v>31223</c:v>
                </c:pt>
                <c:pt idx="217">
                  <c:v>31224</c:v>
                </c:pt>
                <c:pt idx="218">
                  <c:v>31225</c:v>
                </c:pt>
                <c:pt idx="219">
                  <c:v>31226</c:v>
                </c:pt>
                <c:pt idx="220">
                  <c:v>31227</c:v>
                </c:pt>
                <c:pt idx="221">
                  <c:v>31228</c:v>
                </c:pt>
                <c:pt idx="222">
                  <c:v>31229</c:v>
                </c:pt>
                <c:pt idx="223">
                  <c:v>31230</c:v>
                </c:pt>
                <c:pt idx="224">
                  <c:v>31231</c:v>
                </c:pt>
                <c:pt idx="225">
                  <c:v>31232</c:v>
                </c:pt>
                <c:pt idx="226">
                  <c:v>31233</c:v>
                </c:pt>
                <c:pt idx="227">
                  <c:v>31234</c:v>
                </c:pt>
                <c:pt idx="228">
                  <c:v>31235</c:v>
                </c:pt>
                <c:pt idx="229">
                  <c:v>31236</c:v>
                </c:pt>
                <c:pt idx="230">
                  <c:v>31237</c:v>
                </c:pt>
                <c:pt idx="231">
                  <c:v>31238</c:v>
                </c:pt>
                <c:pt idx="232">
                  <c:v>31239</c:v>
                </c:pt>
                <c:pt idx="233">
                  <c:v>31240</c:v>
                </c:pt>
                <c:pt idx="234">
                  <c:v>31241</c:v>
                </c:pt>
                <c:pt idx="235">
                  <c:v>31242</c:v>
                </c:pt>
                <c:pt idx="236">
                  <c:v>31243</c:v>
                </c:pt>
                <c:pt idx="237">
                  <c:v>31244</c:v>
                </c:pt>
                <c:pt idx="238">
                  <c:v>31245</c:v>
                </c:pt>
                <c:pt idx="239">
                  <c:v>31246</c:v>
                </c:pt>
                <c:pt idx="240">
                  <c:v>31247</c:v>
                </c:pt>
                <c:pt idx="241">
                  <c:v>31248</c:v>
                </c:pt>
                <c:pt idx="242">
                  <c:v>31249</c:v>
                </c:pt>
                <c:pt idx="243">
                  <c:v>31250</c:v>
                </c:pt>
                <c:pt idx="244">
                  <c:v>31251</c:v>
                </c:pt>
                <c:pt idx="245">
                  <c:v>31252</c:v>
                </c:pt>
                <c:pt idx="246">
                  <c:v>31253</c:v>
                </c:pt>
                <c:pt idx="247">
                  <c:v>31254</c:v>
                </c:pt>
                <c:pt idx="248">
                  <c:v>31255</c:v>
                </c:pt>
                <c:pt idx="249">
                  <c:v>31256</c:v>
                </c:pt>
                <c:pt idx="250">
                  <c:v>31257</c:v>
                </c:pt>
                <c:pt idx="251">
                  <c:v>31258</c:v>
                </c:pt>
                <c:pt idx="252">
                  <c:v>31259</c:v>
                </c:pt>
                <c:pt idx="253">
                  <c:v>31260</c:v>
                </c:pt>
                <c:pt idx="254">
                  <c:v>31261</c:v>
                </c:pt>
                <c:pt idx="255">
                  <c:v>31262</c:v>
                </c:pt>
                <c:pt idx="256">
                  <c:v>31263</c:v>
                </c:pt>
                <c:pt idx="257">
                  <c:v>31264</c:v>
                </c:pt>
                <c:pt idx="258">
                  <c:v>31265</c:v>
                </c:pt>
                <c:pt idx="259">
                  <c:v>31266</c:v>
                </c:pt>
                <c:pt idx="260">
                  <c:v>31267</c:v>
                </c:pt>
                <c:pt idx="261">
                  <c:v>31268</c:v>
                </c:pt>
                <c:pt idx="262">
                  <c:v>31269</c:v>
                </c:pt>
                <c:pt idx="263">
                  <c:v>31270</c:v>
                </c:pt>
                <c:pt idx="264">
                  <c:v>31271</c:v>
                </c:pt>
                <c:pt idx="265">
                  <c:v>31272</c:v>
                </c:pt>
                <c:pt idx="266">
                  <c:v>31273</c:v>
                </c:pt>
                <c:pt idx="267">
                  <c:v>31274</c:v>
                </c:pt>
                <c:pt idx="268">
                  <c:v>31275</c:v>
                </c:pt>
                <c:pt idx="269">
                  <c:v>31276</c:v>
                </c:pt>
                <c:pt idx="270">
                  <c:v>31277</c:v>
                </c:pt>
                <c:pt idx="271">
                  <c:v>31278</c:v>
                </c:pt>
                <c:pt idx="272">
                  <c:v>31279</c:v>
                </c:pt>
                <c:pt idx="273">
                  <c:v>31280</c:v>
                </c:pt>
                <c:pt idx="274">
                  <c:v>31281</c:v>
                </c:pt>
                <c:pt idx="275">
                  <c:v>31282</c:v>
                </c:pt>
                <c:pt idx="276">
                  <c:v>31283</c:v>
                </c:pt>
                <c:pt idx="277">
                  <c:v>31284</c:v>
                </c:pt>
                <c:pt idx="278">
                  <c:v>31285</c:v>
                </c:pt>
                <c:pt idx="279">
                  <c:v>31286</c:v>
                </c:pt>
                <c:pt idx="280">
                  <c:v>31287</c:v>
                </c:pt>
                <c:pt idx="281">
                  <c:v>31288</c:v>
                </c:pt>
                <c:pt idx="282">
                  <c:v>31289</c:v>
                </c:pt>
                <c:pt idx="283">
                  <c:v>31290</c:v>
                </c:pt>
                <c:pt idx="284">
                  <c:v>31291</c:v>
                </c:pt>
                <c:pt idx="285">
                  <c:v>31292</c:v>
                </c:pt>
                <c:pt idx="286">
                  <c:v>31293</c:v>
                </c:pt>
                <c:pt idx="287">
                  <c:v>31294</c:v>
                </c:pt>
                <c:pt idx="288">
                  <c:v>31295</c:v>
                </c:pt>
                <c:pt idx="289">
                  <c:v>31296</c:v>
                </c:pt>
                <c:pt idx="290">
                  <c:v>31297</c:v>
                </c:pt>
                <c:pt idx="291">
                  <c:v>31298</c:v>
                </c:pt>
                <c:pt idx="292">
                  <c:v>31299</c:v>
                </c:pt>
                <c:pt idx="293">
                  <c:v>31300</c:v>
                </c:pt>
                <c:pt idx="294">
                  <c:v>31301</c:v>
                </c:pt>
                <c:pt idx="295">
                  <c:v>31302</c:v>
                </c:pt>
                <c:pt idx="296">
                  <c:v>31303</c:v>
                </c:pt>
                <c:pt idx="297">
                  <c:v>31304</c:v>
                </c:pt>
                <c:pt idx="298">
                  <c:v>31305</c:v>
                </c:pt>
                <c:pt idx="299">
                  <c:v>31306</c:v>
                </c:pt>
                <c:pt idx="300">
                  <c:v>31307</c:v>
                </c:pt>
                <c:pt idx="301">
                  <c:v>31308</c:v>
                </c:pt>
                <c:pt idx="302">
                  <c:v>31309</c:v>
                </c:pt>
                <c:pt idx="303">
                  <c:v>31310</c:v>
                </c:pt>
                <c:pt idx="304">
                  <c:v>31311</c:v>
                </c:pt>
                <c:pt idx="305">
                  <c:v>31312</c:v>
                </c:pt>
                <c:pt idx="306">
                  <c:v>31313</c:v>
                </c:pt>
                <c:pt idx="307">
                  <c:v>31314</c:v>
                </c:pt>
                <c:pt idx="308">
                  <c:v>31315</c:v>
                </c:pt>
                <c:pt idx="309">
                  <c:v>31316</c:v>
                </c:pt>
                <c:pt idx="310">
                  <c:v>31317</c:v>
                </c:pt>
                <c:pt idx="311">
                  <c:v>31318</c:v>
                </c:pt>
                <c:pt idx="312">
                  <c:v>31319</c:v>
                </c:pt>
                <c:pt idx="313">
                  <c:v>31320</c:v>
                </c:pt>
                <c:pt idx="314">
                  <c:v>31321</c:v>
                </c:pt>
                <c:pt idx="315">
                  <c:v>31322</c:v>
                </c:pt>
                <c:pt idx="316">
                  <c:v>31323</c:v>
                </c:pt>
                <c:pt idx="317">
                  <c:v>31324</c:v>
                </c:pt>
                <c:pt idx="318">
                  <c:v>31325</c:v>
                </c:pt>
                <c:pt idx="319">
                  <c:v>31326</c:v>
                </c:pt>
                <c:pt idx="320">
                  <c:v>31327</c:v>
                </c:pt>
                <c:pt idx="321">
                  <c:v>31328</c:v>
                </c:pt>
                <c:pt idx="322">
                  <c:v>31329</c:v>
                </c:pt>
                <c:pt idx="323">
                  <c:v>31330</c:v>
                </c:pt>
                <c:pt idx="324">
                  <c:v>31331</c:v>
                </c:pt>
                <c:pt idx="325">
                  <c:v>31332</c:v>
                </c:pt>
                <c:pt idx="326">
                  <c:v>31333</c:v>
                </c:pt>
                <c:pt idx="327">
                  <c:v>31334</c:v>
                </c:pt>
                <c:pt idx="328">
                  <c:v>31335</c:v>
                </c:pt>
                <c:pt idx="329">
                  <c:v>31336</c:v>
                </c:pt>
                <c:pt idx="330">
                  <c:v>31337</c:v>
                </c:pt>
                <c:pt idx="331">
                  <c:v>31338</c:v>
                </c:pt>
                <c:pt idx="332">
                  <c:v>31339</c:v>
                </c:pt>
                <c:pt idx="333">
                  <c:v>31340</c:v>
                </c:pt>
                <c:pt idx="334">
                  <c:v>31341</c:v>
                </c:pt>
                <c:pt idx="335">
                  <c:v>31342</c:v>
                </c:pt>
                <c:pt idx="336">
                  <c:v>31343</c:v>
                </c:pt>
                <c:pt idx="337">
                  <c:v>31344</c:v>
                </c:pt>
                <c:pt idx="338">
                  <c:v>31345</c:v>
                </c:pt>
                <c:pt idx="339">
                  <c:v>31346</c:v>
                </c:pt>
                <c:pt idx="340">
                  <c:v>31347</c:v>
                </c:pt>
                <c:pt idx="341">
                  <c:v>31348</c:v>
                </c:pt>
                <c:pt idx="342">
                  <c:v>31349</c:v>
                </c:pt>
                <c:pt idx="343">
                  <c:v>31350</c:v>
                </c:pt>
                <c:pt idx="344">
                  <c:v>31351</c:v>
                </c:pt>
                <c:pt idx="345">
                  <c:v>31352</c:v>
                </c:pt>
                <c:pt idx="346">
                  <c:v>31353</c:v>
                </c:pt>
                <c:pt idx="347">
                  <c:v>31354</c:v>
                </c:pt>
                <c:pt idx="348">
                  <c:v>31355</c:v>
                </c:pt>
                <c:pt idx="349">
                  <c:v>31356</c:v>
                </c:pt>
                <c:pt idx="350">
                  <c:v>31357</c:v>
                </c:pt>
                <c:pt idx="351">
                  <c:v>31358</c:v>
                </c:pt>
                <c:pt idx="352">
                  <c:v>31359</c:v>
                </c:pt>
                <c:pt idx="353">
                  <c:v>31360</c:v>
                </c:pt>
                <c:pt idx="354">
                  <c:v>31361</c:v>
                </c:pt>
                <c:pt idx="355">
                  <c:v>31362</c:v>
                </c:pt>
                <c:pt idx="356">
                  <c:v>31363</c:v>
                </c:pt>
                <c:pt idx="357">
                  <c:v>31364</c:v>
                </c:pt>
                <c:pt idx="358">
                  <c:v>31365</c:v>
                </c:pt>
                <c:pt idx="359">
                  <c:v>31366</c:v>
                </c:pt>
                <c:pt idx="360">
                  <c:v>31367</c:v>
                </c:pt>
                <c:pt idx="361">
                  <c:v>31368</c:v>
                </c:pt>
                <c:pt idx="362">
                  <c:v>31369</c:v>
                </c:pt>
                <c:pt idx="363">
                  <c:v>31370</c:v>
                </c:pt>
                <c:pt idx="364">
                  <c:v>31371</c:v>
                </c:pt>
                <c:pt idx="365">
                  <c:v>31372</c:v>
                </c:pt>
                <c:pt idx="366">
                  <c:v>31373</c:v>
                </c:pt>
                <c:pt idx="367">
                  <c:v>31374</c:v>
                </c:pt>
                <c:pt idx="368">
                  <c:v>31375</c:v>
                </c:pt>
                <c:pt idx="369">
                  <c:v>31376</c:v>
                </c:pt>
                <c:pt idx="370">
                  <c:v>31377</c:v>
                </c:pt>
                <c:pt idx="371">
                  <c:v>31378</c:v>
                </c:pt>
                <c:pt idx="372">
                  <c:v>31379</c:v>
                </c:pt>
                <c:pt idx="373">
                  <c:v>31380</c:v>
                </c:pt>
                <c:pt idx="374">
                  <c:v>31381</c:v>
                </c:pt>
                <c:pt idx="375">
                  <c:v>31382</c:v>
                </c:pt>
                <c:pt idx="376">
                  <c:v>31383</c:v>
                </c:pt>
                <c:pt idx="377">
                  <c:v>31384</c:v>
                </c:pt>
                <c:pt idx="378">
                  <c:v>31385</c:v>
                </c:pt>
                <c:pt idx="379">
                  <c:v>31386</c:v>
                </c:pt>
                <c:pt idx="380">
                  <c:v>31387</c:v>
                </c:pt>
                <c:pt idx="381">
                  <c:v>31388</c:v>
                </c:pt>
                <c:pt idx="382">
                  <c:v>31389</c:v>
                </c:pt>
                <c:pt idx="383">
                  <c:v>31390</c:v>
                </c:pt>
                <c:pt idx="384">
                  <c:v>31391</c:v>
                </c:pt>
                <c:pt idx="385">
                  <c:v>31392</c:v>
                </c:pt>
                <c:pt idx="386">
                  <c:v>31393</c:v>
                </c:pt>
                <c:pt idx="387">
                  <c:v>31394</c:v>
                </c:pt>
                <c:pt idx="388">
                  <c:v>31395</c:v>
                </c:pt>
                <c:pt idx="389">
                  <c:v>31396</c:v>
                </c:pt>
                <c:pt idx="390">
                  <c:v>31397</c:v>
                </c:pt>
                <c:pt idx="391">
                  <c:v>31398</c:v>
                </c:pt>
                <c:pt idx="392">
                  <c:v>31399</c:v>
                </c:pt>
                <c:pt idx="393">
                  <c:v>31400</c:v>
                </c:pt>
                <c:pt idx="394">
                  <c:v>31401</c:v>
                </c:pt>
                <c:pt idx="395">
                  <c:v>31402</c:v>
                </c:pt>
                <c:pt idx="396">
                  <c:v>31403</c:v>
                </c:pt>
                <c:pt idx="397">
                  <c:v>31404</c:v>
                </c:pt>
                <c:pt idx="398">
                  <c:v>31405</c:v>
                </c:pt>
                <c:pt idx="399">
                  <c:v>31406</c:v>
                </c:pt>
                <c:pt idx="400">
                  <c:v>31407</c:v>
                </c:pt>
                <c:pt idx="401">
                  <c:v>31408</c:v>
                </c:pt>
                <c:pt idx="402">
                  <c:v>31409</c:v>
                </c:pt>
                <c:pt idx="403">
                  <c:v>31410</c:v>
                </c:pt>
                <c:pt idx="404">
                  <c:v>31411</c:v>
                </c:pt>
                <c:pt idx="405">
                  <c:v>31412</c:v>
                </c:pt>
                <c:pt idx="406">
                  <c:v>31413</c:v>
                </c:pt>
                <c:pt idx="407">
                  <c:v>31414</c:v>
                </c:pt>
                <c:pt idx="408">
                  <c:v>31415</c:v>
                </c:pt>
                <c:pt idx="409">
                  <c:v>31416</c:v>
                </c:pt>
                <c:pt idx="410">
                  <c:v>31417</c:v>
                </c:pt>
                <c:pt idx="411">
                  <c:v>31418</c:v>
                </c:pt>
                <c:pt idx="412">
                  <c:v>31419</c:v>
                </c:pt>
                <c:pt idx="413">
                  <c:v>31420</c:v>
                </c:pt>
                <c:pt idx="414">
                  <c:v>31421</c:v>
                </c:pt>
                <c:pt idx="415">
                  <c:v>31422</c:v>
                </c:pt>
                <c:pt idx="416">
                  <c:v>31423</c:v>
                </c:pt>
                <c:pt idx="417">
                  <c:v>31424</c:v>
                </c:pt>
                <c:pt idx="418">
                  <c:v>31425</c:v>
                </c:pt>
                <c:pt idx="419">
                  <c:v>31426</c:v>
                </c:pt>
                <c:pt idx="420">
                  <c:v>31427</c:v>
                </c:pt>
                <c:pt idx="421">
                  <c:v>31428</c:v>
                </c:pt>
                <c:pt idx="422">
                  <c:v>31429</c:v>
                </c:pt>
                <c:pt idx="423">
                  <c:v>31430</c:v>
                </c:pt>
                <c:pt idx="424">
                  <c:v>31431</c:v>
                </c:pt>
                <c:pt idx="425">
                  <c:v>31432</c:v>
                </c:pt>
                <c:pt idx="426">
                  <c:v>31433</c:v>
                </c:pt>
                <c:pt idx="427">
                  <c:v>31434</c:v>
                </c:pt>
                <c:pt idx="428">
                  <c:v>31435</c:v>
                </c:pt>
                <c:pt idx="429">
                  <c:v>31436</c:v>
                </c:pt>
                <c:pt idx="430">
                  <c:v>31437</c:v>
                </c:pt>
                <c:pt idx="431">
                  <c:v>31438</c:v>
                </c:pt>
                <c:pt idx="432">
                  <c:v>31439</c:v>
                </c:pt>
                <c:pt idx="433">
                  <c:v>31440</c:v>
                </c:pt>
                <c:pt idx="434">
                  <c:v>31441</c:v>
                </c:pt>
                <c:pt idx="435">
                  <c:v>31442</c:v>
                </c:pt>
                <c:pt idx="436">
                  <c:v>31443</c:v>
                </c:pt>
                <c:pt idx="437">
                  <c:v>31444</c:v>
                </c:pt>
                <c:pt idx="438">
                  <c:v>31445</c:v>
                </c:pt>
                <c:pt idx="439">
                  <c:v>31446</c:v>
                </c:pt>
                <c:pt idx="440">
                  <c:v>31447</c:v>
                </c:pt>
                <c:pt idx="441">
                  <c:v>31448</c:v>
                </c:pt>
                <c:pt idx="442">
                  <c:v>31449</c:v>
                </c:pt>
                <c:pt idx="443">
                  <c:v>31450</c:v>
                </c:pt>
                <c:pt idx="444">
                  <c:v>31451</c:v>
                </c:pt>
                <c:pt idx="445">
                  <c:v>31452</c:v>
                </c:pt>
                <c:pt idx="446">
                  <c:v>31453</c:v>
                </c:pt>
                <c:pt idx="447">
                  <c:v>31454</c:v>
                </c:pt>
                <c:pt idx="448">
                  <c:v>31455</c:v>
                </c:pt>
                <c:pt idx="449">
                  <c:v>31456</c:v>
                </c:pt>
                <c:pt idx="450">
                  <c:v>31457</c:v>
                </c:pt>
                <c:pt idx="451">
                  <c:v>31458</c:v>
                </c:pt>
                <c:pt idx="452">
                  <c:v>31459</c:v>
                </c:pt>
                <c:pt idx="453">
                  <c:v>31460</c:v>
                </c:pt>
                <c:pt idx="454">
                  <c:v>31461</c:v>
                </c:pt>
                <c:pt idx="455">
                  <c:v>31462</c:v>
                </c:pt>
                <c:pt idx="456">
                  <c:v>31463</c:v>
                </c:pt>
                <c:pt idx="457">
                  <c:v>31464</c:v>
                </c:pt>
                <c:pt idx="458">
                  <c:v>31465</c:v>
                </c:pt>
                <c:pt idx="459">
                  <c:v>31466</c:v>
                </c:pt>
                <c:pt idx="460">
                  <c:v>31467</c:v>
                </c:pt>
                <c:pt idx="461">
                  <c:v>31468</c:v>
                </c:pt>
                <c:pt idx="462">
                  <c:v>31469</c:v>
                </c:pt>
                <c:pt idx="463">
                  <c:v>31470</c:v>
                </c:pt>
                <c:pt idx="464">
                  <c:v>31471</c:v>
                </c:pt>
                <c:pt idx="465">
                  <c:v>31472</c:v>
                </c:pt>
                <c:pt idx="466">
                  <c:v>31473</c:v>
                </c:pt>
                <c:pt idx="467">
                  <c:v>31474</c:v>
                </c:pt>
                <c:pt idx="468">
                  <c:v>31475</c:v>
                </c:pt>
                <c:pt idx="469">
                  <c:v>31476</c:v>
                </c:pt>
                <c:pt idx="470">
                  <c:v>31477</c:v>
                </c:pt>
                <c:pt idx="471">
                  <c:v>31478</c:v>
                </c:pt>
                <c:pt idx="472">
                  <c:v>31479</c:v>
                </c:pt>
                <c:pt idx="473">
                  <c:v>31480</c:v>
                </c:pt>
                <c:pt idx="474">
                  <c:v>31481</c:v>
                </c:pt>
                <c:pt idx="475">
                  <c:v>31482</c:v>
                </c:pt>
                <c:pt idx="476">
                  <c:v>31483</c:v>
                </c:pt>
                <c:pt idx="477">
                  <c:v>31484</c:v>
                </c:pt>
                <c:pt idx="478">
                  <c:v>31485</c:v>
                </c:pt>
                <c:pt idx="479">
                  <c:v>31486</c:v>
                </c:pt>
                <c:pt idx="480">
                  <c:v>31487</c:v>
                </c:pt>
                <c:pt idx="481">
                  <c:v>31488</c:v>
                </c:pt>
                <c:pt idx="482">
                  <c:v>31489</c:v>
                </c:pt>
                <c:pt idx="483">
                  <c:v>31490</c:v>
                </c:pt>
                <c:pt idx="484">
                  <c:v>31491</c:v>
                </c:pt>
                <c:pt idx="485">
                  <c:v>31492</c:v>
                </c:pt>
                <c:pt idx="486">
                  <c:v>31493</c:v>
                </c:pt>
                <c:pt idx="487">
                  <c:v>31494</c:v>
                </c:pt>
                <c:pt idx="488">
                  <c:v>31495</c:v>
                </c:pt>
                <c:pt idx="489">
                  <c:v>31496</c:v>
                </c:pt>
                <c:pt idx="490">
                  <c:v>31497</c:v>
                </c:pt>
                <c:pt idx="491">
                  <c:v>31498</c:v>
                </c:pt>
                <c:pt idx="492">
                  <c:v>31499</c:v>
                </c:pt>
                <c:pt idx="493">
                  <c:v>31500</c:v>
                </c:pt>
                <c:pt idx="494">
                  <c:v>31501</c:v>
                </c:pt>
                <c:pt idx="495">
                  <c:v>31502</c:v>
                </c:pt>
                <c:pt idx="496">
                  <c:v>31503</c:v>
                </c:pt>
                <c:pt idx="497">
                  <c:v>31504</c:v>
                </c:pt>
                <c:pt idx="498">
                  <c:v>31505</c:v>
                </c:pt>
                <c:pt idx="499">
                  <c:v>31506</c:v>
                </c:pt>
                <c:pt idx="500">
                  <c:v>31507</c:v>
                </c:pt>
                <c:pt idx="501">
                  <c:v>31508</c:v>
                </c:pt>
                <c:pt idx="502">
                  <c:v>31509</c:v>
                </c:pt>
                <c:pt idx="503">
                  <c:v>31510</c:v>
                </c:pt>
                <c:pt idx="504">
                  <c:v>31511</c:v>
                </c:pt>
                <c:pt idx="505">
                  <c:v>31512</c:v>
                </c:pt>
                <c:pt idx="506">
                  <c:v>31513</c:v>
                </c:pt>
                <c:pt idx="507">
                  <c:v>31514</c:v>
                </c:pt>
                <c:pt idx="508">
                  <c:v>31515</c:v>
                </c:pt>
                <c:pt idx="509">
                  <c:v>31516</c:v>
                </c:pt>
                <c:pt idx="510">
                  <c:v>31517</c:v>
                </c:pt>
                <c:pt idx="511">
                  <c:v>31518</c:v>
                </c:pt>
                <c:pt idx="512">
                  <c:v>31519</c:v>
                </c:pt>
                <c:pt idx="513">
                  <c:v>31520</c:v>
                </c:pt>
                <c:pt idx="514">
                  <c:v>31521</c:v>
                </c:pt>
                <c:pt idx="515">
                  <c:v>31522</c:v>
                </c:pt>
                <c:pt idx="516">
                  <c:v>31523</c:v>
                </c:pt>
                <c:pt idx="517">
                  <c:v>31524</c:v>
                </c:pt>
                <c:pt idx="518">
                  <c:v>31525</c:v>
                </c:pt>
                <c:pt idx="519">
                  <c:v>31526</c:v>
                </c:pt>
                <c:pt idx="520">
                  <c:v>31527</c:v>
                </c:pt>
                <c:pt idx="521">
                  <c:v>31528</c:v>
                </c:pt>
                <c:pt idx="522">
                  <c:v>31529</c:v>
                </c:pt>
                <c:pt idx="523">
                  <c:v>31530</c:v>
                </c:pt>
                <c:pt idx="524">
                  <c:v>31531</c:v>
                </c:pt>
                <c:pt idx="525">
                  <c:v>31532</c:v>
                </c:pt>
                <c:pt idx="526">
                  <c:v>31533</c:v>
                </c:pt>
                <c:pt idx="527">
                  <c:v>31534</c:v>
                </c:pt>
                <c:pt idx="528">
                  <c:v>31535</c:v>
                </c:pt>
                <c:pt idx="529">
                  <c:v>31536</c:v>
                </c:pt>
                <c:pt idx="530">
                  <c:v>31537</c:v>
                </c:pt>
                <c:pt idx="531">
                  <c:v>31538</c:v>
                </c:pt>
                <c:pt idx="532">
                  <c:v>31539</c:v>
                </c:pt>
                <c:pt idx="533">
                  <c:v>31540</c:v>
                </c:pt>
                <c:pt idx="534">
                  <c:v>31541</c:v>
                </c:pt>
                <c:pt idx="535">
                  <c:v>31542</c:v>
                </c:pt>
                <c:pt idx="536">
                  <c:v>31543</c:v>
                </c:pt>
                <c:pt idx="537">
                  <c:v>31544</c:v>
                </c:pt>
                <c:pt idx="538">
                  <c:v>31545</c:v>
                </c:pt>
                <c:pt idx="539">
                  <c:v>31546</c:v>
                </c:pt>
                <c:pt idx="540">
                  <c:v>31547</c:v>
                </c:pt>
                <c:pt idx="541">
                  <c:v>31548</c:v>
                </c:pt>
                <c:pt idx="542">
                  <c:v>31549</c:v>
                </c:pt>
                <c:pt idx="543">
                  <c:v>31550</c:v>
                </c:pt>
                <c:pt idx="544">
                  <c:v>31551</c:v>
                </c:pt>
                <c:pt idx="545">
                  <c:v>31552</c:v>
                </c:pt>
                <c:pt idx="546">
                  <c:v>31553</c:v>
                </c:pt>
                <c:pt idx="547">
                  <c:v>31554</c:v>
                </c:pt>
                <c:pt idx="548">
                  <c:v>31555</c:v>
                </c:pt>
                <c:pt idx="549">
                  <c:v>31556</c:v>
                </c:pt>
                <c:pt idx="550">
                  <c:v>31557</c:v>
                </c:pt>
                <c:pt idx="551">
                  <c:v>31558</c:v>
                </c:pt>
                <c:pt idx="552">
                  <c:v>31559</c:v>
                </c:pt>
                <c:pt idx="553">
                  <c:v>31560</c:v>
                </c:pt>
                <c:pt idx="554">
                  <c:v>31561</c:v>
                </c:pt>
                <c:pt idx="555">
                  <c:v>31562</c:v>
                </c:pt>
                <c:pt idx="556">
                  <c:v>31563</c:v>
                </c:pt>
                <c:pt idx="557">
                  <c:v>31564</c:v>
                </c:pt>
                <c:pt idx="558">
                  <c:v>31565</c:v>
                </c:pt>
                <c:pt idx="559">
                  <c:v>31566</c:v>
                </c:pt>
                <c:pt idx="560">
                  <c:v>31567</c:v>
                </c:pt>
                <c:pt idx="561">
                  <c:v>31568</c:v>
                </c:pt>
                <c:pt idx="562">
                  <c:v>31569</c:v>
                </c:pt>
                <c:pt idx="563">
                  <c:v>31570</c:v>
                </c:pt>
                <c:pt idx="564">
                  <c:v>31571</c:v>
                </c:pt>
                <c:pt idx="565">
                  <c:v>31572</c:v>
                </c:pt>
                <c:pt idx="566">
                  <c:v>31573</c:v>
                </c:pt>
                <c:pt idx="567">
                  <c:v>31574</c:v>
                </c:pt>
                <c:pt idx="568">
                  <c:v>31575</c:v>
                </c:pt>
                <c:pt idx="569">
                  <c:v>31576</c:v>
                </c:pt>
                <c:pt idx="570">
                  <c:v>31577</c:v>
                </c:pt>
                <c:pt idx="571">
                  <c:v>31578</c:v>
                </c:pt>
                <c:pt idx="572">
                  <c:v>31579</c:v>
                </c:pt>
                <c:pt idx="573">
                  <c:v>31580</c:v>
                </c:pt>
                <c:pt idx="574">
                  <c:v>31581</c:v>
                </c:pt>
                <c:pt idx="575">
                  <c:v>31582</c:v>
                </c:pt>
                <c:pt idx="576">
                  <c:v>31583</c:v>
                </c:pt>
                <c:pt idx="577">
                  <c:v>31584</c:v>
                </c:pt>
                <c:pt idx="578">
                  <c:v>31585</c:v>
                </c:pt>
                <c:pt idx="579">
                  <c:v>31586</c:v>
                </c:pt>
                <c:pt idx="580">
                  <c:v>31587</c:v>
                </c:pt>
                <c:pt idx="581">
                  <c:v>31588</c:v>
                </c:pt>
                <c:pt idx="582">
                  <c:v>31589</c:v>
                </c:pt>
                <c:pt idx="583">
                  <c:v>31590</c:v>
                </c:pt>
                <c:pt idx="584">
                  <c:v>31591</c:v>
                </c:pt>
                <c:pt idx="585">
                  <c:v>31592</c:v>
                </c:pt>
                <c:pt idx="586">
                  <c:v>31593</c:v>
                </c:pt>
                <c:pt idx="587">
                  <c:v>31594</c:v>
                </c:pt>
                <c:pt idx="588">
                  <c:v>31595</c:v>
                </c:pt>
                <c:pt idx="589">
                  <c:v>31596</c:v>
                </c:pt>
                <c:pt idx="590">
                  <c:v>31597</c:v>
                </c:pt>
                <c:pt idx="591">
                  <c:v>31598</c:v>
                </c:pt>
                <c:pt idx="592">
                  <c:v>31599</c:v>
                </c:pt>
                <c:pt idx="593">
                  <c:v>31600</c:v>
                </c:pt>
                <c:pt idx="594">
                  <c:v>31601</c:v>
                </c:pt>
                <c:pt idx="595">
                  <c:v>31602</c:v>
                </c:pt>
                <c:pt idx="596">
                  <c:v>31603</c:v>
                </c:pt>
                <c:pt idx="597">
                  <c:v>31604</c:v>
                </c:pt>
                <c:pt idx="598">
                  <c:v>31605</c:v>
                </c:pt>
                <c:pt idx="599">
                  <c:v>31606</c:v>
                </c:pt>
                <c:pt idx="600">
                  <c:v>31607</c:v>
                </c:pt>
                <c:pt idx="601">
                  <c:v>31608</c:v>
                </c:pt>
                <c:pt idx="602">
                  <c:v>31609</c:v>
                </c:pt>
                <c:pt idx="603">
                  <c:v>31610</c:v>
                </c:pt>
                <c:pt idx="604">
                  <c:v>31611</c:v>
                </c:pt>
                <c:pt idx="605">
                  <c:v>31612</c:v>
                </c:pt>
                <c:pt idx="606">
                  <c:v>31613</c:v>
                </c:pt>
                <c:pt idx="607">
                  <c:v>31614</c:v>
                </c:pt>
                <c:pt idx="608">
                  <c:v>31615</c:v>
                </c:pt>
                <c:pt idx="609">
                  <c:v>31616</c:v>
                </c:pt>
                <c:pt idx="610">
                  <c:v>31617</c:v>
                </c:pt>
                <c:pt idx="611">
                  <c:v>31618</c:v>
                </c:pt>
                <c:pt idx="612">
                  <c:v>31619</c:v>
                </c:pt>
                <c:pt idx="613">
                  <c:v>31620</c:v>
                </c:pt>
                <c:pt idx="614">
                  <c:v>31621</c:v>
                </c:pt>
                <c:pt idx="615">
                  <c:v>31622</c:v>
                </c:pt>
                <c:pt idx="616">
                  <c:v>31623</c:v>
                </c:pt>
                <c:pt idx="617">
                  <c:v>31624</c:v>
                </c:pt>
                <c:pt idx="618">
                  <c:v>31625</c:v>
                </c:pt>
                <c:pt idx="619">
                  <c:v>31626</c:v>
                </c:pt>
                <c:pt idx="620">
                  <c:v>31627</c:v>
                </c:pt>
                <c:pt idx="621">
                  <c:v>31628</c:v>
                </c:pt>
                <c:pt idx="622">
                  <c:v>31629</c:v>
                </c:pt>
                <c:pt idx="623">
                  <c:v>31630</c:v>
                </c:pt>
                <c:pt idx="624">
                  <c:v>31631</c:v>
                </c:pt>
                <c:pt idx="625">
                  <c:v>31632</c:v>
                </c:pt>
                <c:pt idx="626">
                  <c:v>31633</c:v>
                </c:pt>
                <c:pt idx="627">
                  <c:v>31634</c:v>
                </c:pt>
                <c:pt idx="628">
                  <c:v>31635</c:v>
                </c:pt>
                <c:pt idx="629">
                  <c:v>31636</c:v>
                </c:pt>
                <c:pt idx="630">
                  <c:v>31637</c:v>
                </c:pt>
                <c:pt idx="631">
                  <c:v>31638</c:v>
                </c:pt>
                <c:pt idx="632">
                  <c:v>31639</c:v>
                </c:pt>
                <c:pt idx="633">
                  <c:v>31640</c:v>
                </c:pt>
                <c:pt idx="634">
                  <c:v>31641</c:v>
                </c:pt>
                <c:pt idx="635">
                  <c:v>31642</c:v>
                </c:pt>
                <c:pt idx="636">
                  <c:v>31643</c:v>
                </c:pt>
                <c:pt idx="637">
                  <c:v>31644</c:v>
                </c:pt>
                <c:pt idx="638">
                  <c:v>31645</c:v>
                </c:pt>
                <c:pt idx="639">
                  <c:v>31646</c:v>
                </c:pt>
                <c:pt idx="640">
                  <c:v>31647</c:v>
                </c:pt>
                <c:pt idx="641">
                  <c:v>31648</c:v>
                </c:pt>
                <c:pt idx="642">
                  <c:v>31649</c:v>
                </c:pt>
                <c:pt idx="643">
                  <c:v>31650</c:v>
                </c:pt>
                <c:pt idx="644">
                  <c:v>31651</c:v>
                </c:pt>
                <c:pt idx="645">
                  <c:v>31652</c:v>
                </c:pt>
                <c:pt idx="646">
                  <c:v>31653</c:v>
                </c:pt>
                <c:pt idx="647">
                  <c:v>31654</c:v>
                </c:pt>
                <c:pt idx="648">
                  <c:v>31655</c:v>
                </c:pt>
                <c:pt idx="649">
                  <c:v>31656</c:v>
                </c:pt>
                <c:pt idx="650">
                  <c:v>31657</c:v>
                </c:pt>
                <c:pt idx="651">
                  <c:v>31658</c:v>
                </c:pt>
                <c:pt idx="652">
                  <c:v>31659</c:v>
                </c:pt>
                <c:pt idx="653">
                  <c:v>31660</c:v>
                </c:pt>
                <c:pt idx="654">
                  <c:v>31661</c:v>
                </c:pt>
                <c:pt idx="655">
                  <c:v>31662</c:v>
                </c:pt>
                <c:pt idx="656">
                  <c:v>31663</c:v>
                </c:pt>
                <c:pt idx="657">
                  <c:v>31664</c:v>
                </c:pt>
                <c:pt idx="658">
                  <c:v>31665</c:v>
                </c:pt>
                <c:pt idx="659">
                  <c:v>31666</c:v>
                </c:pt>
                <c:pt idx="660">
                  <c:v>31667</c:v>
                </c:pt>
                <c:pt idx="661">
                  <c:v>31668</c:v>
                </c:pt>
                <c:pt idx="662">
                  <c:v>31669</c:v>
                </c:pt>
                <c:pt idx="663">
                  <c:v>31670</c:v>
                </c:pt>
                <c:pt idx="664">
                  <c:v>31671</c:v>
                </c:pt>
                <c:pt idx="665">
                  <c:v>31672</c:v>
                </c:pt>
                <c:pt idx="666">
                  <c:v>31673</c:v>
                </c:pt>
                <c:pt idx="667">
                  <c:v>31674</c:v>
                </c:pt>
                <c:pt idx="668">
                  <c:v>31675</c:v>
                </c:pt>
                <c:pt idx="669">
                  <c:v>31676</c:v>
                </c:pt>
                <c:pt idx="670">
                  <c:v>31677</c:v>
                </c:pt>
                <c:pt idx="671">
                  <c:v>31678</c:v>
                </c:pt>
                <c:pt idx="672">
                  <c:v>31679</c:v>
                </c:pt>
                <c:pt idx="673">
                  <c:v>31680</c:v>
                </c:pt>
                <c:pt idx="674">
                  <c:v>31681</c:v>
                </c:pt>
                <c:pt idx="675">
                  <c:v>31682</c:v>
                </c:pt>
                <c:pt idx="676">
                  <c:v>31683</c:v>
                </c:pt>
                <c:pt idx="677">
                  <c:v>31684</c:v>
                </c:pt>
                <c:pt idx="678">
                  <c:v>31685</c:v>
                </c:pt>
                <c:pt idx="679">
                  <c:v>31686</c:v>
                </c:pt>
                <c:pt idx="680">
                  <c:v>31687</c:v>
                </c:pt>
                <c:pt idx="681">
                  <c:v>31688</c:v>
                </c:pt>
                <c:pt idx="682">
                  <c:v>31689</c:v>
                </c:pt>
                <c:pt idx="683">
                  <c:v>31690</c:v>
                </c:pt>
                <c:pt idx="684">
                  <c:v>31691</c:v>
                </c:pt>
                <c:pt idx="685">
                  <c:v>31692</c:v>
                </c:pt>
                <c:pt idx="686">
                  <c:v>31693</c:v>
                </c:pt>
                <c:pt idx="687">
                  <c:v>31694</c:v>
                </c:pt>
                <c:pt idx="688">
                  <c:v>31695</c:v>
                </c:pt>
                <c:pt idx="689">
                  <c:v>31696</c:v>
                </c:pt>
                <c:pt idx="690">
                  <c:v>31697</c:v>
                </c:pt>
                <c:pt idx="691">
                  <c:v>31698</c:v>
                </c:pt>
                <c:pt idx="692">
                  <c:v>31699</c:v>
                </c:pt>
                <c:pt idx="693">
                  <c:v>31700</c:v>
                </c:pt>
                <c:pt idx="694">
                  <c:v>31701</c:v>
                </c:pt>
                <c:pt idx="695">
                  <c:v>31702</c:v>
                </c:pt>
                <c:pt idx="696">
                  <c:v>31703</c:v>
                </c:pt>
                <c:pt idx="697">
                  <c:v>31704</c:v>
                </c:pt>
                <c:pt idx="698">
                  <c:v>31705</c:v>
                </c:pt>
                <c:pt idx="699">
                  <c:v>31706</c:v>
                </c:pt>
                <c:pt idx="700">
                  <c:v>31707</c:v>
                </c:pt>
                <c:pt idx="701">
                  <c:v>31708</c:v>
                </c:pt>
                <c:pt idx="702">
                  <c:v>31709</c:v>
                </c:pt>
                <c:pt idx="703">
                  <c:v>31710</c:v>
                </c:pt>
                <c:pt idx="704">
                  <c:v>31711</c:v>
                </c:pt>
                <c:pt idx="705">
                  <c:v>31712</c:v>
                </c:pt>
                <c:pt idx="706">
                  <c:v>31713</c:v>
                </c:pt>
                <c:pt idx="707">
                  <c:v>31714</c:v>
                </c:pt>
                <c:pt idx="708">
                  <c:v>31715</c:v>
                </c:pt>
                <c:pt idx="709">
                  <c:v>31716</c:v>
                </c:pt>
                <c:pt idx="710">
                  <c:v>31717</c:v>
                </c:pt>
                <c:pt idx="711">
                  <c:v>31718</c:v>
                </c:pt>
                <c:pt idx="712">
                  <c:v>31719</c:v>
                </c:pt>
                <c:pt idx="713">
                  <c:v>31720</c:v>
                </c:pt>
                <c:pt idx="714">
                  <c:v>31721</c:v>
                </c:pt>
                <c:pt idx="715">
                  <c:v>31722</c:v>
                </c:pt>
                <c:pt idx="716">
                  <c:v>31723</c:v>
                </c:pt>
                <c:pt idx="717">
                  <c:v>31724</c:v>
                </c:pt>
                <c:pt idx="718">
                  <c:v>31725</c:v>
                </c:pt>
                <c:pt idx="719">
                  <c:v>31726</c:v>
                </c:pt>
                <c:pt idx="720">
                  <c:v>31727</c:v>
                </c:pt>
                <c:pt idx="721">
                  <c:v>31728</c:v>
                </c:pt>
                <c:pt idx="722">
                  <c:v>31729</c:v>
                </c:pt>
                <c:pt idx="723">
                  <c:v>31730</c:v>
                </c:pt>
                <c:pt idx="724">
                  <c:v>31731</c:v>
                </c:pt>
                <c:pt idx="725">
                  <c:v>31732</c:v>
                </c:pt>
                <c:pt idx="726">
                  <c:v>31733</c:v>
                </c:pt>
                <c:pt idx="727">
                  <c:v>31734</c:v>
                </c:pt>
                <c:pt idx="728">
                  <c:v>31735</c:v>
                </c:pt>
                <c:pt idx="729">
                  <c:v>31736</c:v>
                </c:pt>
                <c:pt idx="730">
                  <c:v>31737</c:v>
                </c:pt>
                <c:pt idx="731">
                  <c:v>31738</c:v>
                </c:pt>
                <c:pt idx="732">
                  <c:v>31739</c:v>
                </c:pt>
                <c:pt idx="733">
                  <c:v>31740</c:v>
                </c:pt>
                <c:pt idx="734">
                  <c:v>31741</c:v>
                </c:pt>
                <c:pt idx="735">
                  <c:v>31742</c:v>
                </c:pt>
                <c:pt idx="736">
                  <c:v>31743</c:v>
                </c:pt>
                <c:pt idx="737">
                  <c:v>31744</c:v>
                </c:pt>
                <c:pt idx="738">
                  <c:v>31745</c:v>
                </c:pt>
                <c:pt idx="739">
                  <c:v>31746</c:v>
                </c:pt>
                <c:pt idx="740">
                  <c:v>31747</c:v>
                </c:pt>
                <c:pt idx="741">
                  <c:v>31748</c:v>
                </c:pt>
                <c:pt idx="742">
                  <c:v>31749</c:v>
                </c:pt>
                <c:pt idx="743">
                  <c:v>31750</c:v>
                </c:pt>
                <c:pt idx="744">
                  <c:v>31751</c:v>
                </c:pt>
                <c:pt idx="745">
                  <c:v>31752</c:v>
                </c:pt>
                <c:pt idx="746">
                  <c:v>31753</c:v>
                </c:pt>
                <c:pt idx="747">
                  <c:v>31754</c:v>
                </c:pt>
                <c:pt idx="748">
                  <c:v>31755</c:v>
                </c:pt>
                <c:pt idx="749">
                  <c:v>31756</c:v>
                </c:pt>
                <c:pt idx="750">
                  <c:v>31757</c:v>
                </c:pt>
                <c:pt idx="751">
                  <c:v>31758</c:v>
                </c:pt>
                <c:pt idx="752">
                  <c:v>31759</c:v>
                </c:pt>
                <c:pt idx="753">
                  <c:v>31760</c:v>
                </c:pt>
                <c:pt idx="754">
                  <c:v>31761</c:v>
                </c:pt>
                <c:pt idx="755">
                  <c:v>31762</c:v>
                </c:pt>
                <c:pt idx="756">
                  <c:v>31763</c:v>
                </c:pt>
                <c:pt idx="757">
                  <c:v>31764</c:v>
                </c:pt>
                <c:pt idx="758">
                  <c:v>31765</c:v>
                </c:pt>
                <c:pt idx="759">
                  <c:v>31766</c:v>
                </c:pt>
                <c:pt idx="760">
                  <c:v>31767</c:v>
                </c:pt>
                <c:pt idx="761">
                  <c:v>31768</c:v>
                </c:pt>
                <c:pt idx="762">
                  <c:v>31769</c:v>
                </c:pt>
                <c:pt idx="763">
                  <c:v>31770</c:v>
                </c:pt>
                <c:pt idx="764">
                  <c:v>31771</c:v>
                </c:pt>
                <c:pt idx="765">
                  <c:v>31772</c:v>
                </c:pt>
                <c:pt idx="766">
                  <c:v>31773</c:v>
                </c:pt>
                <c:pt idx="767">
                  <c:v>31774</c:v>
                </c:pt>
                <c:pt idx="768">
                  <c:v>31775</c:v>
                </c:pt>
                <c:pt idx="769">
                  <c:v>31776</c:v>
                </c:pt>
                <c:pt idx="770">
                  <c:v>31777</c:v>
                </c:pt>
                <c:pt idx="771">
                  <c:v>31778</c:v>
                </c:pt>
                <c:pt idx="772">
                  <c:v>31779</c:v>
                </c:pt>
                <c:pt idx="773">
                  <c:v>31780</c:v>
                </c:pt>
                <c:pt idx="774">
                  <c:v>31781</c:v>
                </c:pt>
                <c:pt idx="775">
                  <c:v>31782</c:v>
                </c:pt>
                <c:pt idx="776">
                  <c:v>31783</c:v>
                </c:pt>
                <c:pt idx="777">
                  <c:v>31784</c:v>
                </c:pt>
                <c:pt idx="778">
                  <c:v>31785</c:v>
                </c:pt>
                <c:pt idx="779">
                  <c:v>31786</c:v>
                </c:pt>
                <c:pt idx="780">
                  <c:v>31787</c:v>
                </c:pt>
                <c:pt idx="781">
                  <c:v>31788</c:v>
                </c:pt>
                <c:pt idx="782">
                  <c:v>31789</c:v>
                </c:pt>
                <c:pt idx="783">
                  <c:v>31790</c:v>
                </c:pt>
                <c:pt idx="784">
                  <c:v>31791</c:v>
                </c:pt>
                <c:pt idx="785">
                  <c:v>31792</c:v>
                </c:pt>
                <c:pt idx="786">
                  <c:v>31793</c:v>
                </c:pt>
                <c:pt idx="787">
                  <c:v>31794</c:v>
                </c:pt>
                <c:pt idx="788">
                  <c:v>31795</c:v>
                </c:pt>
                <c:pt idx="789">
                  <c:v>31796</c:v>
                </c:pt>
                <c:pt idx="790">
                  <c:v>31797</c:v>
                </c:pt>
                <c:pt idx="791">
                  <c:v>31798</c:v>
                </c:pt>
                <c:pt idx="792">
                  <c:v>31799</c:v>
                </c:pt>
                <c:pt idx="793">
                  <c:v>31800</c:v>
                </c:pt>
                <c:pt idx="794">
                  <c:v>31801</c:v>
                </c:pt>
                <c:pt idx="795">
                  <c:v>31802</c:v>
                </c:pt>
                <c:pt idx="796">
                  <c:v>31803</c:v>
                </c:pt>
                <c:pt idx="797">
                  <c:v>31804</c:v>
                </c:pt>
                <c:pt idx="798">
                  <c:v>31805</c:v>
                </c:pt>
                <c:pt idx="799">
                  <c:v>31806</c:v>
                </c:pt>
                <c:pt idx="800">
                  <c:v>31807</c:v>
                </c:pt>
                <c:pt idx="801">
                  <c:v>31808</c:v>
                </c:pt>
                <c:pt idx="802">
                  <c:v>31809</c:v>
                </c:pt>
                <c:pt idx="803">
                  <c:v>31810</c:v>
                </c:pt>
                <c:pt idx="804">
                  <c:v>31811</c:v>
                </c:pt>
                <c:pt idx="805">
                  <c:v>31812</c:v>
                </c:pt>
                <c:pt idx="806">
                  <c:v>31813</c:v>
                </c:pt>
                <c:pt idx="807">
                  <c:v>31814</c:v>
                </c:pt>
                <c:pt idx="808">
                  <c:v>31815</c:v>
                </c:pt>
                <c:pt idx="809">
                  <c:v>31816</c:v>
                </c:pt>
                <c:pt idx="810">
                  <c:v>31817</c:v>
                </c:pt>
                <c:pt idx="811">
                  <c:v>31818</c:v>
                </c:pt>
                <c:pt idx="812">
                  <c:v>31819</c:v>
                </c:pt>
                <c:pt idx="813">
                  <c:v>31820</c:v>
                </c:pt>
                <c:pt idx="814">
                  <c:v>31821</c:v>
                </c:pt>
                <c:pt idx="815">
                  <c:v>31822</c:v>
                </c:pt>
                <c:pt idx="816">
                  <c:v>31823</c:v>
                </c:pt>
                <c:pt idx="817">
                  <c:v>31824</c:v>
                </c:pt>
                <c:pt idx="818">
                  <c:v>31825</c:v>
                </c:pt>
                <c:pt idx="819">
                  <c:v>31826</c:v>
                </c:pt>
                <c:pt idx="820">
                  <c:v>31827</c:v>
                </c:pt>
                <c:pt idx="821">
                  <c:v>31828</c:v>
                </c:pt>
                <c:pt idx="822">
                  <c:v>31829</c:v>
                </c:pt>
                <c:pt idx="823">
                  <c:v>31830</c:v>
                </c:pt>
                <c:pt idx="824">
                  <c:v>31831</c:v>
                </c:pt>
                <c:pt idx="825">
                  <c:v>31832</c:v>
                </c:pt>
                <c:pt idx="826">
                  <c:v>31833</c:v>
                </c:pt>
                <c:pt idx="827">
                  <c:v>31834</c:v>
                </c:pt>
                <c:pt idx="828">
                  <c:v>31835</c:v>
                </c:pt>
                <c:pt idx="829">
                  <c:v>31836</c:v>
                </c:pt>
                <c:pt idx="830">
                  <c:v>31837</c:v>
                </c:pt>
                <c:pt idx="831">
                  <c:v>31838</c:v>
                </c:pt>
                <c:pt idx="832">
                  <c:v>31839</c:v>
                </c:pt>
                <c:pt idx="833">
                  <c:v>31840</c:v>
                </c:pt>
                <c:pt idx="834">
                  <c:v>31841</c:v>
                </c:pt>
                <c:pt idx="835">
                  <c:v>31842</c:v>
                </c:pt>
                <c:pt idx="836">
                  <c:v>31843</c:v>
                </c:pt>
                <c:pt idx="837">
                  <c:v>31844</c:v>
                </c:pt>
                <c:pt idx="838">
                  <c:v>31845</c:v>
                </c:pt>
                <c:pt idx="839">
                  <c:v>31846</c:v>
                </c:pt>
                <c:pt idx="840">
                  <c:v>31847</c:v>
                </c:pt>
                <c:pt idx="841">
                  <c:v>31848</c:v>
                </c:pt>
                <c:pt idx="842">
                  <c:v>31849</c:v>
                </c:pt>
                <c:pt idx="843">
                  <c:v>31850</c:v>
                </c:pt>
                <c:pt idx="844">
                  <c:v>31851</c:v>
                </c:pt>
                <c:pt idx="845">
                  <c:v>31852</c:v>
                </c:pt>
                <c:pt idx="846">
                  <c:v>31853</c:v>
                </c:pt>
                <c:pt idx="847">
                  <c:v>31854</c:v>
                </c:pt>
                <c:pt idx="848">
                  <c:v>31855</c:v>
                </c:pt>
                <c:pt idx="849">
                  <c:v>31856</c:v>
                </c:pt>
                <c:pt idx="850">
                  <c:v>31857</c:v>
                </c:pt>
                <c:pt idx="851">
                  <c:v>31858</c:v>
                </c:pt>
                <c:pt idx="852">
                  <c:v>31859</c:v>
                </c:pt>
                <c:pt idx="853">
                  <c:v>31860</c:v>
                </c:pt>
                <c:pt idx="854">
                  <c:v>31861</c:v>
                </c:pt>
                <c:pt idx="855">
                  <c:v>31862</c:v>
                </c:pt>
                <c:pt idx="856">
                  <c:v>31863</c:v>
                </c:pt>
                <c:pt idx="857">
                  <c:v>31864</c:v>
                </c:pt>
                <c:pt idx="858">
                  <c:v>31865</c:v>
                </c:pt>
                <c:pt idx="859">
                  <c:v>31866</c:v>
                </c:pt>
                <c:pt idx="860">
                  <c:v>31867</c:v>
                </c:pt>
                <c:pt idx="861">
                  <c:v>31868</c:v>
                </c:pt>
                <c:pt idx="862">
                  <c:v>31869</c:v>
                </c:pt>
                <c:pt idx="863">
                  <c:v>31870</c:v>
                </c:pt>
                <c:pt idx="864">
                  <c:v>31871</c:v>
                </c:pt>
                <c:pt idx="865">
                  <c:v>31872</c:v>
                </c:pt>
                <c:pt idx="866">
                  <c:v>31873</c:v>
                </c:pt>
                <c:pt idx="867">
                  <c:v>31874</c:v>
                </c:pt>
                <c:pt idx="868">
                  <c:v>31875</c:v>
                </c:pt>
                <c:pt idx="869">
                  <c:v>31876</c:v>
                </c:pt>
                <c:pt idx="870">
                  <c:v>31877</c:v>
                </c:pt>
                <c:pt idx="871">
                  <c:v>31878</c:v>
                </c:pt>
                <c:pt idx="872">
                  <c:v>31879</c:v>
                </c:pt>
                <c:pt idx="873">
                  <c:v>31880</c:v>
                </c:pt>
                <c:pt idx="874">
                  <c:v>31881</c:v>
                </c:pt>
                <c:pt idx="875">
                  <c:v>31882</c:v>
                </c:pt>
                <c:pt idx="876">
                  <c:v>31883</c:v>
                </c:pt>
                <c:pt idx="877">
                  <c:v>31884</c:v>
                </c:pt>
                <c:pt idx="878">
                  <c:v>31885</c:v>
                </c:pt>
                <c:pt idx="879">
                  <c:v>31886</c:v>
                </c:pt>
                <c:pt idx="880">
                  <c:v>31887</c:v>
                </c:pt>
                <c:pt idx="881">
                  <c:v>31888</c:v>
                </c:pt>
                <c:pt idx="882">
                  <c:v>31889</c:v>
                </c:pt>
                <c:pt idx="883">
                  <c:v>31890</c:v>
                </c:pt>
                <c:pt idx="884">
                  <c:v>31891</c:v>
                </c:pt>
                <c:pt idx="885">
                  <c:v>31892</c:v>
                </c:pt>
                <c:pt idx="886">
                  <c:v>31893</c:v>
                </c:pt>
                <c:pt idx="887">
                  <c:v>31894</c:v>
                </c:pt>
                <c:pt idx="888">
                  <c:v>31895</c:v>
                </c:pt>
                <c:pt idx="889">
                  <c:v>31896</c:v>
                </c:pt>
                <c:pt idx="890">
                  <c:v>31897</c:v>
                </c:pt>
                <c:pt idx="891">
                  <c:v>31898</c:v>
                </c:pt>
                <c:pt idx="892">
                  <c:v>31899</c:v>
                </c:pt>
                <c:pt idx="893">
                  <c:v>31900</c:v>
                </c:pt>
                <c:pt idx="894">
                  <c:v>31901</c:v>
                </c:pt>
                <c:pt idx="895">
                  <c:v>31902</c:v>
                </c:pt>
                <c:pt idx="896">
                  <c:v>31903</c:v>
                </c:pt>
                <c:pt idx="897">
                  <c:v>31904</c:v>
                </c:pt>
                <c:pt idx="898">
                  <c:v>31905</c:v>
                </c:pt>
                <c:pt idx="899">
                  <c:v>31906</c:v>
                </c:pt>
                <c:pt idx="900">
                  <c:v>31907</c:v>
                </c:pt>
                <c:pt idx="901">
                  <c:v>31908</c:v>
                </c:pt>
                <c:pt idx="902">
                  <c:v>31909</c:v>
                </c:pt>
                <c:pt idx="903">
                  <c:v>31910</c:v>
                </c:pt>
                <c:pt idx="904">
                  <c:v>31911</c:v>
                </c:pt>
                <c:pt idx="905">
                  <c:v>31912</c:v>
                </c:pt>
                <c:pt idx="906">
                  <c:v>31913</c:v>
                </c:pt>
                <c:pt idx="907">
                  <c:v>31914</c:v>
                </c:pt>
                <c:pt idx="908">
                  <c:v>31915</c:v>
                </c:pt>
                <c:pt idx="909">
                  <c:v>31916</c:v>
                </c:pt>
                <c:pt idx="910">
                  <c:v>31917</c:v>
                </c:pt>
                <c:pt idx="911">
                  <c:v>31918</c:v>
                </c:pt>
                <c:pt idx="912">
                  <c:v>31919</c:v>
                </c:pt>
                <c:pt idx="913">
                  <c:v>31920</c:v>
                </c:pt>
                <c:pt idx="914">
                  <c:v>31921</c:v>
                </c:pt>
                <c:pt idx="915">
                  <c:v>31922</c:v>
                </c:pt>
                <c:pt idx="916">
                  <c:v>31923</c:v>
                </c:pt>
                <c:pt idx="917">
                  <c:v>31924</c:v>
                </c:pt>
                <c:pt idx="918">
                  <c:v>31925</c:v>
                </c:pt>
                <c:pt idx="919">
                  <c:v>31926</c:v>
                </c:pt>
                <c:pt idx="920">
                  <c:v>31927</c:v>
                </c:pt>
                <c:pt idx="921">
                  <c:v>31928</c:v>
                </c:pt>
                <c:pt idx="922">
                  <c:v>31929</c:v>
                </c:pt>
                <c:pt idx="923">
                  <c:v>31930</c:v>
                </c:pt>
                <c:pt idx="924">
                  <c:v>31931</c:v>
                </c:pt>
                <c:pt idx="925">
                  <c:v>31932</c:v>
                </c:pt>
                <c:pt idx="926">
                  <c:v>31933</c:v>
                </c:pt>
                <c:pt idx="927">
                  <c:v>31934</c:v>
                </c:pt>
                <c:pt idx="928">
                  <c:v>31935</c:v>
                </c:pt>
                <c:pt idx="929">
                  <c:v>31936</c:v>
                </c:pt>
                <c:pt idx="930">
                  <c:v>31937</c:v>
                </c:pt>
                <c:pt idx="931">
                  <c:v>31938</c:v>
                </c:pt>
                <c:pt idx="932">
                  <c:v>31939</c:v>
                </c:pt>
                <c:pt idx="933">
                  <c:v>31940</c:v>
                </c:pt>
                <c:pt idx="934">
                  <c:v>31941</c:v>
                </c:pt>
                <c:pt idx="935">
                  <c:v>31942</c:v>
                </c:pt>
                <c:pt idx="936">
                  <c:v>31943</c:v>
                </c:pt>
                <c:pt idx="937">
                  <c:v>31944</c:v>
                </c:pt>
                <c:pt idx="938">
                  <c:v>31945</c:v>
                </c:pt>
                <c:pt idx="939">
                  <c:v>31946</c:v>
                </c:pt>
                <c:pt idx="940">
                  <c:v>31947</c:v>
                </c:pt>
                <c:pt idx="941">
                  <c:v>31948</c:v>
                </c:pt>
                <c:pt idx="942">
                  <c:v>31949</c:v>
                </c:pt>
                <c:pt idx="943">
                  <c:v>31950</c:v>
                </c:pt>
                <c:pt idx="944">
                  <c:v>31951</c:v>
                </c:pt>
                <c:pt idx="945">
                  <c:v>31952</c:v>
                </c:pt>
                <c:pt idx="946">
                  <c:v>31953</c:v>
                </c:pt>
                <c:pt idx="947">
                  <c:v>31954</c:v>
                </c:pt>
                <c:pt idx="948">
                  <c:v>31955</c:v>
                </c:pt>
                <c:pt idx="949">
                  <c:v>31956</c:v>
                </c:pt>
                <c:pt idx="950">
                  <c:v>31957</c:v>
                </c:pt>
                <c:pt idx="951">
                  <c:v>31958</c:v>
                </c:pt>
                <c:pt idx="952">
                  <c:v>31959</c:v>
                </c:pt>
                <c:pt idx="953">
                  <c:v>31960</c:v>
                </c:pt>
                <c:pt idx="954">
                  <c:v>31961</c:v>
                </c:pt>
                <c:pt idx="955">
                  <c:v>31962</c:v>
                </c:pt>
                <c:pt idx="956">
                  <c:v>31963</c:v>
                </c:pt>
                <c:pt idx="957">
                  <c:v>31964</c:v>
                </c:pt>
                <c:pt idx="958">
                  <c:v>31965</c:v>
                </c:pt>
                <c:pt idx="959">
                  <c:v>31966</c:v>
                </c:pt>
                <c:pt idx="960">
                  <c:v>31967</c:v>
                </c:pt>
                <c:pt idx="961">
                  <c:v>31968</c:v>
                </c:pt>
                <c:pt idx="962">
                  <c:v>31969</c:v>
                </c:pt>
                <c:pt idx="963">
                  <c:v>31970</c:v>
                </c:pt>
                <c:pt idx="964">
                  <c:v>31971</c:v>
                </c:pt>
                <c:pt idx="965">
                  <c:v>31972</c:v>
                </c:pt>
                <c:pt idx="966">
                  <c:v>31973</c:v>
                </c:pt>
                <c:pt idx="967">
                  <c:v>31974</c:v>
                </c:pt>
                <c:pt idx="968">
                  <c:v>31975</c:v>
                </c:pt>
                <c:pt idx="969">
                  <c:v>31976</c:v>
                </c:pt>
                <c:pt idx="970">
                  <c:v>31977</c:v>
                </c:pt>
                <c:pt idx="971">
                  <c:v>31978</c:v>
                </c:pt>
                <c:pt idx="972">
                  <c:v>31979</c:v>
                </c:pt>
                <c:pt idx="973">
                  <c:v>31980</c:v>
                </c:pt>
                <c:pt idx="974">
                  <c:v>31981</c:v>
                </c:pt>
                <c:pt idx="975">
                  <c:v>31982</c:v>
                </c:pt>
                <c:pt idx="976">
                  <c:v>31983</c:v>
                </c:pt>
                <c:pt idx="977">
                  <c:v>31984</c:v>
                </c:pt>
                <c:pt idx="978">
                  <c:v>31985</c:v>
                </c:pt>
                <c:pt idx="979">
                  <c:v>31986</c:v>
                </c:pt>
                <c:pt idx="980">
                  <c:v>31987</c:v>
                </c:pt>
                <c:pt idx="981">
                  <c:v>31988</c:v>
                </c:pt>
                <c:pt idx="982">
                  <c:v>31989</c:v>
                </c:pt>
                <c:pt idx="983">
                  <c:v>31990</c:v>
                </c:pt>
                <c:pt idx="984">
                  <c:v>31991</c:v>
                </c:pt>
                <c:pt idx="985">
                  <c:v>31992</c:v>
                </c:pt>
                <c:pt idx="986">
                  <c:v>31993</c:v>
                </c:pt>
                <c:pt idx="987">
                  <c:v>31994</c:v>
                </c:pt>
                <c:pt idx="988">
                  <c:v>31995</c:v>
                </c:pt>
                <c:pt idx="989">
                  <c:v>31996</c:v>
                </c:pt>
                <c:pt idx="990">
                  <c:v>31997</c:v>
                </c:pt>
                <c:pt idx="991">
                  <c:v>31998</c:v>
                </c:pt>
                <c:pt idx="992">
                  <c:v>31999</c:v>
                </c:pt>
                <c:pt idx="993">
                  <c:v>32000</c:v>
                </c:pt>
                <c:pt idx="994">
                  <c:v>32001</c:v>
                </c:pt>
                <c:pt idx="995">
                  <c:v>32002</c:v>
                </c:pt>
                <c:pt idx="996">
                  <c:v>32003</c:v>
                </c:pt>
                <c:pt idx="997">
                  <c:v>32004</c:v>
                </c:pt>
                <c:pt idx="998">
                  <c:v>32005</c:v>
                </c:pt>
                <c:pt idx="999">
                  <c:v>32006</c:v>
                </c:pt>
                <c:pt idx="1000">
                  <c:v>32007</c:v>
                </c:pt>
                <c:pt idx="1001">
                  <c:v>32008</c:v>
                </c:pt>
                <c:pt idx="1002">
                  <c:v>32009</c:v>
                </c:pt>
                <c:pt idx="1003">
                  <c:v>32010</c:v>
                </c:pt>
                <c:pt idx="1004">
                  <c:v>32011</c:v>
                </c:pt>
                <c:pt idx="1005">
                  <c:v>32012</c:v>
                </c:pt>
                <c:pt idx="1006">
                  <c:v>32013</c:v>
                </c:pt>
                <c:pt idx="1007">
                  <c:v>32014</c:v>
                </c:pt>
                <c:pt idx="1008">
                  <c:v>32015</c:v>
                </c:pt>
                <c:pt idx="1009">
                  <c:v>32016</c:v>
                </c:pt>
                <c:pt idx="1010">
                  <c:v>32017</c:v>
                </c:pt>
                <c:pt idx="1011">
                  <c:v>32018</c:v>
                </c:pt>
                <c:pt idx="1012">
                  <c:v>32019</c:v>
                </c:pt>
                <c:pt idx="1013">
                  <c:v>32020</c:v>
                </c:pt>
                <c:pt idx="1014">
                  <c:v>32021</c:v>
                </c:pt>
                <c:pt idx="1015">
                  <c:v>32022</c:v>
                </c:pt>
                <c:pt idx="1016">
                  <c:v>32023</c:v>
                </c:pt>
                <c:pt idx="1017">
                  <c:v>32024</c:v>
                </c:pt>
                <c:pt idx="1018">
                  <c:v>32025</c:v>
                </c:pt>
                <c:pt idx="1019">
                  <c:v>32026</c:v>
                </c:pt>
                <c:pt idx="1020">
                  <c:v>32027</c:v>
                </c:pt>
                <c:pt idx="1021">
                  <c:v>32028</c:v>
                </c:pt>
                <c:pt idx="1022">
                  <c:v>32029</c:v>
                </c:pt>
                <c:pt idx="1023">
                  <c:v>32030</c:v>
                </c:pt>
                <c:pt idx="1024">
                  <c:v>32031</c:v>
                </c:pt>
                <c:pt idx="1025">
                  <c:v>32032</c:v>
                </c:pt>
                <c:pt idx="1026">
                  <c:v>32033</c:v>
                </c:pt>
                <c:pt idx="1027">
                  <c:v>32034</c:v>
                </c:pt>
                <c:pt idx="1028">
                  <c:v>32035</c:v>
                </c:pt>
                <c:pt idx="1029">
                  <c:v>32036</c:v>
                </c:pt>
                <c:pt idx="1030">
                  <c:v>32037</c:v>
                </c:pt>
                <c:pt idx="1031">
                  <c:v>32038</c:v>
                </c:pt>
                <c:pt idx="1032">
                  <c:v>32039</c:v>
                </c:pt>
                <c:pt idx="1033">
                  <c:v>32040</c:v>
                </c:pt>
                <c:pt idx="1034">
                  <c:v>32041</c:v>
                </c:pt>
                <c:pt idx="1035">
                  <c:v>32042</c:v>
                </c:pt>
                <c:pt idx="1036">
                  <c:v>32043</c:v>
                </c:pt>
                <c:pt idx="1037">
                  <c:v>32044</c:v>
                </c:pt>
                <c:pt idx="1038">
                  <c:v>32045</c:v>
                </c:pt>
                <c:pt idx="1039">
                  <c:v>32046</c:v>
                </c:pt>
                <c:pt idx="1040">
                  <c:v>32047</c:v>
                </c:pt>
                <c:pt idx="1041">
                  <c:v>32048</c:v>
                </c:pt>
                <c:pt idx="1042">
                  <c:v>32049</c:v>
                </c:pt>
                <c:pt idx="1043">
                  <c:v>32050</c:v>
                </c:pt>
                <c:pt idx="1044">
                  <c:v>32051</c:v>
                </c:pt>
                <c:pt idx="1045">
                  <c:v>32052</c:v>
                </c:pt>
                <c:pt idx="1046">
                  <c:v>32053</c:v>
                </c:pt>
                <c:pt idx="1047">
                  <c:v>32054</c:v>
                </c:pt>
                <c:pt idx="1048">
                  <c:v>32055</c:v>
                </c:pt>
                <c:pt idx="1049">
                  <c:v>32056</c:v>
                </c:pt>
                <c:pt idx="1050">
                  <c:v>32057</c:v>
                </c:pt>
                <c:pt idx="1051">
                  <c:v>32058</c:v>
                </c:pt>
                <c:pt idx="1052">
                  <c:v>32059</c:v>
                </c:pt>
                <c:pt idx="1053">
                  <c:v>32060</c:v>
                </c:pt>
                <c:pt idx="1054">
                  <c:v>32061</c:v>
                </c:pt>
                <c:pt idx="1055">
                  <c:v>32062</c:v>
                </c:pt>
                <c:pt idx="1056">
                  <c:v>32063</c:v>
                </c:pt>
                <c:pt idx="1057">
                  <c:v>32064</c:v>
                </c:pt>
                <c:pt idx="1058">
                  <c:v>32065</c:v>
                </c:pt>
                <c:pt idx="1059">
                  <c:v>32066</c:v>
                </c:pt>
                <c:pt idx="1060">
                  <c:v>32067</c:v>
                </c:pt>
                <c:pt idx="1061">
                  <c:v>32068</c:v>
                </c:pt>
                <c:pt idx="1062">
                  <c:v>32069</c:v>
                </c:pt>
                <c:pt idx="1063">
                  <c:v>32070</c:v>
                </c:pt>
                <c:pt idx="1064">
                  <c:v>32071</c:v>
                </c:pt>
                <c:pt idx="1065">
                  <c:v>32072</c:v>
                </c:pt>
                <c:pt idx="1066">
                  <c:v>32073</c:v>
                </c:pt>
                <c:pt idx="1067">
                  <c:v>32074</c:v>
                </c:pt>
                <c:pt idx="1068">
                  <c:v>32075</c:v>
                </c:pt>
                <c:pt idx="1069">
                  <c:v>32076</c:v>
                </c:pt>
                <c:pt idx="1070">
                  <c:v>32077</c:v>
                </c:pt>
                <c:pt idx="1071">
                  <c:v>32078</c:v>
                </c:pt>
                <c:pt idx="1072">
                  <c:v>32079</c:v>
                </c:pt>
                <c:pt idx="1073">
                  <c:v>32080</c:v>
                </c:pt>
                <c:pt idx="1074">
                  <c:v>32081</c:v>
                </c:pt>
                <c:pt idx="1075">
                  <c:v>32082</c:v>
                </c:pt>
                <c:pt idx="1076">
                  <c:v>32083</c:v>
                </c:pt>
                <c:pt idx="1077">
                  <c:v>32084</c:v>
                </c:pt>
                <c:pt idx="1078">
                  <c:v>32085</c:v>
                </c:pt>
                <c:pt idx="1079">
                  <c:v>32086</c:v>
                </c:pt>
                <c:pt idx="1080">
                  <c:v>32087</c:v>
                </c:pt>
                <c:pt idx="1081">
                  <c:v>32088</c:v>
                </c:pt>
                <c:pt idx="1082">
                  <c:v>32089</c:v>
                </c:pt>
                <c:pt idx="1083">
                  <c:v>32090</c:v>
                </c:pt>
                <c:pt idx="1084">
                  <c:v>32091</c:v>
                </c:pt>
                <c:pt idx="1085">
                  <c:v>32092</c:v>
                </c:pt>
                <c:pt idx="1086">
                  <c:v>32093</c:v>
                </c:pt>
                <c:pt idx="1087">
                  <c:v>32094</c:v>
                </c:pt>
                <c:pt idx="1088">
                  <c:v>32095</c:v>
                </c:pt>
                <c:pt idx="1089">
                  <c:v>32096</c:v>
                </c:pt>
                <c:pt idx="1090">
                  <c:v>32097</c:v>
                </c:pt>
                <c:pt idx="1091">
                  <c:v>32098</c:v>
                </c:pt>
                <c:pt idx="1092">
                  <c:v>32099</c:v>
                </c:pt>
                <c:pt idx="1093">
                  <c:v>32100</c:v>
                </c:pt>
                <c:pt idx="1094">
                  <c:v>32101</c:v>
                </c:pt>
                <c:pt idx="1095">
                  <c:v>32102</c:v>
                </c:pt>
                <c:pt idx="1096">
                  <c:v>32103</c:v>
                </c:pt>
                <c:pt idx="1097">
                  <c:v>32104</c:v>
                </c:pt>
                <c:pt idx="1098">
                  <c:v>32105</c:v>
                </c:pt>
                <c:pt idx="1099">
                  <c:v>32106</c:v>
                </c:pt>
                <c:pt idx="1100">
                  <c:v>32107</c:v>
                </c:pt>
                <c:pt idx="1101">
                  <c:v>32108</c:v>
                </c:pt>
                <c:pt idx="1102">
                  <c:v>32109</c:v>
                </c:pt>
                <c:pt idx="1103">
                  <c:v>32110</c:v>
                </c:pt>
                <c:pt idx="1104">
                  <c:v>32111</c:v>
                </c:pt>
                <c:pt idx="1105">
                  <c:v>32112</c:v>
                </c:pt>
                <c:pt idx="1106">
                  <c:v>32113</c:v>
                </c:pt>
                <c:pt idx="1107">
                  <c:v>32114</c:v>
                </c:pt>
                <c:pt idx="1108">
                  <c:v>32115</c:v>
                </c:pt>
                <c:pt idx="1109">
                  <c:v>32116</c:v>
                </c:pt>
                <c:pt idx="1110">
                  <c:v>32117</c:v>
                </c:pt>
                <c:pt idx="1111">
                  <c:v>32118</c:v>
                </c:pt>
                <c:pt idx="1112">
                  <c:v>32119</c:v>
                </c:pt>
                <c:pt idx="1113">
                  <c:v>32120</c:v>
                </c:pt>
                <c:pt idx="1114">
                  <c:v>32121</c:v>
                </c:pt>
                <c:pt idx="1115">
                  <c:v>32122</c:v>
                </c:pt>
                <c:pt idx="1116">
                  <c:v>32123</c:v>
                </c:pt>
                <c:pt idx="1117">
                  <c:v>32124</c:v>
                </c:pt>
                <c:pt idx="1118">
                  <c:v>32125</c:v>
                </c:pt>
                <c:pt idx="1119">
                  <c:v>32126</c:v>
                </c:pt>
                <c:pt idx="1120">
                  <c:v>32127</c:v>
                </c:pt>
                <c:pt idx="1121">
                  <c:v>32128</c:v>
                </c:pt>
                <c:pt idx="1122">
                  <c:v>32129</c:v>
                </c:pt>
                <c:pt idx="1123">
                  <c:v>32130</c:v>
                </c:pt>
                <c:pt idx="1124">
                  <c:v>32131</c:v>
                </c:pt>
                <c:pt idx="1125">
                  <c:v>32132</c:v>
                </c:pt>
                <c:pt idx="1126">
                  <c:v>32133</c:v>
                </c:pt>
                <c:pt idx="1127">
                  <c:v>32134</c:v>
                </c:pt>
                <c:pt idx="1128">
                  <c:v>32135</c:v>
                </c:pt>
                <c:pt idx="1129">
                  <c:v>32136</c:v>
                </c:pt>
                <c:pt idx="1130">
                  <c:v>32137</c:v>
                </c:pt>
                <c:pt idx="1131">
                  <c:v>32138</c:v>
                </c:pt>
                <c:pt idx="1132">
                  <c:v>32139</c:v>
                </c:pt>
                <c:pt idx="1133">
                  <c:v>32140</c:v>
                </c:pt>
                <c:pt idx="1134">
                  <c:v>32141</c:v>
                </c:pt>
                <c:pt idx="1135">
                  <c:v>32142</c:v>
                </c:pt>
                <c:pt idx="1136">
                  <c:v>32143</c:v>
                </c:pt>
                <c:pt idx="1137">
                  <c:v>32144</c:v>
                </c:pt>
                <c:pt idx="1138">
                  <c:v>32145</c:v>
                </c:pt>
                <c:pt idx="1139">
                  <c:v>32146</c:v>
                </c:pt>
                <c:pt idx="1140">
                  <c:v>32147</c:v>
                </c:pt>
                <c:pt idx="1141">
                  <c:v>32148</c:v>
                </c:pt>
                <c:pt idx="1142">
                  <c:v>32149</c:v>
                </c:pt>
                <c:pt idx="1143">
                  <c:v>32150</c:v>
                </c:pt>
                <c:pt idx="1144">
                  <c:v>32151</c:v>
                </c:pt>
                <c:pt idx="1145">
                  <c:v>32152</c:v>
                </c:pt>
                <c:pt idx="1146">
                  <c:v>32153</c:v>
                </c:pt>
                <c:pt idx="1147">
                  <c:v>32154</c:v>
                </c:pt>
                <c:pt idx="1148">
                  <c:v>32155</c:v>
                </c:pt>
                <c:pt idx="1149">
                  <c:v>32156</c:v>
                </c:pt>
                <c:pt idx="1150">
                  <c:v>32157</c:v>
                </c:pt>
                <c:pt idx="1151">
                  <c:v>32158</c:v>
                </c:pt>
                <c:pt idx="1152">
                  <c:v>32159</c:v>
                </c:pt>
                <c:pt idx="1153">
                  <c:v>32160</c:v>
                </c:pt>
                <c:pt idx="1154">
                  <c:v>32161</c:v>
                </c:pt>
                <c:pt idx="1155">
                  <c:v>32162</c:v>
                </c:pt>
                <c:pt idx="1156">
                  <c:v>32163</c:v>
                </c:pt>
                <c:pt idx="1157">
                  <c:v>32164</c:v>
                </c:pt>
                <c:pt idx="1158">
                  <c:v>32165</c:v>
                </c:pt>
                <c:pt idx="1159">
                  <c:v>32166</c:v>
                </c:pt>
                <c:pt idx="1160">
                  <c:v>32167</c:v>
                </c:pt>
                <c:pt idx="1161">
                  <c:v>32168</c:v>
                </c:pt>
                <c:pt idx="1162">
                  <c:v>32169</c:v>
                </c:pt>
                <c:pt idx="1163">
                  <c:v>32170</c:v>
                </c:pt>
                <c:pt idx="1164">
                  <c:v>32171</c:v>
                </c:pt>
                <c:pt idx="1165">
                  <c:v>32172</c:v>
                </c:pt>
                <c:pt idx="1166">
                  <c:v>32173</c:v>
                </c:pt>
                <c:pt idx="1167">
                  <c:v>32174</c:v>
                </c:pt>
                <c:pt idx="1168">
                  <c:v>32175</c:v>
                </c:pt>
                <c:pt idx="1169">
                  <c:v>32176</c:v>
                </c:pt>
                <c:pt idx="1170">
                  <c:v>32177</c:v>
                </c:pt>
                <c:pt idx="1171">
                  <c:v>32178</c:v>
                </c:pt>
                <c:pt idx="1172">
                  <c:v>32179</c:v>
                </c:pt>
                <c:pt idx="1173">
                  <c:v>32180</c:v>
                </c:pt>
                <c:pt idx="1174">
                  <c:v>32181</c:v>
                </c:pt>
                <c:pt idx="1175">
                  <c:v>32182</c:v>
                </c:pt>
                <c:pt idx="1176">
                  <c:v>32183</c:v>
                </c:pt>
                <c:pt idx="1177">
                  <c:v>32184</c:v>
                </c:pt>
                <c:pt idx="1178">
                  <c:v>32185</c:v>
                </c:pt>
                <c:pt idx="1179">
                  <c:v>32186</c:v>
                </c:pt>
                <c:pt idx="1180">
                  <c:v>32187</c:v>
                </c:pt>
                <c:pt idx="1181">
                  <c:v>32188</c:v>
                </c:pt>
                <c:pt idx="1182">
                  <c:v>32189</c:v>
                </c:pt>
                <c:pt idx="1183">
                  <c:v>32190</c:v>
                </c:pt>
                <c:pt idx="1184">
                  <c:v>32191</c:v>
                </c:pt>
                <c:pt idx="1185">
                  <c:v>32192</c:v>
                </c:pt>
                <c:pt idx="1186">
                  <c:v>32193</c:v>
                </c:pt>
                <c:pt idx="1187">
                  <c:v>32194</c:v>
                </c:pt>
                <c:pt idx="1188">
                  <c:v>32195</c:v>
                </c:pt>
                <c:pt idx="1189">
                  <c:v>32196</c:v>
                </c:pt>
                <c:pt idx="1190">
                  <c:v>32197</c:v>
                </c:pt>
                <c:pt idx="1191">
                  <c:v>32198</c:v>
                </c:pt>
                <c:pt idx="1192">
                  <c:v>32199</c:v>
                </c:pt>
                <c:pt idx="1193">
                  <c:v>32200</c:v>
                </c:pt>
                <c:pt idx="1194">
                  <c:v>32201</c:v>
                </c:pt>
                <c:pt idx="1195">
                  <c:v>32202</c:v>
                </c:pt>
                <c:pt idx="1196">
                  <c:v>32203</c:v>
                </c:pt>
                <c:pt idx="1197">
                  <c:v>32204</c:v>
                </c:pt>
                <c:pt idx="1198">
                  <c:v>32205</c:v>
                </c:pt>
                <c:pt idx="1199">
                  <c:v>32206</c:v>
                </c:pt>
                <c:pt idx="1200">
                  <c:v>32207</c:v>
                </c:pt>
                <c:pt idx="1201">
                  <c:v>32208</c:v>
                </c:pt>
                <c:pt idx="1202">
                  <c:v>32209</c:v>
                </c:pt>
                <c:pt idx="1203">
                  <c:v>32210</c:v>
                </c:pt>
                <c:pt idx="1204">
                  <c:v>32211</c:v>
                </c:pt>
                <c:pt idx="1205">
                  <c:v>32212</c:v>
                </c:pt>
                <c:pt idx="1206">
                  <c:v>32213</c:v>
                </c:pt>
                <c:pt idx="1207">
                  <c:v>32214</c:v>
                </c:pt>
                <c:pt idx="1208">
                  <c:v>32215</c:v>
                </c:pt>
                <c:pt idx="1209">
                  <c:v>32216</c:v>
                </c:pt>
                <c:pt idx="1210">
                  <c:v>32217</c:v>
                </c:pt>
                <c:pt idx="1211">
                  <c:v>32218</c:v>
                </c:pt>
                <c:pt idx="1212">
                  <c:v>32219</c:v>
                </c:pt>
                <c:pt idx="1213">
                  <c:v>32220</c:v>
                </c:pt>
                <c:pt idx="1214">
                  <c:v>32221</c:v>
                </c:pt>
                <c:pt idx="1215">
                  <c:v>32222</c:v>
                </c:pt>
                <c:pt idx="1216">
                  <c:v>32223</c:v>
                </c:pt>
                <c:pt idx="1217">
                  <c:v>32224</c:v>
                </c:pt>
                <c:pt idx="1218">
                  <c:v>32225</c:v>
                </c:pt>
                <c:pt idx="1219">
                  <c:v>32226</c:v>
                </c:pt>
                <c:pt idx="1220">
                  <c:v>32227</c:v>
                </c:pt>
                <c:pt idx="1221">
                  <c:v>32228</c:v>
                </c:pt>
                <c:pt idx="1222">
                  <c:v>32229</c:v>
                </c:pt>
                <c:pt idx="1223">
                  <c:v>32230</c:v>
                </c:pt>
                <c:pt idx="1224">
                  <c:v>32231</c:v>
                </c:pt>
                <c:pt idx="1225">
                  <c:v>32232</c:v>
                </c:pt>
                <c:pt idx="1226">
                  <c:v>32233</c:v>
                </c:pt>
                <c:pt idx="1227">
                  <c:v>32234</c:v>
                </c:pt>
                <c:pt idx="1228">
                  <c:v>32235</c:v>
                </c:pt>
                <c:pt idx="1229">
                  <c:v>32236</c:v>
                </c:pt>
                <c:pt idx="1230">
                  <c:v>32237</c:v>
                </c:pt>
                <c:pt idx="1231">
                  <c:v>32238</c:v>
                </c:pt>
                <c:pt idx="1232">
                  <c:v>32239</c:v>
                </c:pt>
                <c:pt idx="1233">
                  <c:v>32240</c:v>
                </c:pt>
                <c:pt idx="1234">
                  <c:v>32241</c:v>
                </c:pt>
                <c:pt idx="1235">
                  <c:v>32242</c:v>
                </c:pt>
                <c:pt idx="1236">
                  <c:v>32243</c:v>
                </c:pt>
                <c:pt idx="1237">
                  <c:v>32244</c:v>
                </c:pt>
                <c:pt idx="1238">
                  <c:v>32245</c:v>
                </c:pt>
                <c:pt idx="1239">
                  <c:v>32246</c:v>
                </c:pt>
                <c:pt idx="1240">
                  <c:v>32247</c:v>
                </c:pt>
                <c:pt idx="1241">
                  <c:v>32248</c:v>
                </c:pt>
                <c:pt idx="1242">
                  <c:v>32249</c:v>
                </c:pt>
                <c:pt idx="1243">
                  <c:v>32250</c:v>
                </c:pt>
                <c:pt idx="1244">
                  <c:v>32251</c:v>
                </c:pt>
                <c:pt idx="1245">
                  <c:v>32252</c:v>
                </c:pt>
                <c:pt idx="1246">
                  <c:v>32253</c:v>
                </c:pt>
                <c:pt idx="1247">
                  <c:v>32254</c:v>
                </c:pt>
                <c:pt idx="1248">
                  <c:v>32255</c:v>
                </c:pt>
                <c:pt idx="1249">
                  <c:v>32256</c:v>
                </c:pt>
                <c:pt idx="1250">
                  <c:v>32257</c:v>
                </c:pt>
                <c:pt idx="1251">
                  <c:v>32258</c:v>
                </c:pt>
                <c:pt idx="1252">
                  <c:v>32259</c:v>
                </c:pt>
                <c:pt idx="1253">
                  <c:v>32260</c:v>
                </c:pt>
                <c:pt idx="1254">
                  <c:v>32261</c:v>
                </c:pt>
                <c:pt idx="1255">
                  <c:v>32262</c:v>
                </c:pt>
                <c:pt idx="1256">
                  <c:v>32263</c:v>
                </c:pt>
                <c:pt idx="1257">
                  <c:v>32264</c:v>
                </c:pt>
                <c:pt idx="1258">
                  <c:v>32265</c:v>
                </c:pt>
                <c:pt idx="1259">
                  <c:v>32266</c:v>
                </c:pt>
                <c:pt idx="1260">
                  <c:v>32267</c:v>
                </c:pt>
                <c:pt idx="1261">
                  <c:v>32268</c:v>
                </c:pt>
                <c:pt idx="1262">
                  <c:v>32269</c:v>
                </c:pt>
                <c:pt idx="1263">
                  <c:v>32270</c:v>
                </c:pt>
                <c:pt idx="1264">
                  <c:v>32271</c:v>
                </c:pt>
                <c:pt idx="1265">
                  <c:v>32272</c:v>
                </c:pt>
                <c:pt idx="1266">
                  <c:v>32273</c:v>
                </c:pt>
                <c:pt idx="1267">
                  <c:v>32274</c:v>
                </c:pt>
                <c:pt idx="1268">
                  <c:v>32275</c:v>
                </c:pt>
                <c:pt idx="1269">
                  <c:v>32276</c:v>
                </c:pt>
                <c:pt idx="1270">
                  <c:v>32277</c:v>
                </c:pt>
                <c:pt idx="1271">
                  <c:v>32278</c:v>
                </c:pt>
                <c:pt idx="1272">
                  <c:v>32279</c:v>
                </c:pt>
                <c:pt idx="1273">
                  <c:v>32280</c:v>
                </c:pt>
                <c:pt idx="1274">
                  <c:v>32281</c:v>
                </c:pt>
                <c:pt idx="1275">
                  <c:v>32282</c:v>
                </c:pt>
                <c:pt idx="1276">
                  <c:v>32283</c:v>
                </c:pt>
                <c:pt idx="1277">
                  <c:v>32284</c:v>
                </c:pt>
                <c:pt idx="1278">
                  <c:v>32285</c:v>
                </c:pt>
                <c:pt idx="1279">
                  <c:v>32286</c:v>
                </c:pt>
                <c:pt idx="1280">
                  <c:v>32287</c:v>
                </c:pt>
                <c:pt idx="1281">
                  <c:v>32288</c:v>
                </c:pt>
                <c:pt idx="1282">
                  <c:v>32289</c:v>
                </c:pt>
                <c:pt idx="1283">
                  <c:v>32290</c:v>
                </c:pt>
                <c:pt idx="1284">
                  <c:v>32291</c:v>
                </c:pt>
                <c:pt idx="1285">
                  <c:v>32292</c:v>
                </c:pt>
                <c:pt idx="1286">
                  <c:v>32293</c:v>
                </c:pt>
                <c:pt idx="1287">
                  <c:v>32294</c:v>
                </c:pt>
                <c:pt idx="1288">
                  <c:v>32295</c:v>
                </c:pt>
                <c:pt idx="1289">
                  <c:v>32296</c:v>
                </c:pt>
                <c:pt idx="1290">
                  <c:v>32297</c:v>
                </c:pt>
                <c:pt idx="1291">
                  <c:v>32298</c:v>
                </c:pt>
                <c:pt idx="1292">
                  <c:v>32299</c:v>
                </c:pt>
                <c:pt idx="1293">
                  <c:v>32300</c:v>
                </c:pt>
                <c:pt idx="1294">
                  <c:v>32301</c:v>
                </c:pt>
                <c:pt idx="1295">
                  <c:v>32302</c:v>
                </c:pt>
                <c:pt idx="1296">
                  <c:v>32303</c:v>
                </c:pt>
                <c:pt idx="1297">
                  <c:v>32304</c:v>
                </c:pt>
                <c:pt idx="1298">
                  <c:v>32305</c:v>
                </c:pt>
                <c:pt idx="1299">
                  <c:v>32306</c:v>
                </c:pt>
                <c:pt idx="1300">
                  <c:v>32307</c:v>
                </c:pt>
                <c:pt idx="1301">
                  <c:v>32308</c:v>
                </c:pt>
                <c:pt idx="1302">
                  <c:v>32309</c:v>
                </c:pt>
                <c:pt idx="1303">
                  <c:v>32310</c:v>
                </c:pt>
                <c:pt idx="1304">
                  <c:v>32311</c:v>
                </c:pt>
                <c:pt idx="1305">
                  <c:v>32312</c:v>
                </c:pt>
                <c:pt idx="1306">
                  <c:v>32313</c:v>
                </c:pt>
                <c:pt idx="1307">
                  <c:v>32314</c:v>
                </c:pt>
                <c:pt idx="1308">
                  <c:v>32315</c:v>
                </c:pt>
                <c:pt idx="1309">
                  <c:v>32316</c:v>
                </c:pt>
                <c:pt idx="1310">
                  <c:v>32317</c:v>
                </c:pt>
                <c:pt idx="1311">
                  <c:v>32318</c:v>
                </c:pt>
                <c:pt idx="1312">
                  <c:v>32319</c:v>
                </c:pt>
                <c:pt idx="1313">
                  <c:v>32320</c:v>
                </c:pt>
                <c:pt idx="1314">
                  <c:v>32321</c:v>
                </c:pt>
                <c:pt idx="1315">
                  <c:v>32322</c:v>
                </c:pt>
                <c:pt idx="1316">
                  <c:v>32323</c:v>
                </c:pt>
                <c:pt idx="1317">
                  <c:v>32324</c:v>
                </c:pt>
                <c:pt idx="1318">
                  <c:v>32325</c:v>
                </c:pt>
                <c:pt idx="1319">
                  <c:v>32326</c:v>
                </c:pt>
                <c:pt idx="1320">
                  <c:v>32327</c:v>
                </c:pt>
                <c:pt idx="1321">
                  <c:v>32328</c:v>
                </c:pt>
                <c:pt idx="1322">
                  <c:v>32329</c:v>
                </c:pt>
                <c:pt idx="1323">
                  <c:v>32330</c:v>
                </c:pt>
                <c:pt idx="1324">
                  <c:v>32331</c:v>
                </c:pt>
                <c:pt idx="1325">
                  <c:v>32332</c:v>
                </c:pt>
                <c:pt idx="1326">
                  <c:v>32333</c:v>
                </c:pt>
                <c:pt idx="1327">
                  <c:v>32334</c:v>
                </c:pt>
                <c:pt idx="1328">
                  <c:v>32335</c:v>
                </c:pt>
                <c:pt idx="1329">
                  <c:v>32336</c:v>
                </c:pt>
                <c:pt idx="1330">
                  <c:v>32337</c:v>
                </c:pt>
                <c:pt idx="1331">
                  <c:v>32338</c:v>
                </c:pt>
                <c:pt idx="1332">
                  <c:v>32339</c:v>
                </c:pt>
                <c:pt idx="1333">
                  <c:v>32340</c:v>
                </c:pt>
                <c:pt idx="1334">
                  <c:v>32341</c:v>
                </c:pt>
                <c:pt idx="1335">
                  <c:v>32342</c:v>
                </c:pt>
                <c:pt idx="1336">
                  <c:v>32343</c:v>
                </c:pt>
                <c:pt idx="1337">
                  <c:v>32344</c:v>
                </c:pt>
                <c:pt idx="1338">
                  <c:v>32345</c:v>
                </c:pt>
                <c:pt idx="1339">
                  <c:v>32346</c:v>
                </c:pt>
                <c:pt idx="1340">
                  <c:v>32347</c:v>
                </c:pt>
                <c:pt idx="1341">
                  <c:v>32348</c:v>
                </c:pt>
                <c:pt idx="1342">
                  <c:v>32349</c:v>
                </c:pt>
                <c:pt idx="1343">
                  <c:v>32350</c:v>
                </c:pt>
                <c:pt idx="1344">
                  <c:v>32351</c:v>
                </c:pt>
                <c:pt idx="1345">
                  <c:v>32352</c:v>
                </c:pt>
                <c:pt idx="1346">
                  <c:v>32353</c:v>
                </c:pt>
                <c:pt idx="1347">
                  <c:v>32354</c:v>
                </c:pt>
                <c:pt idx="1348">
                  <c:v>32355</c:v>
                </c:pt>
                <c:pt idx="1349">
                  <c:v>32356</c:v>
                </c:pt>
                <c:pt idx="1350">
                  <c:v>32357</c:v>
                </c:pt>
                <c:pt idx="1351">
                  <c:v>32358</c:v>
                </c:pt>
                <c:pt idx="1352">
                  <c:v>32359</c:v>
                </c:pt>
                <c:pt idx="1353">
                  <c:v>32360</c:v>
                </c:pt>
                <c:pt idx="1354">
                  <c:v>32361</c:v>
                </c:pt>
                <c:pt idx="1355">
                  <c:v>32362</c:v>
                </c:pt>
                <c:pt idx="1356">
                  <c:v>32363</c:v>
                </c:pt>
                <c:pt idx="1357">
                  <c:v>32364</c:v>
                </c:pt>
                <c:pt idx="1358">
                  <c:v>32365</c:v>
                </c:pt>
                <c:pt idx="1359">
                  <c:v>32366</c:v>
                </c:pt>
                <c:pt idx="1360">
                  <c:v>32367</c:v>
                </c:pt>
                <c:pt idx="1361">
                  <c:v>32368</c:v>
                </c:pt>
                <c:pt idx="1362">
                  <c:v>32369</c:v>
                </c:pt>
                <c:pt idx="1363">
                  <c:v>32370</c:v>
                </c:pt>
                <c:pt idx="1364">
                  <c:v>32371</c:v>
                </c:pt>
                <c:pt idx="1365">
                  <c:v>32372</c:v>
                </c:pt>
                <c:pt idx="1366">
                  <c:v>32373</c:v>
                </c:pt>
                <c:pt idx="1367">
                  <c:v>32374</c:v>
                </c:pt>
                <c:pt idx="1368">
                  <c:v>32375</c:v>
                </c:pt>
                <c:pt idx="1369">
                  <c:v>32376</c:v>
                </c:pt>
                <c:pt idx="1370">
                  <c:v>32377</c:v>
                </c:pt>
                <c:pt idx="1371">
                  <c:v>32378</c:v>
                </c:pt>
                <c:pt idx="1372">
                  <c:v>32379</c:v>
                </c:pt>
                <c:pt idx="1373">
                  <c:v>32380</c:v>
                </c:pt>
                <c:pt idx="1374">
                  <c:v>32381</c:v>
                </c:pt>
                <c:pt idx="1375">
                  <c:v>32382</c:v>
                </c:pt>
                <c:pt idx="1376">
                  <c:v>32383</c:v>
                </c:pt>
                <c:pt idx="1377">
                  <c:v>32384</c:v>
                </c:pt>
                <c:pt idx="1378">
                  <c:v>32385</c:v>
                </c:pt>
                <c:pt idx="1379">
                  <c:v>32386</c:v>
                </c:pt>
                <c:pt idx="1380">
                  <c:v>32387</c:v>
                </c:pt>
                <c:pt idx="1381">
                  <c:v>32388</c:v>
                </c:pt>
                <c:pt idx="1382">
                  <c:v>32389</c:v>
                </c:pt>
                <c:pt idx="1383">
                  <c:v>32390</c:v>
                </c:pt>
                <c:pt idx="1384">
                  <c:v>32391</c:v>
                </c:pt>
                <c:pt idx="1385">
                  <c:v>32392</c:v>
                </c:pt>
                <c:pt idx="1386">
                  <c:v>32393</c:v>
                </c:pt>
                <c:pt idx="1387">
                  <c:v>32394</c:v>
                </c:pt>
                <c:pt idx="1388">
                  <c:v>32395</c:v>
                </c:pt>
                <c:pt idx="1389">
                  <c:v>32396</c:v>
                </c:pt>
                <c:pt idx="1390">
                  <c:v>32397</c:v>
                </c:pt>
                <c:pt idx="1391">
                  <c:v>32398</c:v>
                </c:pt>
                <c:pt idx="1392">
                  <c:v>32399</c:v>
                </c:pt>
                <c:pt idx="1393">
                  <c:v>32400</c:v>
                </c:pt>
                <c:pt idx="1394">
                  <c:v>32401</c:v>
                </c:pt>
                <c:pt idx="1395">
                  <c:v>32402</c:v>
                </c:pt>
                <c:pt idx="1396">
                  <c:v>32403</c:v>
                </c:pt>
                <c:pt idx="1397">
                  <c:v>32404</c:v>
                </c:pt>
                <c:pt idx="1398">
                  <c:v>32405</c:v>
                </c:pt>
                <c:pt idx="1399">
                  <c:v>32406</c:v>
                </c:pt>
                <c:pt idx="1400">
                  <c:v>32407</c:v>
                </c:pt>
                <c:pt idx="1401">
                  <c:v>32408</c:v>
                </c:pt>
                <c:pt idx="1402">
                  <c:v>32409</c:v>
                </c:pt>
                <c:pt idx="1403">
                  <c:v>32410</c:v>
                </c:pt>
                <c:pt idx="1404">
                  <c:v>32411</c:v>
                </c:pt>
                <c:pt idx="1405">
                  <c:v>32412</c:v>
                </c:pt>
                <c:pt idx="1406">
                  <c:v>32413</c:v>
                </c:pt>
                <c:pt idx="1407">
                  <c:v>32414</c:v>
                </c:pt>
                <c:pt idx="1408">
                  <c:v>32415</c:v>
                </c:pt>
                <c:pt idx="1409">
                  <c:v>32416</c:v>
                </c:pt>
                <c:pt idx="1410">
                  <c:v>32417</c:v>
                </c:pt>
                <c:pt idx="1411">
                  <c:v>32418</c:v>
                </c:pt>
                <c:pt idx="1412">
                  <c:v>32419</c:v>
                </c:pt>
                <c:pt idx="1413">
                  <c:v>32420</c:v>
                </c:pt>
                <c:pt idx="1414">
                  <c:v>32421</c:v>
                </c:pt>
                <c:pt idx="1415">
                  <c:v>32422</c:v>
                </c:pt>
                <c:pt idx="1416">
                  <c:v>32423</c:v>
                </c:pt>
                <c:pt idx="1417">
                  <c:v>32424</c:v>
                </c:pt>
                <c:pt idx="1418">
                  <c:v>32425</c:v>
                </c:pt>
                <c:pt idx="1419">
                  <c:v>32426</c:v>
                </c:pt>
                <c:pt idx="1420">
                  <c:v>32427</c:v>
                </c:pt>
                <c:pt idx="1421">
                  <c:v>32428</c:v>
                </c:pt>
                <c:pt idx="1422">
                  <c:v>32429</c:v>
                </c:pt>
                <c:pt idx="1423">
                  <c:v>32430</c:v>
                </c:pt>
                <c:pt idx="1424">
                  <c:v>32431</c:v>
                </c:pt>
                <c:pt idx="1425">
                  <c:v>32432</c:v>
                </c:pt>
                <c:pt idx="1426">
                  <c:v>32433</c:v>
                </c:pt>
                <c:pt idx="1427">
                  <c:v>32434</c:v>
                </c:pt>
                <c:pt idx="1428">
                  <c:v>32435</c:v>
                </c:pt>
                <c:pt idx="1429">
                  <c:v>32436</c:v>
                </c:pt>
                <c:pt idx="1430">
                  <c:v>32437</c:v>
                </c:pt>
                <c:pt idx="1431">
                  <c:v>32438</c:v>
                </c:pt>
                <c:pt idx="1432">
                  <c:v>32439</c:v>
                </c:pt>
                <c:pt idx="1433">
                  <c:v>32440</c:v>
                </c:pt>
                <c:pt idx="1434">
                  <c:v>32441</c:v>
                </c:pt>
                <c:pt idx="1435">
                  <c:v>32442</c:v>
                </c:pt>
                <c:pt idx="1436">
                  <c:v>32443</c:v>
                </c:pt>
                <c:pt idx="1437">
                  <c:v>32444</c:v>
                </c:pt>
                <c:pt idx="1438">
                  <c:v>32445</c:v>
                </c:pt>
                <c:pt idx="1439">
                  <c:v>32446</c:v>
                </c:pt>
                <c:pt idx="1440">
                  <c:v>32447</c:v>
                </c:pt>
                <c:pt idx="1441">
                  <c:v>32448</c:v>
                </c:pt>
                <c:pt idx="1442">
                  <c:v>32449</c:v>
                </c:pt>
                <c:pt idx="1443">
                  <c:v>32450</c:v>
                </c:pt>
                <c:pt idx="1444">
                  <c:v>32451</c:v>
                </c:pt>
                <c:pt idx="1445">
                  <c:v>32452</c:v>
                </c:pt>
                <c:pt idx="1446">
                  <c:v>32453</c:v>
                </c:pt>
                <c:pt idx="1447">
                  <c:v>32454</c:v>
                </c:pt>
                <c:pt idx="1448">
                  <c:v>32455</c:v>
                </c:pt>
                <c:pt idx="1449">
                  <c:v>32456</c:v>
                </c:pt>
                <c:pt idx="1450">
                  <c:v>32457</c:v>
                </c:pt>
                <c:pt idx="1451">
                  <c:v>32458</c:v>
                </c:pt>
                <c:pt idx="1452">
                  <c:v>32459</c:v>
                </c:pt>
                <c:pt idx="1453">
                  <c:v>32460</c:v>
                </c:pt>
                <c:pt idx="1454">
                  <c:v>32461</c:v>
                </c:pt>
                <c:pt idx="1455">
                  <c:v>32462</c:v>
                </c:pt>
                <c:pt idx="1456">
                  <c:v>32463</c:v>
                </c:pt>
                <c:pt idx="1457">
                  <c:v>32464</c:v>
                </c:pt>
                <c:pt idx="1458">
                  <c:v>32465</c:v>
                </c:pt>
                <c:pt idx="1459">
                  <c:v>32466</c:v>
                </c:pt>
                <c:pt idx="1460">
                  <c:v>32467</c:v>
                </c:pt>
                <c:pt idx="1461">
                  <c:v>32468</c:v>
                </c:pt>
                <c:pt idx="1462">
                  <c:v>32469</c:v>
                </c:pt>
                <c:pt idx="1463">
                  <c:v>32470</c:v>
                </c:pt>
                <c:pt idx="1464">
                  <c:v>32471</c:v>
                </c:pt>
                <c:pt idx="1465">
                  <c:v>32472</c:v>
                </c:pt>
                <c:pt idx="1466">
                  <c:v>32473</c:v>
                </c:pt>
                <c:pt idx="1467">
                  <c:v>32474</c:v>
                </c:pt>
                <c:pt idx="1468">
                  <c:v>32475</c:v>
                </c:pt>
                <c:pt idx="1469">
                  <c:v>32476</c:v>
                </c:pt>
                <c:pt idx="1470">
                  <c:v>32477</c:v>
                </c:pt>
                <c:pt idx="1471">
                  <c:v>32478</c:v>
                </c:pt>
                <c:pt idx="1472">
                  <c:v>32479</c:v>
                </c:pt>
                <c:pt idx="1473">
                  <c:v>32480</c:v>
                </c:pt>
                <c:pt idx="1474">
                  <c:v>32481</c:v>
                </c:pt>
                <c:pt idx="1475">
                  <c:v>32482</c:v>
                </c:pt>
                <c:pt idx="1476">
                  <c:v>32483</c:v>
                </c:pt>
                <c:pt idx="1477">
                  <c:v>32484</c:v>
                </c:pt>
                <c:pt idx="1478">
                  <c:v>32485</c:v>
                </c:pt>
                <c:pt idx="1479">
                  <c:v>32486</c:v>
                </c:pt>
                <c:pt idx="1480">
                  <c:v>32487</c:v>
                </c:pt>
                <c:pt idx="1481">
                  <c:v>32488</c:v>
                </c:pt>
                <c:pt idx="1482">
                  <c:v>32489</c:v>
                </c:pt>
                <c:pt idx="1483">
                  <c:v>32490</c:v>
                </c:pt>
                <c:pt idx="1484">
                  <c:v>32491</c:v>
                </c:pt>
                <c:pt idx="1485">
                  <c:v>32492</c:v>
                </c:pt>
                <c:pt idx="1486">
                  <c:v>32493</c:v>
                </c:pt>
                <c:pt idx="1487">
                  <c:v>32494</c:v>
                </c:pt>
                <c:pt idx="1488">
                  <c:v>32495</c:v>
                </c:pt>
                <c:pt idx="1489">
                  <c:v>32496</c:v>
                </c:pt>
                <c:pt idx="1490">
                  <c:v>32497</c:v>
                </c:pt>
                <c:pt idx="1491">
                  <c:v>32498</c:v>
                </c:pt>
                <c:pt idx="1492">
                  <c:v>32499</c:v>
                </c:pt>
                <c:pt idx="1493">
                  <c:v>32500</c:v>
                </c:pt>
                <c:pt idx="1494">
                  <c:v>32501</c:v>
                </c:pt>
                <c:pt idx="1495">
                  <c:v>32502</c:v>
                </c:pt>
                <c:pt idx="1496">
                  <c:v>32503</c:v>
                </c:pt>
                <c:pt idx="1497">
                  <c:v>32504</c:v>
                </c:pt>
                <c:pt idx="1498">
                  <c:v>32505</c:v>
                </c:pt>
                <c:pt idx="1499">
                  <c:v>32506</c:v>
                </c:pt>
                <c:pt idx="1500">
                  <c:v>32507</c:v>
                </c:pt>
                <c:pt idx="1501">
                  <c:v>32508</c:v>
                </c:pt>
                <c:pt idx="1502">
                  <c:v>32509</c:v>
                </c:pt>
                <c:pt idx="1503">
                  <c:v>32510</c:v>
                </c:pt>
                <c:pt idx="1504">
                  <c:v>32511</c:v>
                </c:pt>
                <c:pt idx="1505">
                  <c:v>32512</c:v>
                </c:pt>
                <c:pt idx="1506">
                  <c:v>32513</c:v>
                </c:pt>
                <c:pt idx="1507">
                  <c:v>32514</c:v>
                </c:pt>
                <c:pt idx="1508">
                  <c:v>32515</c:v>
                </c:pt>
                <c:pt idx="1509">
                  <c:v>32516</c:v>
                </c:pt>
                <c:pt idx="1510">
                  <c:v>32517</c:v>
                </c:pt>
                <c:pt idx="1511">
                  <c:v>32518</c:v>
                </c:pt>
                <c:pt idx="1512">
                  <c:v>32519</c:v>
                </c:pt>
                <c:pt idx="1513">
                  <c:v>32520</c:v>
                </c:pt>
                <c:pt idx="1514">
                  <c:v>32521</c:v>
                </c:pt>
                <c:pt idx="1515">
                  <c:v>32522</c:v>
                </c:pt>
                <c:pt idx="1516">
                  <c:v>32523</c:v>
                </c:pt>
                <c:pt idx="1517">
                  <c:v>32524</c:v>
                </c:pt>
                <c:pt idx="1518">
                  <c:v>32525</c:v>
                </c:pt>
                <c:pt idx="1519">
                  <c:v>32526</c:v>
                </c:pt>
                <c:pt idx="1520">
                  <c:v>32527</c:v>
                </c:pt>
                <c:pt idx="1521">
                  <c:v>32528</c:v>
                </c:pt>
                <c:pt idx="1522">
                  <c:v>32529</c:v>
                </c:pt>
                <c:pt idx="1523">
                  <c:v>32530</c:v>
                </c:pt>
                <c:pt idx="1524">
                  <c:v>32531</c:v>
                </c:pt>
                <c:pt idx="1525">
                  <c:v>32532</c:v>
                </c:pt>
                <c:pt idx="1526">
                  <c:v>32533</c:v>
                </c:pt>
                <c:pt idx="1527">
                  <c:v>32534</c:v>
                </c:pt>
                <c:pt idx="1528">
                  <c:v>32535</c:v>
                </c:pt>
                <c:pt idx="1529">
                  <c:v>32536</c:v>
                </c:pt>
                <c:pt idx="1530">
                  <c:v>32537</c:v>
                </c:pt>
                <c:pt idx="1531">
                  <c:v>32538</c:v>
                </c:pt>
                <c:pt idx="1532">
                  <c:v>32539</c:v>
                </c:pt>
                <c:pt idx="1533">
                  <c:v>32540</c:v>
                </c:pt>
                <c:pt idx="1534">
                  <c:v>32541</c:v>
                </c:pt>
                <c:pt idx="1535">
                  <c:v>32542</c:v>
                </c:pt>
                <c:pt idx="1536">
                  <c:v>32543</c:v>
                </c:pt>
                <c:pt idx="1537">
                  <c:v>32544</c:v>
                </c:pt>
                <c:pt idx="1538">
                  <c:v>32545</c:v>
                </c:pt>
                <c:pt idx="1539">
                  <c:v>32546</c:v>
                </c:pt>
                <c:pt idx="1540">
                  <c:v>32547</c:v>
                </c:pt>
                <c:pt idx="1541">
                  <c:v>32548</c:v>
                </c:pt>
                <c:pt idx="1542">
                  <c:v>32549</c:v>
                </c:pt>
                <c:pt idx="1543">
                  <c:v>32550</c:v>
                </c:pt>
                <c:pt idx="1544">
                  <c:v>32551</c:v>
                </c:pt>
                <c:pt idx="1545">
                  <c:v>32552</c:v>
                </c:pt>
                <c:pt idx="1546">
                  <c:v>32553</c:v>
                </c:pt>
                <c:pt idx="1547">
                  <c:v>32554</c:v>
                </c:pt>
                <c:pt idx="1548">
                  <c:v>32555</c:v>
                </c:pt>
                <c:pt idx="1549">
                  <c:v>32556</c:v>
                </c:pt>
                <c:pt idx="1550">
                  <c:v>32557</c:v>
                </c:pt>
                <c:pt idx="1551">
                  <c:v>32558</c:v>
                </c:pt>
                <c:pt idx="1552">
                  <c:v>32559</c:v>
                </c:pt>
                <c:pt idx="1553">
                  <c:v>32560</c:v>
                </c:pt>
                <c:pt idx="1554">
                  <c:v>32561</c:v>
                </c:pt>
                <c:pt idx="1555">
                  <c:v>32562</c:v>
                </c:pt>
                <c:pt idx="1556">
                  <c:v>32563</c:v>
                </c:pt>
                <c:pt idx="1557">
                  <c:v>32564</c:v>
                </c:pt>
                <c:pt idx="1558">
                  <c:v>32565</c:v>
                </c:pt>
                <c:pt idx="1559">
                  <c:v>32566</c:v>
                </c:pt>
                <c:pt idx="1560">
                  <c:v>32567</c:v>
                </c:pt>
                <c:pt idx="1561">
                  <c:v>32568</c:v>
                </c:pt>
                <c:pt idx="1562">
                  <c:v>32569</c:v>
                </c:pt>
                <c:pt idx="1563">
                  <c:v>32570</c:v>
                </c:pt>
                <c:pt idx="1564">
                  <c:v>32571</c:v>
                </c:pt>
                <c:pt idx="1565">
                  <c:v>32572</c:v>
                </c:pt>
                <c:pt idx="1566">
                  <c:v>32573</c:v>
                </c:pt>
                <c:pt idx="1567">
                  <c:v>32574</c:v>
                </c:pt>
                <c:pt idx="1568">
                  <c:v>32575</c:v>
                </c:pt>
                <c:pt idx="1569">
                  <c:v>32576</c:v>
                </c:pt>
                <c:pt idx="1570">
                  <c:v>32577</c:v>
                </c:pt>
                <c:pt idx="1571">
                  <c:v>32578</c:v>
                </c:pt>
                <c:pt idx="1572">
                  <c:v>32579</c:v>
                </c:pt>
                <c:pt idx="1573">
                  <c:v>32580</c:v>
                </c:pt>
                <c:pt idx="1574">
                  <c:v>32581</c:v>
                </c:pt>
                <c:pt idx="1575">
                  <c:v>32582</c:v>
                </c:pt>
                <c:pt idx="1576">
                  <c:v>32583</c:v>
                </c:pt>
                <c:pt idx="1577">
                  <c:v>32584</c:v>
                </c:pt>
                <c:pt idx="1578">
                  <c:v>32585</c:v>
                </c:pt>
                <c:pt idx="1579">
                  <c:v>32586</c:v>
                </c:pt>
                <c:pt idx="1580">
                  <c:v>32587</c:v>
                </c:pt>
                <c:pt idx="1581">
                  <c:v>32588</c:v>
                </c:pt>
                <c:pt idx="1582">
                  <c:v>32589</c:v>
                </c:pt>
                <c:pt idx="1583">
                  <c:v>32590</c:v>
                </c:pt>
                <c:pt idx="1584">
                  <c:v>32591</c:v>
                </c:pt>
                <c:pt idx="1585">
                  <c:v>32592</c:v>
                </c:pt>
                <c:pt idx="1586">
                  <c:v>32593</c:v>
                </c:pt>
                <c:pt idx="1587">
                  <c:v>32594</c:v>
                </c:pt>
                <c:pt idx="1588">
                  <c:v>32595</c:v>
                </c:pt>
                <c:pt idx="1589">
                  <c:v>32596</c:v>
                </c:pt>
                <c:pt idx="1590">
                  <c:v>32597</c:v>
                </c:pt>
                <c:pt idx="1591">
                  <c:v>32598</c:v>
                </c:pt>
                <c:pt idx="1592">
                  <c:v>32599</c:v>
                </c:pt>
                <c:pt idx="1593">
                  <c:v>32600</c:v>
                </c:pt>
                <c:pt idx="1594">
                  <c:v>32601</c:v>
                </c:pt>
                <c:pt idx="1595">
                  <c:v>32602</c:v>
                </c:pt>
                <c:pt idx="1596">
                  <c:v>32603</c:v>
                </c:pt>
                <c:pt idx="1597">
                  <c:v>32604</c:v>
                </c:pt>
                <c:pt idx="1598">
                  <c:v>32605</c:v>
                </c:pt>
                <c:pt idx="1599">
                  <c:v>32606</c:v>
                </c:pt>
                <c:pt idx="1600">
                  <c:v>32607</c:v>
                </c:pt>
                <c:pt idx="1601">
                  <c:v>32608</c:v>
                </c:pt>
                <c:pt idx="1602">
                  <c:v>32609</c:v>
                </c:pt>
                <c:pt idx="1603">
                  <c:v>32610</c:v>
                </c:pt>
                <c:pt idx="1604">
                  <c:v>32611</c:v>
                </c:pt>
                <c:pt idx="1605">
                  <c:v>32612</c:v>
                </c:pt>
                <c:pt idx="1606">
                  <c:v>32613</c:v>
                </c:pt>
                <c:pt idx="1607">
                  <c:v>32614</c:v>
                </c:pt>
                <c:pt idx="1608">
                  <c:v>32615</c:v>
                </c:pt>
                <c:pt idx="1609">
                  <c:v>32616</c:v>
                </c:pt>
                <c:pt idx="1610">
                  <c:v>32617</c:v>
                </c:pt>
                <c:pt idx="1611">
                  <c:v>32618</c:v>
                </c:pt>
                <c:pt idx="1612">
                  <c:v>32619</c:v>
                </c:pt>
                <c:pt idx="1613">
                  <c:v>32620</c:v>
                </c:pt>
                <c:pt idx="1614">
                  <c:v>32621</c:v>
                </c:pt>
                <c:pt idx="1615">
                  <c:v>32622</c:v>
                </c:pt>
                <c:pt idx="1616">
                  <c:v>32623</c:v>
                </c:pt>
                <c:pt idx="1617">
                  <c:v>32624</c:v>
                </c:pt>
                <c:pt idx="1618">
                  <c:v>32625</c:v>
                </c:pt>
                <c:pt idx="1619">
                  <c:v>32626</c:v>
                </c:pt>
                <c:pt idx="1620">
                  <c:v>32627</c:v>
                </c:pt>
                <c:pt idx="1621">
                  <c:v>32628</c:v>
                </c:pt>
                <c:pt idx="1622">
                  <c:v>32629</c:v>
                </c:pt>
                <c:pt idx="1623">
                  <c:v>32630</c:v>
                </c:pt>
                <c:pt idx="1624">
                  <c:v>32631</c:v>
                </c:pt>
                <c:pt idx="1625">
                  <c:v>32632</c:v>
                </c:pt>
                <c:pt idx="1626">
                  <c:v>32633</c:v>
                </c:pt>
                <c:pt idx="1627">
                  <c:v>32634</c:v>
                </c:pt>
                <c:pt idx="1628">
                  <c:v>32635</c:v>
                </c:pt>
                <c:pt idx="1629">
                  <c:v>32636</c:v>
                </c:pt>
                <c:pt idx="1630">
                  <c:v>32637</c:v>
                </c:pt>
                <c:pt idx="1631">
                  <c:v>32638</c:v>
                </c:pt>
                <c:pt idx="1632">
                  <c:v>32639</c:v>
                </c:pt>
                <c:pt idx="1633">
                  <c:v>32640</c:v>
                </c:pt>
                <c:pt idx="1634">
                  <c:v>32641</c:v>
                </c:pt>
                <c:pt idx="1635">
                  <c:v>32642</c:v>
                </c:pt>
                <c:pt idx="1636">
                  <c:v>32643</c:v>
                </c:pt>
                <c:pt idx="1637">
                  <c:v>32644</c:v>
                </c:pt>
                <c:pt idx="1638">
                  <c:v>32645</c:v>
                </c:pt>
                <c:pt idx="1639">
                  <c:v>32646</c:v>
                </c:pt>
                <c:pt idx="1640">
                  <c:v>32647</c:v>
                </c:pt>
                <c:pt idx="1641">
                  <c:v>32648</c:v>
                </c:pt>
                <c:pt idx="1642">
                  <c:v>32649</c:v>
                </c:pt>
                <c:pt idx="1643">
                  <c:v>32650</c:v>
                </c:pt>
                <c:pt idx="1644">
                  <c:v>32651</c:v>
                </c:pt>
                <c:pt idx="1645">
                  <c:v>32652</c:v>
                </c:pt>
                <c:pt idx="1646">
                  <c:v>32653</c:v>
                </c:pt>
                <c:pt idx="1647">
                  <c:v>32654</c:v>
                </c:pt>
                <c:pt idx="1648">
                  <c:v>32655</c:v>
                </c:pt>
                <c:pt idx="1649">
                  <c:v>32656</c:v>
                </c:pt>
                <c:pt idx="1650">
                  <c:v>32657</c:v>
                </c:pt>
                <c:pt idx="1651">
                  <c:v>32658</c:v>
                </c:pt>
                <c:pt idx="1652">
                  <c:v>32659</c:v>
                </c:pt>
                <c:pt idx="1653">
                  <c:v>32660</c:v>
                </c:pt>
                <c:pt idx="1654">
                  <c:v>32661</c:v>
                </c:pt>
                <c:pt idx="1655">
                  <c:v>32662</c:v>
                </c:pt>
                <c:pt idx="1656">
                  <c:v>32663</c:v>
                </c:pt>
                <c:pt idx="1657">
                  <c:v>32664</c:v>
                </c:pt>
                <c:pt idx="1658">
                  <c:v>32665</c:v>
                </c:pt>
                <c:pt idx="1659">
                  <c:v>32666</c:v>
                </c:pt>
                <c:pt idx="1660">
                  <c:v>32667</c:v>
                </c:pt>
                <c:pt idx="1661">
                  <c:v>32668</c:v>
                </c:pt>
                <c:pt idx="1662">
                  <c:v>32669</c:v>
                </c:pt>
                <c:pt idx="1663">
                  <c:v>32670</c:v>
                </c:pt>
                <c:pt idx="1664">
                  <c:v>32671</c:v>
                </c:pt>
                <c:pt idx="1665">
                  <c:v>32672</c:v>
                </c:pt>
                <c:pt idx="1666">
                  <c:v>32673</c:v>
                </c:pt>
                <c:pt idx="1667">
                  <c:v>32674</c:v>
                </c:pt>
                <c:pt idx="1668">
                  <c:v>32675</c:v>
                </c:pt>
                <c:pt idx="1669">
                  <c:v>32676</c:v>
                </c:pt>
                <c:pt idx="1670">
                  <c:v>32677</c:v>
                </c:pt>
                <c:pt idx="1671">
                  <c:v>32678</c:v>
                </c:pt>
                <c:pt idx="1672">
                  <c:v>32679</c:v>
                </c:pt>
                <c:pt idx="1673">
                  <c:v>32680</c:v>
                </c:pt>
                <c:pt idx="1674">
                  <c:v>32681</c:v>
                </c:pt>
                <c:pt idx="1675">
                  <c:v>32682</c:v>
                </c:pt>
                <c:pt idx="1676">
                  <c:v>32683</c:v>
                </c:pt>
                <c:pt idx="1677">
                  <c:v>32684</c:v>
                </c:pt>
                <c:pt idx="1678">
                  <c:v>32685</c:v>
                </c:pt>
                <c:pt idx="1679">
                  <c:v>32686</c:v>
                </c:pt>
                <c:pt idx="1680">
                  <c:v>32687</c:v>
                </c:pt>
                <c:pt idx="1681">
                  <c:v>32688</c:v>
                </c:pt>
                <c:pt idx="1682">
                  <c:v>32689</c:v>
                </c:pt>
                <c:pt idx="1683">
                  <c:v>32690</c:v>
                </c:pt>
                <c:pt idx="1684">
                  <c:v>32691</c:v>
                </c:pt>
                <c:pt idx="1685">
                  <c:v>32692</c:v>
                </c:pt>
                <c:pt idx="1686">
                  <c:v>32693</c:v>
                </c:pt>
                <c:pt idx="1687">
                  <c:v>32694</c:v>
                </c:pt>
                <c:pt idx="1688">
                  <c:v>32695</c:v>
                </c:pt>
                <c:pt idx="1689">
                  <c:v>32696</c:v>
                </c:pt>
                <c:pt idx="1690">
                  <c:v>32697</c:v>
                </c:pt>
                <c:pt idx="1691">
                  <c:v>32698</c:v>
                </c:pt>
                <c:pt idx="1692">
                  <c:v>32699</c:v>
                </c:pt>
                <c:pt idx="1693">
                  <c:v>32700</c:v>
                </c:pt>
                <c:pt idx="1694">
                  <c:v>32701</c:v>
                </c:pt>
                <c:pt idx="1695">
                  <c:v>32702</c:v>
                </c:pt>
                <c:pt idx="1696">
                  <c:v>32703</c:v>
                </c:pt>
                <c:pt idx="1697">
                  <c:v>32704</c:v>
                </c:pt>
                <c:pt idx="1698">
                  <c:v>32705</c:v>
                </c:pt>
                <c:pt idx="1699">
                  <c:v>32706</c:v>
                </c:pt>
                <c:pt idx="1700">
                  <c:v>32707</c:v>
                </c:pt>
                <c:pt idx="1701">
                  <c:v>32708</c:v>
                </c:pt>
                <c:pt idx="1702">
                  <c:v>32709</c:v>
                </c:pt>
                <c:pt idx="1703">
                  <c:v>32710</c:v>
                </c:pt>
                <c:pt idx="1704">
                  <c:v>32711</c:v>
                </c:pt>
                <c:pt idx="1705">
                  <c:v>32712</c:v>
                </c:pt>
                <c:pt idx="1706">
                  <c:v>32713</c:v>
                </c:pt>
                <c:pt idx="1707">
                  <c:v>32714</c:v>
                </c:pt>
                <c:pt idx="1708">
                  <c:v>32715</c:v>
                </c:pt>
                <c:pt idx="1709">
                  <c:v>32716</c:v>
                </c:pt>
                <c:pt idx="1710">
                  <c:v>32717</c:v>
                </c:pt>
                <c:pt idx="1711">
                  <c:v>32718</c:v>
                </c:pt>
                <c:pt idx="1712">
                  <c:v>32719</c:v>
                </c:pt>
                <c:pt idx="1713">
                  <c:v>32720</c:v>
                </c:pt>
                <c:pt idx="1714">
                  <c:v>32721</c:v>
                </c:pt>
                <c:pt idx="1715">
                  <c:v>32722</c:v>
                </c:pt>
                <c:pt idx="1716">
                  <c:v>32723</c:v>
                </c:pt>
                <c:pt idx="1717">
                  <c:v>32724</c:v>
                </c:pt>
                <c:pt idx="1718">
                  <c:v>32725</c:v>
                </c:pt>
                <c:pt idx="1719">
                  <c:v>32726</c:v>
                </c:pt>
                <c:pt idx="1720">
                  <c:v>32727</c:v>
                </c:pt>
                <c:pt idx="1721">
                  <c:v>32728</c:v>
                </c:pt>
                <c:pt idx="1722">
                  <c:v>32729</c:v>
                </c:pt>
                <c:pt idx="1723">
                  <c:v>32730</c:v>
                </c:pt>
                <c:pt idx="1724">
                  <c:v>32731</c:v>
                </c:pt>
                <c:pt idx="1725">
                  <c:v>32732</c:v>
                </c:pt>
                <c:pt idx="1726">
                  <c:v>32733</c:v>
                </c:pt>
                <c:pt idx="1727">
                  <c:v>32734</c:v>
                </c:pt>
                <c:pt idx="1728">
                  <c:v>32735</c:v>
                </c:pt>
                <c:pt idx="1729">
                  <c:v>32736</c:v>
                </c:pt>
                <c:pt idx="1730">
                  <c:v>32737</c:v>
                </c:pt>
                <c:pt idx="1731">
                  <c:v>32738</c:v>
                </c:pt>
                <c:pt idx="1732">
                  <c:v>32739</c:v>
                </c:pt>
                <c:pt idx="1733">
                  <c:v>32740</c:v>
                </c:pt>
                <c:pt idx="1734">
                  <c:v>32741</c:v>
                </c:pt>
                <c:pt idx="1735">
                  <c:v>32742</c:v>
                </c:pt>
                <c:pt idx="1736">
                  <c:v>32743</c:v>
                </c:pt>
                <c:pt idx="1737">
                  <c:v>32744</c:v>
                </c:pt>
                <c:pt idx="1738">
                  <c:v>32745</c:v>
                </c:pt>
                <c:pt idx="1739">
                  <c:v>32746</c:v>
                </c:pt>
                <c:pt idx="1740">
                  <c:v>32747</c:v>
                </c:pt>
                <c:pt idx="1741">
                  <c:v>32748</c:v>
                </c:pt>
                <c:pt idx="1742">
                  <c:v>32749</c:v>
                </c:pt>
                <c:pt idx="1743">
                  <c:v>32750</c:v>
                </c:pt>
                <c:pt idx="1744">
                  <c:v>32751</c:v>
                </c:pt>
                <c:pt idx="1745">
                  <c:v>32752</c:v>
                </c:pt>
                <c:pt idx="1746">
                  <c:v>32753</c:v>
                </c:pt>
                <c:pt idx="1747">
                  <c:v>32754</c:v>
                </c:pt>
                <c:pt idx="1748">
                  <c:v>32755</c:v>
                </c:pt>
                <c:pt idx="1749">
                  <c:v>32756</c:v>
                </c:pt>
                <c:pt idx="1750">
                  <c:v>32757</c:v>
                </c:pt>
                <c:pt idx="1751">
                  <c:v>32758</c:v>
                </c:pt>
                <c:pt idx="1752">
                  <c:v>32759</c:v>
                </c:pt>
                <c:pt idx="1753">
                  <c:v>32760</c:v>
                </c:pt>
                <c:pt idx="1754">
                  <c:v>32761</c:v>
                </c:pt>
                <c:pt idx="1755">
                  <c:v>32762</c:v>
                </c:pt>
                <c:pt idx="1756">
                  <c:v>32763</c:v>
                </c:pt>
                <c:pt idx="1757">
                  <c:v>32764</c:v>
                </c:pt>
                <c:pt idx="1758">
                  <c:v>32765</c:v>
                </c:pt>
                <c:pt idx="1759">
                  <c:v>32766</c:v>
                </c:pt>
                <c:pt idx="1760">
                  <c:v>32767</c:v>
                </c:pt>
                <c:pt idx="1761">
                  <c:v>32768</c:v>
                </c:pt>
                <c:pt idx="1762">
                  <c:v>32769</c:v>
                </c:pt>
                <c:pt idx="1763">
                  <c:v>32770</c:v>
                </c:pt>
                <c:pt idx="1764">
                  <c:v>32771</c:v>
                </c:pt>
                <c:pt idx="1765">
                  <c:v>32772</c:v>
                </c:pt>
                <c:pt idx="1766">
                  <c:v>32773</c:v>
                </c:pt>
                <c:pt idx="1767">
                  <c:v>32774</c:v>
                </c:pt>
                <c:pt idx="1768">
                  <c:v>32775</c:v>
                </c:pt>
                <c:pt idx="1769">
                  <c:v>32776</c:v>
                </c:pt>
                <c:pt idx="1770">
                  <c:v>32777</c:v>
                </c:pt>
                <c:pt idx="1771">
                  <c:v>32778</c:v>
                </c:pt>
                <c:pt idx="1772">
                  <c:v>32779</c:v>
                </c:pt>
                <c:pt idx="1773">
                  <c:v>32780</c:v>
                </c:pt>
                <c:pt idx="1774">
                  <c:v>32781</c:v>
                </c:pt>
                <c:pt idx="1775">
                  <c:v>32782</c:v>
                </c:pt>
                <c:pt idx="1776">
                  <c:v>32783</c:v>
                </c:pt>
                <c:pt idx="1777">
                  <c:v>32784</c:v>
                </c:pt>
                <c:pt idx="1778">
                  <c:v>32785</c:v>
                </c:pt>
                <c:pt idx="1779">
                  <c:v>32786</c:v>
                </c:pt>
                <c:pt idx="1780">
                  <c:v>32787</c:v>
                </c:pt>
                <c:pt idx="1781">
                  <c:v>32788</c:v>
                </c:pt>
                <c:pt idx="1782">
                  <c:v>32789</c:v>
                </c:pt>
                <c:pt idx="1783">
                  <c:v>32790</c:v>
                </c:pt>
                <c:pt idx="1784">
                  <c:v>32791</c:v>
                </c:pt>
                <c:pt idx="1785">
                  <c:v>32792</c:v>
                </c:pt>
                <c:pt idx="1786">
                  <c:v>32793</c:v>
                </c:pt>
                <c:pt idx="1787">
                  <c:v>32794</c:v>
                </c:pt>
                <c:pt idx="1788">
                  <c:v>32795</c:v>
                </c:pt>
                <c:pt idx="1789">
                  <c:v>32796</c:v>
                </c:pt>
                <c:pt idx="1790">
                  <c:v>32797</c:v>
                </c:pt>
                <c:pt idx="1791">
                  <c:v>32798</c:v>
                </c:pt>
                <c:pt idx="1792">
                  <c:v>32799</c:v>
                </c:pt>
                <c:pt idx="1793">
                  <c:v>32800</c:v>
                </c:pt>
                <c:pt idx="1794">
                  <c:v>32801</c:v>
                </c:pt>
                <c:pt idx="1795">
                  <c:v>32802</c:v>
                </c:pt>
                <c:pt idx="1796">
                  <c:v>32803</c:v>
                </c:pt>
                <c:pt idx="1797">
                  <c:v>32804</c:v>
                </c:pt>
                <c:pt idx="1798">
                  <c:v>32805</c:v>
                </c:pt>
                <c:pt idx="1799">
                  <c:v>32806</c:v>
                </c:pt>
                <c:pt idx="1800">
                  <c:v>32807</c:v>
                </c:pt>
                <c:pt idx="1801">
                  <c:v>32808</c:v>
                </c:pt>
                <c:pt idx="1802">
                  <c:v>32809</c:v>
                </c:pt>
                <c:pt idx="1803">
                  <c:v>32810</c:v>
                </c:pt>
                <c:pt idx="1804">
                  <c:v>32811</c:v>
                </c:pt>
                <c:pt idx="1805">
                  <c:v>32812</c:v>
                </c:pt>
                <c:pt idx="1806">
                  <c:v>32813</c:v>
                </c:pt>
                <c:pt idx="1807">
                  <c:v>32814</c:v>
                </c:pt>
                <c:pt idx="1808">
                  <c:v>32815</c:v>
                </c:pt>
                <c:pt idx="1809">
                  <c:v>32816</c:v>
                </c:pt>
                <c:pt idx="1810">
                  <c:v>32817</c:v>
                </c:pt>
                <c:pt idx="1811">
                  <c:v>32818</c:v>
                </c:pt>
                <c:pt idx="1812">
                  <c:v>32819</c:v>
                </c:pt>
                <c:pt idx="1813">
                  <c:v>32820</c:v>
                </c:pt>
                <c:pt idx="1814">
                  <c:v>32821</c:v>
                </c:pt>
                <c:pt idx="1815">
                  <c:v>32822</c:v>
                </c:pt>
                <c:pt idx="1816">
                  <c:v>32823</c:v>
                </c:pt>
                <c:pt idx="1817">
                  <c:v>32824</c:v>
                </c:pt>
                <c:pt idx="1818">
                  <c:v>32825</c:v>
                </c:pt>
                <c:pt idx="1819">
                  <c:v>32826</c:v>
                </c:pt>
                <c:pt idx="1820">
                  <c:v>32827</c:v>
                </c:pt>
                <c:pt idx="1821">
                  <c:v>32828</c:v>
                </c:pt>
                <c:pt idx="1822">
                  <c:v>32829</c:v>
                </c:pt>
                <c:pt idx="1823">
                  <c:v>32830</c:v>
                </c:pt>
                <c:pt idx="1824">
                  <c:v>32831</c:v>
                </c:pt>
                <c:pt idx="1825">
                  <c:v>32832</c:v>
                </c:pt>
                <c:pt idx="1826">
                  <c:v>32833</c:v>
                </c:pt>
                <c:pt idx="1827">
                  <c:v>32834</c:v>
                </c:pt>
                <c:pt idx="1828">
                  <c:v>32835</c:v>
                </c:pt>
                <c:pt idx="1829">
                  <c:v>32836</c:v>
                </c:pt>
                <c:pt idx="1830">
                  <c:v>32837</c:v>
                </c:pt>
                <c:pt idx="1831">
                  <c:v>32838</c:v>
                </c:pt>
                <c:pt idx="1832">
                  <c:v>32839</c:v>
                </c:pt>
                <c:pt idx="1833">
                  <c:v>32840</c:v>
                </c:pt>
                <c:pt idx="1834">
                  <c:v>32841</c:v>
                </c:pt>
                <c:pt idx="1835">
                  <c:v>32842</c:v>
                </c:pt>
                <c:pt idx="1836">
                  <c:v>32843</c:v>
                </c:pt>
                <c:pt idx="1837">
                  <c:v>32844</c:v>
                </c:pt>
                <c:pt idx="1838">
                  <c:v>32845</c:v>
                </c:pt>
                <c:pt idx="1839">
                  <c:v>32846</c:v>
                </c:pt>
                <c:pt idx="1840">
                  <c:v>32847</c:v>
                </c:pt>
                <c:pt idx="1841">
                  <c:v>32848</c:v>
                </c:pt>
                <c:pt idx="1842">
                  <c:v>32849</c:v>
                </c:pt>
                <c:pt idx="1843">
                  <c:v>32850</c:v>
                </c:pt>
                <c:pt idx="1844">
                  <c:v>32851</c:v>
                </c:pt>
                <c:pt idx="1845">
                  <c:v>32852</c:v>
                </c:pt>
                <c:pt idx="1846">
                  <c:v>32853</c:v>
                </c:pt>
                <c:pt idx="1847">
                  <c:v>32854</c:v>
                </c:pt>
                <c:pt idx="1848">
                  <c:v>32855</c:v>
                </c:pt>
                <c:pt idx="1849">
                  <c:v>32856</c:v>
                </c:pt>
                <c:pt idx="1850">
                  <c:v>32857</c:v>
                </c:pt>
                <c:pt idx="1851">
                  <c:v>32858</c:v>
                </c:pt>
                <c:pt idx="1852">
                  <c:v>32859</c:v>
                </c:pt>
                <c:pt idx="1853">
                  <c:v>32860</c:v>
                </c:pt>
                <c:pt idx="1854">
                  <c:v>32861</c:v>
                </c:pt>
                <c:pt idx="1855">
                  <c:v>32862</c:v>
                </c:pt>
                <c:pt idx="1856">
                  <c:v>32863</c:v>
                </c:pt>
                <c:pt idx="1857">
                  <c:v>32864</c:v>
                </c:pt>
                <c:pt idx="1858">
                  <c:v>32865</c:v>
                </c:pt>
                <c:pt idx="1859">
                  <c:v>32866</c:v>
                </c:pt>
                <c:pt idx="1860">
                  <c:v>32867</c:v>
                </c:pt>
                <c:pt idx="1861">
                  <c:v>32868</c:v>
                </c:pt>
                <c:pt idx="1862">
                  <c:v>32869</c:v>
                </c:pt>
                <c:pt idx="1863">
                  <c:v>32870</c:v>
                </c:pt>
                <c:pt idx="1864">
                  <c:v>32871</c:v>
                </c:pt>
                <c:pt idx="1865">
                  <c:v>32872</c:v>
                </c:pt>
                <c:pt idx="1866">
                  <c:v>32873</c:v>
                </c:pt>
                <c:pt idx="1867">
                  <c:v>32874</c:v>
                </c:pt>
                <c:pt idx="1868">
                  <c:v>32875</c:v>
                </c:pt>
                <c:pt idx="1869">
                  <c:v>32876</c:v>
                </c:pt>
                <c:pt idx="1870">
                  <c:v>32877</c:v>
                </c:pt>
                <c:pt idx="1871">
                  <c:v>32878</c:v>
                </c:pt>
                <c:pt idx="1872">
                  <c:v>32879</c:v>
                </c:pt>
                <c:pt idx="1873">
                  <c:v>32880</c:v>
                </c:pt>
                <c:pt idx="1874">
                  <c:v>32881</c:v>
                </c:pt>
                <c:pt idx="1875">
                  <c:v>32882</c:v>
                </c:pt>
                <c:pt idx="1876">
                  <c:v>32883</c:v>
                </c:pt>
                <c:pt idx="1877">
                  <c:v>32884</c:v>
                </c:pt>
                <c:pt idx="1878">
                  <c:v>32885</c:v>
                </c:pt>
                <c:pt idx="1879">
                  <c:v>32886</c:v>
                </c:pt>
                <c:pt idx="1880">
                  <c:v>32887</c:v>
                </c:pt>
                <c:pt idx="1881">
                  <c:v>32888</c:v>
                </c:pt>
                <c:pt idx="1882">
                  <c:v>32889</c:v>
                </c:pt>
                <c:pt idx="1883">
                  <c:v>32890</c:v>
                </c:pt>
                <c:pt idx="1884">
                  <c:v>32891</c:v>
                </c:pt>
                <c:pt idx="1885">
                  <c:v>32892</c:v>
                </c:pt>
                <c:pt idx="1886">
                  <c:v>32893</c:v>
                </c:pt>
                <c:pt idx="1887">
                  <c:v>32894</c:v>
                </c:pt>
                <c:pt idx="1888">
                  <c:v>32895</c:v>
                </c:pt>
                <c:pt idx="1889">
                  <c:v>32896</c:v>
                </c:pt>
                <c:pt idx="1890">
                  <c:v>32897</c:v>
                </c:pt>
                <c:pt idx="1891">
                  <c:v>32898</c:v>
                </c:pt>
                <c:pt idx="1892">
                  <c:v>32899</c:v>
                </c:pt>
                <c:pt idx="1893">
                  <c:v>32900</c:v>
                </c:pt>
                <c:pt idx="1894">
                  <c:v>32901</c:v>
                </c:pt>
                <c:pt idx="1895">
                  <c:v>32902</c:v>
                </c:pt>
                <c:pt idx="1896">
                  <c:v>32903</c:v>
                </c:pt>
                <c:pt idx="1897">
                  <c:v>32904</c:v>
                </c:pt>
                <c:pt idx="1898">
                  <c:v>32905</c:v>
                </c:pt>
                <c:pt idx="1899">
                  <c:v>32906</c:v>
                </c:pt>
                <c:pt idx="1900">
                  <c:v>32907</c:v>
                </c:pt>
                <c:pt idx="1901">
                  <c:v>32908</c:v>
                </c:pt>
                <c:pt idx="1902">
                  <c:v>32909</c:v>
                </c:pt>
                <c:pt idx="1903">
                  <c:v>32910</c:v>
                </c:pt>
                <c:pt idx="1904">
                  <c:v>32911</c:v>
                </c:pt>
                <c:pt idx="1905">
                  <c:v>32912</c:v>
                </c:pt>
                <c:pt idx="1906">
                  <c:v>32913</c:v>
                </c:pt>
                <c:pt idx="1907">
                  <c:v>32914</c:v>
                </c:pt>
                <c:pt idx="1908">
                  <c:v>32915</c:v>
                </c:pt>
                <c:pt idx="1909">
                  <c:v>32916</c:v>
                </c:pt>
                <c:pt idx="1910">
                  <c:v>32917</c:v>
                </c:pt>
                <c:pt idx="1911">
                  <c:v>32918</c:v>
                </c:pt>
                <c:pt idx="1912">
                  <c:v>32919</c:v>
                </c:pt>
                <c:pt idx="1913">
                  <c:v>32920</c:v>
                </c:pt>
                <c:pt idx="1914">
                  <c:v>32921</c:v>
                </c:pt>
                <c:pt idx="1915">
                  <c:v>32922</c:v>
                </c:pt>
                <c:pt idx="1916">
                  <c:v>32923</c:v>
                </c:pt>
                <c:pt idx="1917">
                  <c:v>32924</c:v>
                </c:pt>
                <c:pt idx="1918">
                  <c:v>32925</c:v>
                </c:pt>
                <c:pt idx="1919">
                  <c:v>32926</c:v>
                </c:pt>
                <c:pt idx="1920">
                  <c:v>32927</c:v>
                </c:pt>
                <c:pt idx="1921">
                  <c:v>32928</c:v>
                </c:pt>
                <c:pt idx="1922">
                  <c:v>32929</c:v>
                </c:pt>
                <c:pt idx="1923">
                  <c:v>32930</c:v>
                </c:pt>
                <c:pt idx="1924">
                  <c:v>32931</c:v>
                </c:pt>
                <c:pt idx="1925">
                  <c:v>32932</c:v>
                </c:pt>
                <c:pt idx="1926">
                  <c:v>32933</c:v>
                </c:pt>
                <c:pt idx="1927">
                  <c:v>32934</c:v>
                </c:pt>
                <c:pt idx="1928">
                  <c:v>32935</c:v>
                </c:pt>
                <c:pt idx="1929">
                  <c:v>32936</c:v>
                </c:pt>
                <c:pt idx="1930">
                  <c:v>32937</c:v>
                </c:pt>
                <c:pt idx="1931">
                  <c:v>32938</c:v>
                </c:pt>
                <c:pt idx="1932">
                  <c:v>32939</c:v>
                </c:pt>
                <c:pt idx="1933">
                  <c:v>32940</c:v>
                </c:pt>
                <c:pt idx="1934">
                  <c:v>32941</c:v>
                </c:pt>
                <c:pt idx="1935">
                  <c:v>32942</c:v>
                </c:pt>
                <c:pt idx="1936">
                  <c:v>32943</c:v>
                </c:pt>
                <c:pt idx="1937">
                  <c:v>32944</c:v>
                </c:pt>
                <c:pt idx="1938">
                  <c:v>32945</c:v>
                </c:pt>
                <c:pt idx="1939">
                  <c:v>32946</c:v>
                </c:pt>
                <c:pt idx="1940">
                  <c:v>32947</c:v>
                </c:pt>
                <c:pt idx="1941">
                  <c:v>32948</c:v>
                </c:pt>
                <c:pt idx="1942">
                  <c:v>32949</c:v>
                </c:pt>
                <c:pt idx="1943">
                  <c:v>32950</c:v>
                </c:pt>
                <c:pt idx="1944">
                  <c:v>32951</c:v>
                </c:pt>
                <c:pt idx="1945">
                  <c:v>32952</c:v>
                </c:pt>
                <c:pt idx="1946">
                  <c:v>32953</c:v>
                </c:pt>
                <c:pt idx="1947">
                  <c:v>32954</c:v>
                </c:pt>
                <c:pt idx="1948">
                  <c:v>32955</c:v>
                </c:pt>
                <c:pt idx="1949">
                  <c:v>32956</c:v>
                </c:pt>
                <c:pt idx="1950">
                  <c:v>32957</c:v>
                </c:pt>
                <c:pt idx="1951">
                  <c:v>32958</c:v>
                </c:pt>
                <c:pt idx="1952">
                  <c:v>32959</c:v>
                </c:pt>
                <c:pt idx="1953">
                  <c:v>32960</c:v>
                </c:pt>
                <c:pt idx="1954">
                  <c:v>32961</c:v>
                </c:pt>
                <c:pt idx="1955">
                  <c:v>32962</c:v>
                </c:pt>
                <c:pt idx="1956">
                  <c:v>32963</c:v>
                </c:pt>
                <c:pt idx="1957">
                  <c:v>32964</c:v>
                </c:pt>
                <c:pt idx="1958">
                  <c:v>32965</c:v>
                </c:pt>
                <c:pt idx="1959">
                  <c:v>32966</c:v>
                </c:pt>
                <c:pt idx="1960">
                  <c:v>32967</c:v>
                </c:pt>
                <c:pt idx="1961">
                  <c:v>32968</c:v>
                </c:pt>
                <c:pt idx="1962">
                  <c:v>32969</c:v>
                </c:pt>
                <c:pt idx="1963">
                  <c:v>32970</c:v>
                </c:pt>
                <c:pt idx="1964">
                  <c:v>32971</c:v>
                </c:pt>
              </c:numCache>
            </c:numRef>
          </c:xVal>
          <c:yVal>
            <c:numRef>
              <c:f>'Simple Data'!$R$9:$R$1973</c:f>
              <c:numCache>
                <c:formatCode>0.00000000000</c:formatCode>
                <c:ptCount val="1965"/>
                <c:pt idx="0">
                  <c:v>-4.6911480033884345E-2</c:v>
                </c:pt>
                <c:pt idx="1">
                  <c:v>-4.095943051396489E-2</c:v>
                </c:pt>
                <c:pt idx="2">
                  <c:v>-3.5039918522272728E-2</c:v>
                </c:pt>
                <c:pt idx="3">
                  <c:v>-2.9152849911895373E-2</c:v>
                </c:pt>
                <c:pt idx="4">
                  <c:v>-2.3298139417704533E-2</c:v>
                </c:pt>
                <c:pt idx="5">
                  <c:v>-1.7475699998215077E-2</c:v>
                </c:pt>
                <c:pt idx="6">
                  <c:v>-1.1685442835585036E-2</c:v>
                </c:pt>
                <c:pt idx="7">
                  <c:v>-5.9272826646861176E-3</c:v>
                </c:pt>
                <c:pt idx="8">
                  <c:v>-2.0112533860583426E-4</c:v>
                </c:pt>
                <c:pt idx="9">
                  <c:v>5.4931108550704266E-3</c:v>
                </c:pt>
                <c:pt idx="10">
                  <c:v>1.1155512957827796E-2</c:v>
                </c:pt>
                <c:pt idx="11">
                  <c:v>1.6786169787508243E-2</c:v>
                </c:pt>
                <c:pt idx="12">
                  <c:v>2.2385171938310577E-2</c:v>
                </c:pt>
                <c:pt idx="13">
                  <c:v>2.7952602899006251E-2</c:v>
                </c:pt>
                <c:pt idx="14">
                  <c:v>3.3488547934723556E-2</c:v>
                </c:pt>
                <c:pt idx="15">
                  <c:v>3.8993094086947622E-2</c:v>
                </c:pt>
                <c:pt idx="16">
                  <c:v>4.4466337278947776E-2</c:v>
                </c:pt>
                <c:pt idx="17">
                  <c:v>4.9908352117711274E-2</c:v>
                </c:pt>
                <c:pt idx="18">
                  <c:v>5.5319227421080086E-2</c:v>
                </c:pt>
                <c:pt idx="19">
                  <c:v>6.069905555960986E-2</c:v>
                </c:pt>
                <c:pt idx="20">
                  <c:v>6.6047921798428888E-2</c:v>
                </c:pt>
                <c:pt idx="21">
                  <c:v>7.1365911402665461E-2</c:v>
                </c:pt>
                <c:pt idx="22">
                  <c:v>7.6653102532020512E-2</c:v>
                </c:pt>
                <c:pt idx="23">
                  <c:v>8.1909591109763369E-2</c:v>
                </c:pt>
                <c:pt idx="24">
                  <c:v>8.7135462401022323E-2</c:v>
                </c:pt>
                <c:pt idx="25">
                  <c:v>9.2330798118211987E-2</c:v>
                </c:pt>
                <c:pt idx="26">
                  <c:v>9.7495685302817492E-2</c:v>
                </c:pt>
                <c:pt idx="27">
                  <c:v>0.10263021099632397</c:v>
                </c:pt>
                <c:pt idx="28">
                  <c:v>0.10773445868750287</c:v>
                </c:pt>
                <c:pt idx="29">
                  <c:v>0.11280851541783932</c:v>
                </c:pt>
                <c:pt idx="30">
                  <c:v>0.11785246645246161</c:v>
                </c:pt>
                <c:pt idx="31">
                  <c:v>0.12286639705649804</c:v>
                </c:pt>
                <c:pt idx="32">
                  <c:v>0.12785038894236322</c:v>
                </c:pt>
                <c:pt idx="33">
                  <c:v>0.1328045344806128</c:v>
                </c:pt>
                <c:pt idx="34">
                  <c:v>0.13772890827823403</c:v>
                </c:pt>
                <c:pt idx="35">
                  <c:v>0.14262360625849624</c:v>
                </c:pt>
                <c:pt idx="36">
                  <c:v>0.14748870125202984</c:v>
                </c:pt>
                <c:pt idx="37">
                  <c:v>0.15232429095846101</c:v>
                </c:pt>
                <c:pt idx="38">
                  <c:v>0.15713044820842015</c:v>
                </c:pt>
                <c:pt idx="39">
                  <c:v>0.16190726359610608</c:v>
                </c:pt>
                <c:pt idx="40">
                  <c:v>0.1666548188339334</c:v>
                </c:pt>
                <c:pt idx="41">
                  <c:v>0.17137319741067358</c:v>
                </c:pt>
                <c:pt idx="42">
                  <c:v>0.17606248814416858</c:v>
                </c:pt>
                <c:pt idx="43">
                  <c:v>0.18072277097047618</c:v>
                </c:pt>
                <c:pt idx="44">
                  <c:v>0.18535412937836782</c:v>
                </c:pt>
                <c:pt idx="45">
                  <c:v>0.18995664863297179</c:v>
                </c:pt>
                <c:pt idx="46">
                  <c:v>0.19453041222305956</c:v>
                </c:pt>
                <c:pt idx="47">
                  <c:v>0.1990755054137594</c:v>
                </c:pt>
                <c:pt idx="48">
                  <c:v>0.20359200991748594</c:v>
                </c:pt>
                <c:pt idx="49">
                  <c:v>0.20808000922301062</c:v>
                </c:pt>
                <c:pt idx="50">
                  <c:v>0.21253958326639122</c:v>
                </c:pt>
                <c:pt idx="51">
                  <c:v>0.21697081908911287</c:v>
                </c:pt>
                <c:pt idx="52">
                  <c:v>0.22137379485087649</c:v>
                </c:pt>
                <c:pt idx="53">
                  <c:v>0.22574860114588091</c:v>
                </c:pt>
                <c:pt idx="54">
                  <c:v>0.23009531435747022</c:v>
                </c:pt>
                <c:pt idx="55">
                  <c:v>0.23441401797441586</c:v>
                </c:pt>
                <c:pt idx="56">
                  <c:v>0.23870479903820296</c:v>
                </c:pt>
                <c:pt idx="57">
                  <c:v>0.24296773748488931</c:v>
                </c:pt>
                <c:pt idx="58">
                  <c:v>0.24720291325053267</c:v>
                </c:pt>
                <c:pt idx="59">
                  <c:v>0.2514104098239045</c:v>
                </c:pt>
                <c:pt idx="60">
                  <c:v>0.25559031069377625</c:v>
                </c:pt>
                <c:pt idx="61">
                  <c:v>0.25974269579620568</c:v>
                </c:pt>
                <c:pt idx="62">
                  <c:v>0.26386765217267794</c:v>
                </c:pt>
                <c:pt idx="63">
                  <c:v>0.26796525265382343</c:v>
                </c:pt>
                <c:pt idx="64">
                  <c:v>0.27203558783384096</c:v>
                </c:pt>
                <c:pt idx="65">
                  <c:v>0.27607873409607464</c:v>
                </c:pt>
                <c:pt idx="66">
                  <c:v>0.28009478203472327</c:v>
                </c:pt>
                <c:pt idx="67">
                  <c:v>0.28408379559863306</c:v>
                </c:pt>
                <c:pt idx="68">
                  <c:v>0.28804586715835967</c:v>
                </c:pt>
                <c:pt idx="69">
                  <c:v>0.29198107842631771</c:v>
                </c:pt>
                <c:pt idx="70">
                  <c:v>0.29588950578585127</c:v>
                </c:pt>
                <c:pt idx="71">
                  <c:v>0.29977123450208865</c:v>
                </c:pt>
                <c:pt idx="72">
                  <c:v>0.30362634451108761</c:v>
                </c:pt>
                <c:pt idx="73">
                  <c:v>0.30745491574890593</c:v>
                </c:pt>
                <c:pt idx="74">
                  <c:v>0.31125702992795823</c:v>
                </c:pt>
                <c:pt idx="75">
                  <c:v>0.31503276876065911</c:v>
                </c:pt>
                <c:pt idx="76">
                  <c:v>0.31878220685399583</c:v>
                </c:pt>
                <c:pt idx="77">
                  <c:v>0.32250542947309668</c:v>
                </c:pt>
                <c:pt idx="78">
                  <c:v>0.32620251833037628</c:v>
                </c:pt>
                <c:pt idx="79">
                  <c:v>0.32987354448010819</c:v>
                </c:pt>
                <c:pt idx="80">
                  <c:v>0.33351860029284808</c:v>
                </c:pt>
                <c:pt idx="81">
                  <c:v>0.33713775682286951</c:v>
                </c:pt>
                <c:pt idx="82">
                  <c:v>0.34073109578258709</c:v>
                </c:pt>
                <c:pt idx="83">
                  <c:v>0.34429870066077228</c:v>
                </c:pt>
                <c:pt idx="84">
                  <c:v>0.34784065139348286</c:v>
                </c:pt>
                <c:pt idx="85">
                  <c:v>0.35135702081134923</c:v>
                </c:pt>
                <c:pt idx="86">
                  <c:v>0.35484789417949969</c:v>
                </c:pt>
                <c:pt idx="87">
                  <c:v>0.35831334788127833</c:v>
                </c:pt>
                <c:pt idx="88">
                  <c:v>0.36175345830002925</c:v>
                </c:pt>
                <c:pt idx="89">
                  <c:v>0.3651683089245239</c:v>
                </c:pt>
                <c:pt idx="90">
                  <c:v>0.36855797791446321</c:v>
                </c:pt>
                <c:pt idx="91">
                  <c:v>0.37192254698226179</c:v>
                </c:pt>
                <c:pt idx="92">
                  <c:v>0.37526208718219323</c:v>
                </c:pt>
                <c:pt idx="93">
                  <c:v>0.3785766837793858</c:v>
                </c:pt>
                <c:pt idx="94">
                  <c:v>0.38186641493354045</c:v>
                </c:pt>
                <c:pt idx="95">
                  <c:v>0.3851313534752876</c:v>
                </c:pt>
                <c:pt idx="96">
                  <c:v>0.38837158289339868</c:v>
                </c:pt>
                <c:pt idx="97">
                  <c:v>0.39158718312393148</c:v>
                </c:pt>
                <c:pt idx="98">
                  <c:v>0.39477822699751641</c:v>
                </c:pt>
                <c:pt idx="99">
                  <c:v>0.39794479622656809</c:v>
                </c:pt>
                <c:pt idx="100">
                  <c:v>0.40108696541807376</c:v>
                </c:pt>
                <c:pt idx="101">
                  <c:v>0.40420481628444804</c:v>
                </c:pt>
                <c:pt idx="102">
                  <c:v>0.40729841987996451</c:v>
                </c:pt>
                <c:pt idx="103">
                  <c:v>0.41036786502246514</c:v>
                </c:pt>
                <c:pt idx="104">
                  <c:v>0.41341321743715298</c:v>
                </c:pt>
                <c:pt idx="105">
                  <c:v>0.41643456238915633</c:v>
                </c:pt>
                <c:pt idx="106">
                  <c:v>0.41943197270910559</c:v>
                </c:pt>
                <c:pt idx="107">
                  <c:v>0.42240552655670172</c:v>
                </c:pt>
                <c:pt idx="108">
                  <c:v>0.42535530386800247</c:v>
                </c:pt>
                <c:pt idx="109">
                  <c:v>0.42828137747363826</c:v>
                </c:pt>
                <c:pt idx="110">
                  <c:v>0.43118382730966687</c:v>
                </c:pt>
                <c:pt idx="111">
                  <c:v>0.43406272443036187</c:v>
                </c:pt>
                <c:pt idx="112">
                  <c:v>0.43691815410085155</c:v>
                </c:pt>
                <c:pt idx="113">
                  <c:v>0.43975018915176634</c:v>
                </c:pt>
                <c:pt idx="114">
                  <c:v>0.44255890596645031</c:v>
                </c:pt>
                <c:pt idx="115">
                  <c:v>0.44534437915189073</c:v>
                </c:pt>
                <c:pt idx="116">
                  <c:v>0.44810668331507486</c:v>
                </c:pt>
                <c:pt idx="117">
                  <c:v>0.45084590194477414</c:v>
                </c:pt>
                <c:pt idx="118">
                  <c:v>0.45356210254254847</c:v>
                </c:pt>
                <c:pt idx="119">
                  <c:v>0.45625536859716931</c:v>
                </c:pt>
                <c:pt idx="120">
                  <c:v>0.45892577649198074</c:v>
                </c:pt>
                <c:pt idx="121">
                  <c:v>0.46157338662311531</c:v>
                </c:pt>
                <c:pt idx="122">
                  <c:v>0.46419829136112867</c:v>
                </c:pt>
                <c:pt idx="123">
                  <c:v>0.46680056176029439</c:v>
                </c:pt>
                <c:pt idx="124">
                  <c:v>0.46938026887488604</c:v>
                </c:pt>
                <c:pt idx="125">
                  <c:v>0.47193749441731825</c:v>
                </c:pt>
                <c:pt idx="126">
                  <c:v>0.4744723058891509</c:v>
                </c:pt>
                <c:pt idx="127">
                  <c:v>0.47698478500279862</c:v>
                </c:pt>
                <c:pt idx="128">
                  <c:v>0.47947500281253497</c:v>
                </c:pt>
                <c:pt idx="129">
                  <c:v>0.48194303392534721</c:v>
                </c:pt>
                <c:pt idx="130">
                  <c:v>0.48438895827729311</c:v>
                </c:pt>
                <c:pt idx="131">
                  <c:v>0.48681284514628942</c:v>
                </c:pt>
                <c:pt idx="132">
                  <c:v>0.48921476736296654</c:v>
                </c:pt>
                <c:pt idx="133">
                  <c:v>0.49159480841609593</c:v>
                </c:pt>
                <c:pt idx="134">
                  <c:v>0.49395303580723748</c:v>
                </c:pt>
                <c:pt idx="135">
                  <c:v>0.49628952059066478</c:v>
                </c:pt>
                <c:pt idx="136">
                  <c:v>0.49860434447879243</c:v>
                </c:pt>
                <c:pt idx="137">
                  <c:v>0.50089758385496452</c:v>
                </c:pt>
                <c:pt idx="138">
                  <c:v>0.50316930266802729</c:v>
                </c:pt>
                <c:pt idx="139">
                  <c:v>0.50541957197225429</c:v>
                </c:pt>
                <c:pt idx="140">
                  <c:v>0.50764848236184434</c:v>
                </c:pt>
                <c:pt idx="141">
                  <c:v>0.50985609068021631</c:v>
                </c:pt>
                <c:pt idx="142">
                  <c:v>0.51204247686342796</c:v>
                </c:pt>
                <c:pt idx="143">
                  <c:v>0.51420771907118024</c:v>
                </c:pt>
                <c:pt idx="144">
                  <c:v>0.51635187947596251</c:v>
                </c:pt>
                <c:pt idx="145">
                  <c:v>0.51847504334290306</c:v>
                </c:pt>
                <c:pt idx="146">
                  <c:v>0.52057727462084813</c:v>
                </c:pt>
                <c:pt idx="147">
                  <c:v>0.52265865324585548</c:v>
                </c:pt>
                <c:pt idx="148">
                  <c:v>0.52471924494312816</c:v>
                </c:pt>
                <c:pt idx="149">
                  <c:v>0.5267591314250808</c:v>
                </c:pt>
                <c:pt idx="150">
                  <c:v>0.5287783766405596</c:v>
                </c:pt>
                <c:pt idx="151">
                  <c:v>0.53077705519655183</c:v>
                </c:pt>
                <c:pt idx="152">
                  <c:v>0.5327552399236879</c:v>
                </c:pt>
                <c:pt idx="153">
                  <c:v>0.53471300365259822</c:v>
                </c:pt>
                <c:pt idx="154">
                  <c:v>0.53665042099027005</c:v>
                </c:pt>
                <c:pt idx="155">
                  <c:v>0.53856756476733381</c:v>
                </c:pt>
                <c:pt idx="156">
                  <c:v>0.54046449715627887</c:v>
                </c:pt>
                <c:pt idx="157">
                  <c:v>0.54234130519859036</c:v>
                </c:pt>
                <c:pt idx="158">
                  <c:v>0.54419804573768715</c:v>
                </c:pt>
                <c:pt idx="159">
                  <c:v>0.54603479693327017</c:v>
                </c:pt>
                <c:pt idx="160">
                  <c:v>0.54785162806325616</c:v>
                </c:pt>
                <c:pt idx="161">
                  <c:v>0.5496486155109892</c:v>
                </c:pt>
                <c:pt idx="162">
                  <c:v>0.55142583210709972</c:v>
                </c:pt>
                <c:pt idx="163">
                  <c:v>0.55318334180043394</c:v>
                </c:pt>
                <c:pt idx="164">
                  <c:v>0.55492121742162226</c:v>
                </c:pt>
                <c:pt idx="165">
                  <c:v>0.55663953180129511</c:v>
                </c:pt>
                <c:pt idx="166">
                  <c:v>0.55833835777008289</c:v>
                </c:pt>
                <c:pt idx="167">
                  <c:v>0.56001776105318868</c:v>
                </c:pt>
                <c:pt idx="168">
                  <c:v>0.56167781448124288</c:v>
                </c:pt>
                <c:pt idx="169">
                  <c:v>0.56331859443758958</c:v>
                </c:pt>
                <c:pt idx="170">
                  <c:v>0.56494016664743185</c:v>
                </c:pt>
                <c:pt idx="171">
                  <c:v>0.56654259328325907</c:v>
                </c:pt>
                <c:pt idx="172">
                  <c:v>0.56812595961019952</c:v>
                </c:pt>
                <c:pt idx="173">
                  <c:v>0.56969032957709942</c:v>
                </c:pt>
                <c:pt idx="174">
                  <c:v>0.57123577068551867</c:v>
                </c:pt>
                <c:pt idx="175">
                  <c:v>0.57276235043701718</c:v>
                </c:pt>
                <c:pt idx="176">
                  <c:v>0.57427014699129586</c:v>
                </c:pt>
                <c:pt idx="177">
                  <c:v>0.57575922429720094</c:v>
                </c:pt>
                <c:pt idx="178">
                  <c:v>0.577229653409006</c:v>
                </c:pt>
                <c:pt idx="179">
                  <c:v>0.5786815089336983</c:v>
                </c:pt>
                <c:pt idx="180">
                  <c:v>0.58011485126741036</c:v>
                </c:pt>
                <c:pt idx="181">
                  <c:v>0.58152975324077261</c:v>
                </c:pt>
                <c:pt idx="182">
                  <c:v>0.58292628768441546</c:v>
                </c:pt>
                <c:pt idx="183">
                  <c:v>0.58430452032354196</c:v>
                </c:pt>
                <c:pt idx="184">
                  <c:v>0.58566451688335519</c:v>
                </c:pt>
                <c:pt idx="185">
                  <c:v>0.58700635729991291</c:v>
                </c:pt>
                <c:pt idx="186">
                  <c:v>0.58833010196934765</c:v>
                </c:pt>
                <c:pt idx="187">
                  <c:v>0.58963581484050565</c:v>
                </c:pt>
                <c:pt idx="188">
                  <c:v>0.5909235776258015</c:v>
                </c:pt>
                <c:pt idx="189">
                  <c:v>0.59219344539229724</c:v>
                </c:pt>
                <c:pt idx="190">
                  <c:v>0.59344549629969379</c:v>
                </c:pt>
                <c:pt idx="191">
                  <c:v>0.59467979784955105</c:v>
                </c:pt>
                <c:pt idx="192">
                  <c:v>0.59589641221435841</c:v>
                </c:pt>
                <c:pt idx="193">
                  <c:v>0.59709541222474627</c:v>
                </c:pt>
                <c:pt idx="194">
                  <c:v>0.5982768636059177</c:v>
                </c:pt>
                <c:pt idx="195">
                  <c:v>0.59944083563578943</c:v>
                </c:pt>
                <c:pt idx="196">
                  <c:v>0.60058739581592135</c:v>
                </c:pt>
                <c:pt idx="197">
                  <c:v>0.6017166080951597</c:v>
                </c:pt>
                <c:pt idx="198">
                  <c:v>0.6028285506332054</c:v>
                </c:pt>
                <c:pt idx="199">
                  <c:v>0.60392327672076362</c:v>
                </c:pt>
                <c:pt idx="200">
                  <c:v>0.60500086451753532</c:v>
                </c:pt>
                <c:pt idx="201">
                  <c:v>0.60606137086693934</c:v>
                </c:pt>
                <c:pt idx="202">
                  <c:v>0.6071048774813903</c:v>
                </c:pt>
                <c:pt idx="203">
                  <c:v>0.60813143942795023</c:v>
                </c:pt>
                <c:pt idx="204">
                  <c:v>0.60914112776089269</c:v>
                </c:pt>
                <c:pt idx="205">
                  <c:v>0.6101340064290639</c:v>
                </c:pt>
                <c:pt idx="206">
                  <c:v>0.61111014648673745</c:v>
                </c:pt>
                <c:pt idx="207">
                  <c:v>0.61206961721183006</c:v>
                </c:pt>
                <c:pt idx="208">
                  <c:v>0.61301247900047429</c:v>
                </c:pt>
                <c:pt idx="209">
                  <c:v>0.61393879757787317</c:v>
                </c:pt>
                <c:pt idx="210">
                  <c:v>0.61484863866922979</c:v>
                </c:pt>
                <c:pt idx="211">
                  <c:v>0.6157420733288177</c:v>
                </c:pt>
                <c:pt idx="212">
                  <c:v>0.6166191690581968</c:v>
                </c:pt>
                <c:pt idx="213">
                  <c:v>0.61747998270078597</c:v>
                </c:pt>
                <c:pt idx="214">
                  <c:v>0.61832458531085877</c:v>
                </c:pt>
                <c:pt idx="215">
                  <c:v>0.61915304971904561</c:v>
                </c:pt>
                <c:pt idx="216">
                  <c:v>0.61996542743969485</c:v>
                </c:pt>
                <c:pt idx="217">
                  <c:v>0.62076179307979373</c:v>
                </c:pt>
                <c:pt idx="218">
                  <c:v>0.62154221058818848</c:v>
                </c:pt>
                <c:pt idx="219">
                  <c:v>0.62230674924279583</c:v>
                </c:pt>
                <c:pt idx="220">
                  <c:v>0.62305546766339148</c:v>
                </c:pt>
                <c:pt idx="221">
                  <c:v>0.62378843157517849</c:v>
                </c:pt>
                <c:pt idx="222">
                  <c:v>0.6245057102560736</c:v>
                </c:pt>
                <c:pt idx="223">
                  <c:v>0.6252073623258525</c:v>
                </c:pt>
                <c:pt idx="224">
                  <c:v>0.62589345883878877</c:v>
                </c:pt>
                <c:pt idx="225">
                  <c:v>0.62656406019101496</c:v>
                </c:pt>
                <c:pt idx="226">
                  <c:v>0.62721923743680463</c:v>
                </c:pt>
                <c:pt idx="227">
                  <c:v>0.62785904564321982</c:v>
                </c:pt>
                <c:pt idx="228">
                  <c:v>0.62848355586453408</c:v>
                </c:pt>
                <c:pt idx="229">
                  <c:v>0.62909283027323681</c:v>
                </c:pt>
                <c:pt idx="230">
                  <c:v>0.62968693459453107</c:v>
                </c:pt>
                <c:pt idx="231">
                  <c:v>0.63026592744819254</c:v>
                </c:pt>
                <c:pt idx="232">
                  <c:v>0.63082987988849482</c:v>
                </c:pt>
                <c:pt idx="233">
                  <c:v>0.63137884698249991</c:v>
                </c:pt>
                <c:pt idx="234">
                  <c:v>0.63191290511355191</c:v>
                </c:pt>
                <c:pt idx="235">
                  <c:v>0.63243210934871286</c:v>
                </c:pt>
                <c:pt idx="236">
                  <c:v>0.63293652363682895</c:v>
                </c:pt>
                <c:pt idx="237">
                  <c:v>0.63342621015038958</c:v>
                </c:pt>
                <c:pt idx="238">
                  <c:v>0.63390123639095464</c:v>
                </c:pt>
                <c:pt idx="239">
                  <c:v>0.63436166630737034</c:v>
                </c:pt>
                <c:pt idx="240">
                  <c:v>0.63480755319034188</c:v>
                </c:pt>
                <c:pt idx="241">
                  <c:v>0.63523897697592702</c:v>
                </c:pt>
                <c:pt idx="242">
                  <c:v>0.63565598740211726</c:v>
                </c:pt>
                <c:pt idx="243">
                  <c:v>0.63605864841775883</c:v>
                </c:pt>
                <c:pt idx="244">
                  <c:v>0.63644702752441162</c:v>
                </c:pt>
                <c:pt idx="245">
                  <c:v>0.63682118511820818</c:v>
                </c:pt>
                <c:pt idx="246">
                  <c:v>0.63718117981892419</c:v>
                </c:pt>
                <c:pt idx="247">
                  <c:v>0.63752707735176273</c:v>
                </c:pt>
                <c:pt idx="248">
                  <c:v>0.63785893988921316</c:v>
                </c:pt>
                <c:pt idx="249">
                  <c:v>0.63817683138012171</c:v>
                </c:pt>
                <c:pt idx="250">
                  <c:v>0.63848081222062092</c:v>
                </c:pt>
                <c:pt idx="251">
                  <c:v>0.638770946359557</c:v>
                </c:pt>
                <c:pt idx="252">
                  <c:v>0.63904729064034882</c:v>
                </c:pt>
                <c:pt idx="253">
                  <c:v>0.63930991078819943</c:v>
                </c:pt>
                <c:pt idx="254">
                  <c:v>0.63955886719924138</c:v>
                </c:pt>
                <c:pt idx="255">
                  <c:v>0.63979422382232087</c:v>
                </c:pt>
                <c:pt idx="256">
                  <c:v>0.6400160339481431</c:v>
                </c:pt>
                <c:pt idx="257">
                  <c:v>0.64022437218369532</c:v>
                </c:pt>
                <c:pt idx="258">
                  <c:v>0.64041929004332587</c:v>
                </c:pt>
                <c:pt idx="259">
                  <c:v>0.64060084969952413</c:v>
                </c:pt>
                <c:pt idx="260">
                  <c:v>0.6407691097720658</c:v>
                </c:pt>
                <c:pt idx="261">
                  <c:v>0.64092413598615394</c:v>
                </c:pt>
                <c:pt idx="262">
                  <c:v>0.64106599761970529</c:v>
                </c:pt>
                <c:pt idx="263">
                  <c:v>0.64119473552892714</c:v>
                </c:pt>
                <c:pt idx="264">
                  <c:v>0.64131042076809308</c:v>
                </c:pt>
                <c:pt idx="265">
                  <c:v>0.64141311728604933</c:v>
                </c:pt>
                <c:pt idx="266">
                  <c:v>0.64150287659714422</c:v>
                </c:pt>
                <c:pt idx="267">
                  <c:v>0.6415797679792945</c:v>
                </c:pt>
                <c:pt idx="268">
                  <c:v>0.64164384472320535</c:v>
                </c:pt>
                <c:pt idx="269">
                  <c:v>0.64169517077772298</c:v>
                </c:pt>
                <c:pt idx="270">
                  <c:v>0.64173380831533677</c:v>
                </c:pt>
                <c:pt idx="271">
                  <c:v>0.64175980885039507</c:v>
                </c:pt>
                <c:pt idx="272">
                  <c:v>0.6417732363317441</c:v>
                </c:pt>
                <c:pt idx="273">
                  <c:v>0.64177415470823007</c:v>
                </c:pt>
                <c:pt idx="274">
                  <c:v>0.64176261549420133</c:v>
                </c:pt>
                <c:pt idx="275">
                  <c:v>0.64173868441486093</c:v>
                </c:pt>
                <c:pt idx="276">
                  <c:v>0.64170241831362773</c:v>
                </c:pt>
                <c:pt idx="277">
                  <c:v>0.64165388113934796</c:v>
                </c:pt>
                <c:pt idx="278">
                  <c:v>0.64159312263001311</c:v>
                </c:pt>
                <c:pt idx="279">
                  <c:v>0.64152021028718309</c:v>
                </c:pt>
                <c:pt idx="280">
                  <c:v>0.64143519562520623</c:v>
                </c:pt>
                <c:pt idx="281">
                  <c:v>0.64133814081657192</c:v>
                </c:pt>
                <c:pt idx="282">
                  <c:v>0.64122911158648321</c:v>
                </c:pt>
                <c:pt idx="283">
                  <c:v>0.64110814879114741</c:v>
                </c:pt>
                <c:pt idx="284">
                  <c:v>0.6409753323666223</c:v>
                </c:pt>
                <c:pt idx="285">
                  <c:v>0.64083070672182885</c:v>
                </c:pt>
                <c:pt idx="286">
                  <c:v>0.64067433402925644</c:v>
                </c:pt>
                <c:pt idx="287">
                  <c:v>0.64050626580325343</c:v>
                </c:pt>
                <c:pt idx="288">
                  <c:v>0.6403265695453797</c:v>
                </c:pt>
                <c:pt idx="289">
                  <c:v>0.64013530209905412</c:v>
                </c:pt>
                <c:pt idx="290">
                  <c:v>0.63993252030769554</c:v>
                </c:pt>
                <c:pt idx="291">
                  <c:v>0.63971827746200915</c:v>
                </c:pt>
                <c:pt idx="292">
                  <c:v>0.63949263573448434</c:v>
                </c:pt>
                <c:pt idx="293">
                  <c:v>0.63925564663946943</c:v>
                </c:pt>
                <c:pt idx="294">
                  <c:v>0.63900737767852434</c:v>
                </c:pt>
                <c:pt idx="295">
                  <c:v>0.63874787858964055</c:v>
                </c:pt>
                <c:pt idx="296">
                  <c:v>0.6384772044398801</c:v>
                </c:pt>
                <c:pt idx="297">
                  <c:v>0.63819542805987339</c:v>
                </c:pt>
                <c:pt idx="298">
                  <c:v>0.63790258497675723</c:v>
                </c:pt>
                <c:pt idx="299">
                  <c:v>0.63759874624480517</c:v>
                </c:pt>
                <c:pt idx="300">
                  <c:v>0.63728396160200873</c:v>
                </c:pt>
                <c:pt idx="301">
                  <c:v>0.63695829144450045</c:v>
                </c:pt>
                <c:pt idx="302">
                  <c:v>0.63662178728662866</c:v>
                </c:pt>
                <c:pt idx="303">
                  <c:v>0.63627451307723959</c:v>
                </c:pt>
                <c:pt idx="304">
                  <c:v>0.63591652210703842</c:v>
                </c:pt>
                <c:pt idx="305">
                  <c:v>0.635547871219444</c:v>
                </c:pt>
                <c:pt idx="306">
                  <c:v>0.63516861192880469</c:v>
                </c:pt>
                <c:pt idx="307">
                  <c:v>0.63477880107853935</c:v>
                </c:pt>
                <c:pt idx="308">
                  <c:v>0.63437850261749418</c:v>
                </c:pt>
                <c:pt idx="309">
                  <c:v>0.63396776628366069</c:v>
                </c:pt>
                <c:pt idx="310">
                  <c:v>0.63354664536774408</c:v>
                </c:pt>
                <c:pt idx="311">
                  <c:v>0.63311520381859054</c:v>
                </c:pt>
                <c:pt idx="312">
                  <c:v>0.63267348782147792</c:v>
                </c:pt>
                <c:pt idx="313">
                  <c:v>0.63222155777253874</c:v>
                </c:pt>
                <c:pt idx="314">
                  <c:v>0.63175946340976452</c:v>
                </c:pt>
                <c:pt idx="315">
                  <c:v>0.63128727578742883</c:v>
                </c:pt>
                <c:pt idx="316">
                  <c:v>0.63080503043266845</c:v>
                </c:pt>
                <c:pt idx="317">
                  <c:v>0.63031278774161592</c:v>
                </c:pt>
                <c:pt idx="318">
                  <c:v>0.62981060455769011</c:v>
                </c:pt>
                <c:pt idx="319">
                  <c:v>0.62929854482973724</c:v>
                </c:pt>
                <c:pt idx="320">
                  <c:v>0.62877664941396461</c:v>
                </c:pt>
                <c:pt idx="321">
                  <c:v>0.62824497693014791</c:v>
                </c:pt>
                <c:pt idx="322">
                  <c:v>0.62770358599806286</c:v>
                </c:pt>
                <c:pt idx="323">
                  <c:v>0.6271525281320578</c:v>
                </c:pt>
                <c:pt idx="324">
                  <c:v>0.62659185662283789</c:v>
                </c:pt>
                <c:pt idx="325">
                  <c:v>0.6260216229847515</c:v>
                </c:pt>
                <c:pt idx="326">
                  <c:v>0.62544188761393116</c:v>
                </c:pt>
                <c:pt idx="327">
                  <c:v>0.6248527020247252</c:v>
                </c:pt>
                <c:pt idx="328">
                  <c:v>0.62425411773148198</c:v>
                </c:pt>
                <c:pt idx="329">
                  <c:v>0.62364619157762036</c:v>
                </c:pt>
                <c:pt idx="330">
                  <c:v>0.62302897685384551</c:v>
                </c:pt>
                <c:pt idx="331">
                  <c:v>0.62240251796907842</c:v>
                </c:pt>
                <c:pt idx="332">
                  <c:v>0.62176688597759266</c:v>
                </c:pt>
                <c:pt idx="333">
                  <c:v>0.62112212173559556</c:v>
                </c:pt>
                <c:pt idx="334">
                  <c:v>0.62046828208650595</c:v>
                </c:pt>
                <c:pt idx="335">
                  <c:v>0.61980541499195851</c:v>
                </c:pt>
                <c:pt idx="336">
                  <c:v>0.61913357729537211</c:v>
                </c:pt>
                <c:pt idx="337">
                  <c:v>0.61845282761652243</c:v>
                </c:pt>
                <c:pt idx="338">
                  <c:v>0.61776320681161678</c:v>
                </c:pt>
                <c:pt idx="339">
                  <c:v>0.61706477882950139</c:v>
                </c:pt>
                <c:pt idx="340">
                  <c:v>0.61635758807909724</c:v>
                </c:pt>
                <c:pt idx="341">
                  <c:v>0.61564168429839583</c:v>
                </c:pt>
                <c:pt idx="342">
                  <c:v>0.61491713498895706</c:v>
                </c:pt>
                <c:pt idx="343">
                  <c:v>0.61418397923063139</c:v>
                </c:pt>
                <c:pt idx="344">
                  <c:v>0.61344227209048086</c:v>
                </c:pt>
                <c:pt idx="345">
                  <c:v>0.61269206863556747</c:v>
                </c:pt>
                <c:pt idx="346">
                  <c:v>0.61193341505116905</c:v>
                </c:pt>
                <c:pt idx="347">
                  <c:v>0.61116636462799079</c:v>
                </c:pt>
                <c:pt idx="348">
                  <c:v>0.61039097776216522</c:v>
                </c:pt>
                <c:pt idx="349">
                  <c:v>0.60960729353354282</c:v>
                </c:pt>
                <c:pt idx="350">
                  <c:v>0.60881537766732663</c:v>
                </c:pt>
                <c:pt idx="351">
                  <c:v>0.60801526391429661</c:v>
                </c:pt>
                <c:pt idx="352">
                  <c:v>0.60720701444694214</c:v>
                </c:pt>
                <c:pt idx="353">
                  <c:v>0.60639067900325472</c:v>
                </c:pt>
                <c:pt idx="354">
                  <c:v>0.60556631087393953</c:v>
                </c:pt>
                <c:pt idx="355">
                  <c:v>0.60473395446791756</c:v>
                </c:pt>
                <c:pt idx="356">
                  <c:v>0.60389366485225082</c:v>
                </c:pt>
                <c:pt idx="357">
                  <c:v>0.60304549176493083</c:v>
                </c:pt>
                <c:pt idx="358">
                  <c:v>0.60218948849666276</c:v>
                </c:pt>
                <c:pt idx="359">
                  <c:v>0.60132570123272444</c:v>
                </c:pt>
                <c:pt idx="360">
                  <c:v>0.60045418681653473</c:v>
                </c:pt>
                <c:pt idx="361">
                  <c:v>0.59957498610430093</c:v>
                </c:pt>
                <c:pt idx="362">
                  <c:v>0.59868815771579875</c:v>
                </c:pt>
                <c:pt idx="363">
                  <c:v>0.59779374428359233</c:v>
                </c:pt>
                <c:pt idx="364">
                  <c:v>0.59689180620381421</c:v>
                </c:pt>
                <c:pt idx="365">
                  <c:v>0.59598238255631486</c:v>
                </c:pt>
                <c:pt idx="366">
                  <c:v>0.59506553018451314</c:v>
                </c:pt>
                <c:pt idx="367">
                  <c:v>0.5941412970500437</c:v>
                </c:pt>
                <c:pt idx="368">
                  <c:v>0.59320973111454123</c:v>
                </c:pt>
                <c:pt idx="369">
                  <c:v>0.59227088389235405</c:v>
                </c:pt>
                <c:pt idx="370">
                  <c:v>0.59132480156875999</c:v>
                </c:pt>
                <c:pt idx="371">
                  <c:v>0.5903715356581074</c:v>
                </c:pt>
                <c:pt idx="372">
                  <c:v>0.58941113767474462</c:v>
                </c:pt>
                <c:pt idx="373">
                  <c:v>0.58844364847487896</c:v>
                </c:pt>
                <c:pt idx="374">
                  <c:v>0.58746913023099978</c:v>
                </c:pt>
                <c:pt idx="375">
                  <c:v>0.58648762024660073</c:v>
                </c:pt>
                <c:pt idx="376">
                  <c:v>0.58549916648331646</c:v>
                </c:pt>
                <c:pt idx="377">
                  <c:v>0.58450382578456583</c:v>
                </c:pt>
                <c:pt idx="378">
                  <c:v>0.58350164611198352</c:v>
                </c:pt>
                <c:pt idx="379">
                  <c:v>0.58249266832177682</c:v>
                </c:pt>
                <c:pt idx="380">
                  <c:v>0.58147694925736459</c:v>
                </c:pt>
                <c:pt idx="381">
                  <c:v>0.58045452977495415</c:v>
                </c:pt>
                <c:pt idx="382">
                  <c:v>0.57942546494160752</c:v>
                </c:pt>
                <c:pt idx="383">
                  <c:v>0.57838979561353199</c:v>
                </c:pt>
                <c:pt idx="384">
                  <c:v>0.57734757152871907</c:v>
                </c:pt>
                <c:pt idx="385">
                  <c:v>0.57629884597787395</c:v>
                </c:pt>
                <c:pt idx="386">
                  <c:v>0.57524366869898813</c:v>
                </c:pt>
                <c:pt idx="387">
                  <c:v>0.57418207166648472</c:v>
                </c:pt>
                <c:pt idx="388">
                  <c:v>0.57311411172378257</c:v>
                </c:pt>
                <c:pt idx="389">
                  <c:v>0.57203984216158688</c:v>
                </c:pt>
                <c:pt idx="390">
                  <c:v>0.5709593020597481</c:v>
                </c:pt>
                <c:pt idx="391">
                  <c:v>0.56987253760354406</c:v>
                </c:pt>
                <c:pt idx="392">
                  <c:v>0.56877960563639363</c:v>
                </c:pt>
                <c:pt idx="393">
                  <c:v>0.56768054168543358</c:v>
                </c:pt>
                <c:pt idx="394">
                  <c:v>0.56657539548865543</c:v>
                </c:pt>
                <c:pt idx="395">
                  <c:v>0.5654642221131212</c:v>
                </c:pt>
                <c:pt idx="396">
                  <c:v>0.56434705530961082</c:v>
                </c:pt>
                <c:pt idx="397">
                  <c:v>0.56322395725061369</c:v>
                </c:pt>
                <c:pt idx="398">
                  <c:v>0.56209495813419608</c:v>
                </c:pt>
                <c:pt idx="399">
                  <c:v>0.56096011125106315</c:v>
                </c:pt>
                <c:pt idx="400">
                  <c:v>0.55981946456284959</c:v>
                </c:pt>
                <c:pt idx="401">
                  <c:v>0.55867306247847637</c:v>
                </c:pt>
                <c:pt idx="402">
                  <c:v>0.55752095295957815</c:v>
                </c:pt>
                <c:pt idx="403">
                  <c:v>0.55636317686236225</c:v>
                </c:pt>
                <c:pt idx="404">
                  <c:v>0.55519978747753385</c:v>
                </c:pt>
                <c:pt idx="405">
                  <c:v>0.5540308238849434</c:v>
                </c:pt>
                <c:pt idx="406">
                  <c:v>0.55285632871715507</c:v>
                </c:pt>
                <c:pt idx="407">
                  <c:v>0.55167635526487402</c:v>
                </c:pt>
                <c:pt idx="408">
                  <c:v>0.55049094971337809</c:v>
                </c:pt>
                <c:pt idx="409">
                  <c:v>0.54930014758980406</c:v>
                </c:pt>
                <c:pt idx="410">
                  <c:v>0.54810400573757079</c:v>
                </c:pt>
                <c:pt idx="411">
                  <c:v>0.54690256146017191</c:v>
                </c:pt>
                <c:pt idx="412">
                  <c:v>0.54569585561381473</c:v>
                </c:pt>
                <c:pt idx="413">
                  <c:v>0.54448394681827494</c:v>
                </c:pt>
                <c:pt idx="414">
                  <c:v>0.54326686882433251</c:v>
                </c:pt>
                <c:pt idx="415">
                  <c:v>0.54204467314633575</c:v>
                </c:pt>
                <c:pt idx="416">
                  <c:v>0.54081739708777832</c:v>
                </c:pt>
                <c:pt idx="417">
                  <c:v>0.53958508861029486</c:v>
                </c:pt>
                <c:pt idx="418">
                  <c:v>0.53834779212280637</c:v>
                </c:pt>
                <c:pt idx="419">
                  <c:v>0.53710555025787698</c:v>
                </c:pt>
                <c:pt idx="420">
                  <c:v>0.53585840920078454</c:v>
                </c:pt>
                <c:pt idx="421">
                  <c:v>0.53460641691316368</c:v>
                </c:pt>
                <c:pt idx="422">
                  <c:v>0.53334961069850806</c:v>
                </c:pt>
                <c:pt idx="423">
                  <c:v>0.53208803141302496</c:v>
                </c:pt>
                <c:pt idx="424">
                  <c:v>0.53082173057106274</c:v>
                </c:pt>
                <c:pt idx="425">
                  <c:v>0.5295507490288287</c:v>
                </c:pt>
                <c:pt idx="426">
                  <c:v>0.52827512764253015</c:v>
                </c:pt>
                <c:pt idx="427">
                  <c:v>0.52699491082108807</c:v>
                </c:pt>
                <c:pt idx="428">
                  <c:v>0.5257101500788508</c:v>
                </c:pt>
                <c:pt idx="429">
                  <c:v>0.52442087206117094</c:v>
                </c:pt>
                <c:pt idx="430">
                  <c:v>0.52312712828239682</c:v>
                </c:pt>
                <c:pt idx="431">
                  <c:v>0.5218289702568768</c:v>
                </c:pt>
                <c:pt idx="432">
                  <c:v>0.52052642818267714</c:v>
                </c:pt>
                <c:pt idx="433">
                  <c:v>0.51921955357414618</c:v>
                </c:pt>
                <c:pt idx="434">
                  <c:v>0.51790838018206387</c:v>
                </c:pt>
                <c:pt idx="435">
                  <c:v>0.51659295596806487</c:v>
                </c:pt>
                <c:pt idx="436">
                  <c:v>0.51527332534107018</c:v>
                </c:pt>
                <c:pt idx="437">
                  <c:v>0.51394952382821657</c:v>
                </c:pt>
                <c:pt idx="438">
                  <c:v>0.51262160116749556</c:v>
                </c:pt>
                <c:pt idx="439">
                  <c:v>0.5112895964387576</c:v>
                </c:pt>
                <c:pt idx="440">
                  <c:v>0.50995355227456685</c:v>
                </c:pt>
                <c:pt idx="441">
                  <c:v>0.50861350420206008</c:v>
                </c:pt>
                <c:pt idx="442">
                  <c:v>0.50726949840651514</c:v>
                </c:pt>
                <c:pt idx="443">
                  <c:v>0.50592158107320984</c:v>
                </c:pt>
                <c:pt idx="444">
                  <c:v>0.5045697895056378</c:v>
                </c:pt>
                <c:pt idx="445">
                  <c:v>0.50321416100729266</c:v>
                </c:pt>
                <c:pt idx="446">
                  <c:v>0.50185474531616592</c:v>
                </c:pt>
                <c:pt idx="447">
                  <c:v>0.50049158151210804</c:v>
                </c:pt>
                <c:pt idx="448">
                  <c:v>0.49912470512225582</c:v>
                </c:pt>
                <c:pt idx="449">
                  <c:v>0.49775415877917339</c:v>
                </c:pt>
                <c:pt idx="450">
                  <c:v>0.49637998866813859</c:v>
                </c:pt>
                <c:pt idx="451">
                  <c:v>0.49500223386900188</c:v>
                </c:pt>
                <c:pt idx="452">
                  <c:v>0.49362093168525689</c:v>
                </c:pt>
                <c:pt idx="453">
                  <c:v>0.49223612297311092</c:v>
                </c:pt>
                <c:pt idx="454">
                  <c:v>0.49084785036512812</c:v>
                </c:pt>
                <c:pt idx="455">
                  <c:v>0.4894561547175158</c:v>
                </c:pt>
                <c:pt idx="456">
                  <c:v>0.48806107688648126</c:v>
                </c:pt>
                <c:pt idx="457">
                  <c:v>0.48666265772823181</c:v>
                </c:pt>
                <c:pt idx="458">
                  <c:v>0.48526093099354739</c:v>
                </c:pt>
                <c:pt idx="459">
                  <c:v>0.48385594286770583</c:v>
                </c:pt>
                <c:pt idx="460">
                  <c:v>0.48244772532513025</c:v>
                </c:pt>
                <c:pt idx="461">
                  <c:v>0.48103632810381214</c:v>
                </c:pt>
                <c:pt idx="462">
                  <c:v>0.47962178673088829</c:v>
                </c:pt>
                <c:pt idx="463">
                  <c:v>0.47820413673349549</c:v>
                </c:pt>
                <c:pt idx="464">
                  <c:v>0.47678342784962524</c:v>
                </c:pt>
                <c:pt idx="465">
                  <c:v>0.47535968672463014</c:v>
                </c:pt>
                <c:pt idx="466">
                  <c:v>0.47393296487285852</c:v>
                </c:pt>
                <c:pt idx="467">
                  <c:v>0.47250328716330614</c:v>
                </c:pt>
                <c:pt idx="468">
                  <c:v>0.47107070688667818</c:v>
                </c:pt>
                <c:pt idx="469">
                  <c:v>0.46963525424104091</c:v>
                </c:pt>
                <c:pt idx="470">
                  <c:v>0.46819697008260164</c:v>
                </c:pt>
                <c:pt idx="471">
                  <c:v>0.46675589349121083</c:v>
                </c:pt>
                <c:pt idx="472">
                  <c:v>0.46531206177036211</c:v>
                </c:pt>
                <c:pt idx="473">
                  <c:v>0.46386551577626278</c:v>
                </c:pt>
                <c:pt idx="474">
                  <c:v>0.46241629281240648</c:v>
                </c:pt>
                <c:pt idx="475">
                  <c:v>0.46096443728771419</c:v>
                </c:pt>
                <c:pt idx="476">
                  <c:v>0.45950997407118166</c:v>
                </c:pt>
                <c:pt idx="477">
                  <c:v>0.45805294934808671</c:v>
                </c:pt>
                <c:pt idx="478">
                  <c:v>0.45659340219827982</c:v>
                </c:pt>
                <c:pt idx="479">
                  <c:v>0.45513136281982725</c:v>
                </c:pt>
                <c:pt idx="480">
                  <c:v>0.45366688272707734</c:v>
                </c:pt>
                <c:pt idx="481">
                  <c:v>0.452199985012669</c:v>
                </c:pt>
                <c:pt idx="482">
                  <c:v>0.45073071408552323</c:v>
                </c:pt>
                <c:pt idx="483">
                  <c:v>0.44925910902549049</c:v>
                </c:pt>
                <c:pt idx="484">
                  <c:v>0.4477851982542802</c:v>
                </c:pt>
                <c:pt idx="485">
                  <c:v>0.44630902973352704</c:v>
                </c:pt>
                <c:pt idx="486">
                  <c:v>0.44483063899036779</c:v>
                </c:pt>
                <c:pt idx="487">
                  <c:v>0.44335005444651188</c:v>
                </c:pt>
                <c:pt idx="488">
                  <c:v>0.44186732583995081</c:v>
                </c:pt>
                <c:pt idx="489">
                  <c:v>0.4403824762633235</c:v>
                </c:pt>
                <c:pt idx="490">
                  <c:v>0.43889555190190777</c:v>
                </c:pt>
                <c:pt idx="491">
                  <c:v>0.43740659005919724</c:v>
                </c:pt>
                <c:pt idx="492">
                  <c:v>0.4359156209332582</c:v>
                </c:pt>
                <c:pt idx="493">
                  <c:v>0.43442268182758426</c:v>
                </c:pt>
                <c:pt idx="494">
                  <c:v>0.43292781359838273</c:v>
                </c:pt>
                <c:pt idx="495">
                  <c:v>0.43143104466736304</c:v>
                </c:pt>
                <c:pt idx="496">
                  <c:v>0.42993242121980302</c:v>
                </c:pt>
                <c:pt idx="497">
                  <c:v>0.42843197523012577</c:v>
                </c:pt>
                <c:pt idx="498">
                  <c:v>0.42692973156732705</c:v>
                </c:pt>
                <c:pt idx="499">
                  <c:v>0.42542574352211204</c:v>
                </c:pt>
                <c:pt idx="500">
                  <c:v>0.42392003596347649</c:v>
                </c:pt>
                <c:pt idx="501">
                  <c:v>0.42241264619491403</c:v>
                </c:pt>
                <c:pt idx="502">
                  <c:v>0.42090361507263196</c:v>
                </c:pt>
                <c:pt idx="503">
                  <c:v>0.41939297279469656</c:v>
                </c:pt>
                <c:pt idx="504">
                  <c:v>0.41788074955917409</c:v>
                </c:pt>
                <c:pt idx="505">
                  <c:v>0.41636699155134238</c:v>
                </c:pt>
                <c:pt idx="506">
                  <c:v>0.41485172541655402</c:v>
                </c:pt>
                <c:pt idx="507">
                  <c:v>0.41333499201101631</c:v>
                </c:pt>
                <c:pt idx="508">
                  <c:v>0.41181681620372501</c:v>
                </c:pt>
                <c:pt idx="509">
                  <c:v>0.41029724773267162</c:v>
                </c:pt>
                <c:pt idx="510">
                  <c:v>0.40877631324320873</c:v>
                </c:pt>
                <c:pt idx="511">
                  <c:v>0.40725404293340262</c:v>
                </c:pt>
                <c:pt idx="512">
                  <c:v>0.40573047233039006</c:v>
                </c:pt>
                <c:pt idx="513">
                  <c:v>0.40420564229037836</c:v>
                </c:pt>
                <c:pt idx="514">
                  <c:v>0.40267958123507697</c:v>
                </c:pt>
                <c:pt idx="515">
                  <c:v>0.40115232824433633</c:v>
                </c:pt>
                <c:pt idx="516">
                  <c:v>0.39962391173986589</c:v>
                </c:pt>
                <c:pt idx="517">
                  <c:v>0.39809436547244559</c:v>
                </c:pt>
                <c:pt idx="518">
                  <c:v>0.39656372496921222</c:v>
                </c:pt>
                <c:pt idx="519">
                  <c:v>0.3950320275336594</c:v>
                </c:pt>
                <c:pt idx="520">
                  <c:v>0.39349930336385341</c:v>
                </c:pt>
                <c:pt idx="521">
                  <c:v>0.3919655862105742</c:v>
                </c:pt>
                <c:pt idx="522">
                  <c:v>0.39043090804824487</c:v>
                </c:pt>
                <c:pt idx="523">
                  <c:v>0.38889530440400222</c:v>
                </c:pt>
                <c:pt idx="524">
                  <c:v>0.38735880369955566</c:v>
                </c:pt>
                <c:pt idx="525">
                  <c:v>0.38582144856746936</c:v>
                </c:pt>
                <c:pt idx="526">
                  <c:v>0.38428326210038222</c:v>
                </c:pt>
                <c:pt idx="527">
                  <c:v>0.38274427982543102</c:v>
                </c:pt>
                <c:pt idx="528">
                  <c:v>0.38120453726975256</c:v>
                </c:pt>
                <c:pt idx="529">
                  <c:v>0.37966406463141311</c:v>
                </c:pt>
                <c:pt idx="530">
                  <c:v>0.37812289566119262</c:v>
                </c:pt>
                <c:pt idx="531">
                  <c:v>0.3765810587808005</c:v>
                </c:pt>
                <c:pt idx="532">
                  <c:v>0.37503858774101673</c:v>
                </c:pt>
                <c:pt idx="533">
                  <c:v>0.37349551806897807</c:v>
                </c:pt>
                <c:pt idx="534">
                  <c:v>0.37195188173910765</c:v>
                </c:pt>
                <c:pt idx="535">
                  <c:v>0.37040770184404437</c:v>
                </c:pt>
                <c:pt idx="536">
                  <c:v>0.36886302456906606</c:v>
                </c:pt>
                <c:pt idx="537">
                  <c:v>0.36731786945409794</c:v>
                </c:pt>
                <c:pt idx="538">
                  <c:v>0.36577227735534734</c:v>
                </c:pt>
                <c:pt idx="539">
                  <c:v>0.36422626958909632</c:v>
                </c:pt>
                <c:pt idx="540">
                  <c:v>0.36267988878790902</c:v>
                </c:pt>
                <c:pt idx="541">
                  <c:v>0.36113315449171068</c:v>
                </c:pt>
                <c:pt idx="542">
                  <c:v>0.35958610755670861</c:v>
                </c:pt>
                <c:pt idx="543">
                  <c:v>0.35803876929918488</c:v>
                </c:pt>
                <c:pt idx="544">
                  <c:v>0.35649118590441731</c:v>
                </c:pt>
                <c:pt idx="545">
                  <c:v>0.35494337335961745</c:v>
                </c:pt>
                <c:pt idx="546">
                  <c:v>0.35339537252099262</c:v>
                </c:pt>
                <c:pt idx="547">
                  <c:v>0.35184720648118173</c:v>
                </c:pt>
                <c:pt idx="548">
                  <c:v>0.35029890899096472</c:v>
                </c:pt>
                <c:pt idx="549">
                  <c:v>0.3487505120247647</c:v>
                </c:pt>
                <c:pt idx="550">
                  <c:v>0.34720204045157743</c:v>
                </c:pt>
                <c:pt idx="551">
                  <c:v>0.34565353335125337</c:v>
                </c:pt>
                <c:pt idx="552">
                  <c:v>0.34410501381643144</c:v>
                </c:pt>
                <c:pt idx="553">
                  <c:v>0.34255651559789158</c:v>
                </c:pt>
                <c:pt idx="554">
                  <c:v>0.3410080617882727</c:v>
                </c:pt>
                <c:pt idx="555">
                  <c:v>0.33945969324378211</c:v>
                </c:pt>
                <c:pt idx="556">
                  <c:v>0.33791143128070189</c:v>
                </c:pt>
                <c:pt idx="557">
                  <c:v>0.33636330787345514</c:v>
                </c:pt>
                <c:pt idx="558">
                  <c:v>0.3348153514437513</c:v>
                </c:pt>
                <c:pt idx="559">
                  <c:v>0.33326759041329979</c:v>
                </c:pt>
                <c:pt idx="560">
                  <c:v>0.3317200603092374</c:v>
                </c:pt>
                <c:pt idx="561">
                  <c:v>0.33017278600055988</c:v>
                </c:pt>
                <c:pt idx="562">
                  <c:v>0.32862579413261983</c:v>
                </c:pt>
                <c:pt idx="563">
                  <c:v>0.32707912556162455</c:v>
                </c:pt>
                <c:pt idx="564">
                  <c:v>0.32553278916935824</c:v>
                </c:pt>
                <c:pt idx="565">
                  <c:v>0.3239868258120282</c:v>
                </c:pt>
                <c:pt idx="566">
                  <c:v>0.32244126391134387</c:v>
                </c:pt>
                <c:pt idx="567">
                  <c:v>0.32089613544172835</c:v>
                </c:pt>
                <c:pt idx="568">
                  <c:v>0.31935145816675004</c:v>
                </c:pt>
                <c:pt idx="569">
                  <c:v>0.31780726583718888</c:v>
                </c:pt>
                <c:pt idx="570">
                  <c:v>0.31626358687475431</c:v>
                </c:pt>
                <c:pt idx="571">
                  <c:v>0.31472045325386944</c:v>
                </c:pt>
                <c:pt idx="572">
                  <c:v>0.31317788629081633</c:v>
                </c:pt>
                <c:pt idx="573">
                  <c:v>0.31163591973637494</c:v>
                </c:pt>
                <c:pt idx="574">
                  <c:v>0.31009457845954103</c:v>
                </c:pt>
                <c:pt idx="575">
                  <c:v>0.30855389088202401</c:v>
                </c:pt>
                <c:pt idx="576">
                  <c:v>0.30701388187281964</c:v>
                </c:pt>
                <c:pt idx="577">
                  <c:v>0.30547457985363735</c:v>
                </c:pt>
                <c:pt idx="578">
                  <c:v>0.30393601679890025</c:v>
                </c:pt>
                <c:pt idx="579">
                  <c:v>0.3023982175776041</c:v>
                </c:pt>
                <c:pt idx="580">
                  <c:v>0.30086120705874464</c:v>
                </c:pt>
                <c:pt idx="581">
                  <c:v>0.29932501544038814</c:v>
                </c:pt>
                <c:pt idx="582">
                  <c:v>0.29778966581517352</c:v>
                </c:pt>
                <c:pt idx="583">
                  <c:v>0.29625518838116705</c:v>
                </c:pt>
                <c:pt idx="584">
                  <c:v>0.29472160623100763</c:v>
                </c:pt>
                <c:pt idx="585">
                  <c:v>0.29318894423369102</c:v>
                </c:pt>
                <c:pt idx="586">
                  <c:v>0.29165723969271085</c:v>
                </c:pt>
                <c:pt idx="587">
                  <c:v>0.29012650859527866</c:v>
                </c:pt>
                <c:pt idx="588">
                  <c:v>0.28859678469217442</c:v>
                </c:pt>
                <c:pt idx="589">
                  <c:v>0.28706808752332336</c:v>
                </c:pt>
                <c:pt idx="590">
                  <c:v>0.28554044906314857</c:v>
                </c:pt>
                <c:pt idx="591">
                  <c:v>0.28401389062793214</c:v>
                </c:pt>
                <c:pt idx="592">
                  <c:v>0.28248843708666982</c:v>
                </c:pt>
                <c:pt idx="593">
                  <c:v>0.28096411863742787</c:v>
                </c:pt>
                <c:pt idx="594">
                  <c:v>0.27944096370191573</c:v>
                </c:pt>
                <c:pt idx="595">
                  <c:v>0.27791898649098812</c:v>
                </c:pt>
                <c:pt idx="596">
                  <c:v>0.27639822608449549</c:v>
                </c:pt>
                <c:pt idx="597">
                  <c:v>0.27487869846964941</c:v>
                </c:pt>
                <c:pt idx="598">
                  <c:v>0.27336042851544562</c:v>
                </c:pt>
                <c:pt idx="599">
                  <c:v>0.27184345174902091</c:v>
                </c:pt>
                <c:pt idx="600">
                  <c:v>0.27032778593394369</c:v>
                </c:pt>
                <c:pt idx="601">
                  <c:v>0.26881344883378233</c:v>
                </c:pt>
                <c:pt idx="602">
                  <c:v>0.2673004741993168</c:v>
                </c:pt>
                <c:pt idx="603">
                  <c:v>0.26578888512318599</c:v>
                </c:pt>
                <c:pt idx="604">
                  <c:v>0.26427871180345619</c:v>
                </c:pt>
                <c:pt idx="605">
                  <c:v>0.26276996667462527</c:v>
                </c:pt>
                <c:pt idx="606">
                  <c:v>0.26126267993475949</c:v>
                </c:pt>
                <c:pt idx="607">
                  <c:v>0.25975688533463881</c:v>
                </c:pt>
                <c:pt idx="608">
                  <c:v>0.25825258820333374</c:v>
                </c:pt>
                <c:pt idx="609">
                  <c:v>0.25674982584433792</c:v>
                </c:pt>
                <c:pt idx="610">
                  <c:v>0.25524862312664709</c:v>
                </c:pt>
                <c:pt idx="611">
                  <c:v>0.25374899781382965</c:v>
                </c:pt>
                <c:pt idx="612">
                  <c:v>0.25225097122216766</c:v>
                </c:pt>
                <c:pt idx="613">
                  <c:v>0.25075457710244109</c:v>
                </c:pt>
                <c:pt idx="614">
                  <c:v>0.24925983144186148</c:v>
                </c:pt>
                <c:pt idx="615">
                  <c:v>0.24776676088578142</c:v>
                </c:pt>
                <c:pt idx="616">
                  <c:v>0.24627538852683983</c:v>
                </c:pt>
                <c:pt idx="617">
                  <c:v>0.24478573923403246</c:v>
                </c:pt>
                <c:pt idx="618">
                  <c:v>0.24329782721821402</c:v>
                </c:pt>
                <c:pt idx="619">
                  <c:v>0.24181168445380763</c:v>
                </c:pt>
                <c:pt idx="620">
                  <c:v>0.24032733580980903</c:v>
                </c:pt>
                <c:pt idx="621">
                  <c:v>0.23884479194435926</c:v>
                </c:pt>
                <c:pt idx="622">
                  <c:v>0.23736408483188143</c:v>
                </c:pt>
                <c:pt idx="623">
                  <c:v>0.23588523934137129</c:v>
                </c:pt>
                <c:pt idx="624">
                  <c:v>0.23440827323639724</c:v>
                </c:pt>
                <c:pt idx="625">
                  <c:v>0.2329332060568845</c:v>
                </c:pt>
                <c:pt idx="626">
                  <c:v>0.23146006800089935</c:v>
                </c:pt>
                <c:pt idx="627">
                  <c:v>0.22998887683201019</c:v>
                </c:pt>
                <c:pt idx="628">
                  <c:v>0.22851965564285592</c:v>
                </c:pt>
                <c:pt idx="629">
                  <c:v>0.2270524204206481</c:v>
                </c:pt>
                <c:pt idx="630">
                  <c:v>0.22558720313980984</c:v>
                </c:pt>
                <c:pt idx="631">
                  <c:v>0.2241240197875527</c:v>
                </c:pt>
                <c:pt idx="632">
                  <c:v>0.22266289345651558</c:v>
                </c:pt>
                <c:pt idx="633">
                  <c:v>0.22120384723933739</c:v>
                </c:pt>
                <c:pt idx="634">
                  <c:v>0.21974689889958654</c:v>
                </c:pt>
                <c:pt idx="635">
                  <c:v>0.21829206975354509</c:v>
                </c:pt>
                <c:pt idx="636">
                  <c:v>0.21683938999927932</c:v>
                </c:pt>
                <c:pt idx="637">
                  <c:v>0.2153888631895029</c:v>
                </c:pt>
                <c:pt idx="638">
                  <c:v>0.2139405284040663</c:v>
                </c:pt>
                <c:pt idx="639">
                  <c:v>0.21249439274839688</c:v>
                </c:pt>
                <c:pt idx="640">
                  <c:v>0.21105048997327458</c:v>
                </c:pt>
                <c:pt idx="641">
                  <c:v>0.20960883073684045</c:v>
                </c:pt>
                <c:pt idx="642">
                  <c:v>0.20816943635537655</c:v>
                </c:pt>
                <c:pt idx="643">
                  <c:v>0.20673233525059231</c:v>
                </c:pt>
                <c:pt idx="644">
                  <c:v>0.20529753630427194</c:v>
                </c:pt>
                <c:pt idx="645">
                  <c:v>0.20386507149083855</c:v>
                </c:pt>
                <c:pt idx="646">
                  <c:v>0.20243495324478999</c:v>
                </c:pt>
                <c:pt idx="647">
                  <c:v>0.2010072046587652</c:v>
                </c:pt>
                <c:pt idx="648">
                  <c:v>0.19958184171997573</c:v>
                </c:pt>
                <c:pt idx="649">
                  <c:v>0.19815889107377416</c:v>
                </c:pt>
                <c:pt idx="650">
                  <c:v>0.19673836870737205</c:v>
                </c:pt>
                <c:pt idx="651">
                  <c:v>0.19532029060798095</c:v>
                </c:pt>
                <c:pt idx="652">
                  <c:v>0.19390468875002398</c:v>
                </c:pt>
                <c:pt idx="653">
                  <c:v>0.19249156846257165</c:v>
                </c:pt>
                <c:pt idx="654">
                  <c:v>0.19108095461461971</c:v>
                </c:pt>
                <c:pt idx="655">
                  <c:v>0.18967286852245024</c:v>
                </c:pt>
                <c:pt idx="656">
                  <c:v>0.1882673261732748</c:v>
                </c:pt>
                <c:pt idx="657">
                  <c:v>0.18686434355430492</c:v>
                </c:pt>
                <c:pt idx="658">
                  <c:v>0.18546394553453638</c:v>
                </c:pt>
                <c:pt idx="659">
                  <c:v>0.18406614987753755</c:v>
                </c:pt>
                <c:pt idx="660">
                  <c:v>0.18267097789959053</c:v>
                </c:pt>
                <c:pt idx="661">
                  <c:v>0.18127844025883633</c:v>
                </c:pt>
                <c:pt idx="662">
                  <c:v>0.17988856360062755</c:v>
                </c:pt>
                <c:pt idx="663">
                  <c:v>0.17850136035946207</c:v>
                </c:pt>
                <c:pt idx="664">
                  <c:v>0.17711685007526512</c:v>
                </c:pt>
                <c:pt idx="665">
                  <c:v>0.17573505228796193</c:v>
                </c:pt>
                <c:pt idx="666">
                  <c:v>0.17435598653747775</c:v>
                </c:pt>
                <c:pt idx="667">
                  <c:v>0.17297966703466727</c:v>
                </c:pt>
                <c:pt idx="668">
                  <c:v>0.17160611687216942</c:v>
                </c:pt>
                <c:pt idx="669">
                  <c:v>0.17023535026083891</c:v>
                </c:pt>
                <c:pt idx="670">
                  <c:v>0.16886738141153046</c:v>
                </c:pt>
                <c:pt idx="671">
                  <c:v>0.16750223696959665</c:v>
                </c:pt>
                <c:pt idx="672">
                  <c:v>0.16613992759317853</c:v>
                </c:pt>
                <c:pt idx="673">
                  <c:v>0.1647804674931308</c:v>
                </c:pt>
                <c:pt idx="674">
                  <c:v>0.16342387976209238</c:v>
                </c:pt>
                <c:pt idx="675">
                  <c:v>0.16207018393998851</c:v>
                </c:pt>
                <c:pt idx="676">
                  <c:v>0.16071938890860338</c:v>
                </c:pt>
                <c:pt idx="677">
                  <c:v>0.1593715177605759</c:v>
                </c:pt>
                <c:pt idx="678">
                  <c:v>0.15802658470676079</c:v>
                </c:pt>
                <c:pt idx="679">
                  <c:v>0.15668460751072644</c:v>
                </c:pt>
                <c:pt idx="680">
                  <c:v>0.15534560393604124</c:v>
                </c:pt>
                <c:pt idx="681">
                  <c:v>0.15400958819355992</c:v>
                </c:pt>
                <c:pt idx="682">
                  <c:v>0.15267657449413718</c:v>
                </c:pt>
                <c:pt idx="683">
                  <c:v>0.15134658415405511</c:v>
                </c:pt>
                <c:pt idx="684">
                  <c:v>0.15001963138416841</c:v>
                </c:pt>
                <c:pt idx="685">
                  <c:v>0.14869573394804547</c:v>
                </c:pt>
                <c:pt idx="686">
                  <c:v>0.14737490605654102</c:v>
                </c:pt>
                <c:pt idx="687">
                  <c:v>0.14605715836779609</c:v>
                </c:pt>
                <c:pt idx="688">
                  <c:v>0.14474251930352011</c:v>
                </c:pt>
                <c:pt idx="689">
                  <c:v>0.14343099241642676</c:v>
                </c:pt>
                <c:pt idx="690">
                  <c:v>0.14212259547008443</c:v>
                </c:pt>
                <c:pt idx="691">
                  <c:v>0.14081735155713204</c:v>
                </c:pt>
                <c:pt idx="692">
                  <c:v>0.1395152660066401</c:v>
                </c:pt>
                <c:pt idx="693">
                  <c:v>0.13821635835853385</c:v>
                </c:pt>
                <c:pt idx="694">
                  <c:v>0.13692064815273852</c:v>
                </c:pt>
                <c:pt idx="695">
                  <c:v>0.13562814249468147</c:v>
                </c:pt>
                <c:pt idx="696">
                  <c:v>0.13433886092428793</c:v>
                </c:pt>
                <c:pt idx="697">
                  <c:v>0.13305282120512629</c:v>
                </c:pt>
                <c:pt idx="698">
                  <c:v>0.13177002866626708</c:v>
                </c:pt>
                <c:pt idx="699">
                  <c:v>0.1304905064003492</c:v>
                </c:pt>
                <c:pt idx="700">
                  <c:v>0.12921426151280002</c:v>
                </c:pt>
                <c:pt idx="701">
                  <c:v>0.12794132064897212</c:v>
                </c:pt>
                <c:pt idx="702">
                  <c:v>0.12667168025615183</c:v>
                </c:pt>
                <c:pt idx="703">
                  <c:v>0.12540536875604857</c:v>
                </c:pt>
                <c:pt idx="704">
                  <c:v>0.12414239680680339</c:v>
                </c:pt>
                <c:pt idx="705">
                  <c:v>0.12288278217198467</c:v>
                </c:pt>
                <c:pt idx="706">
                  <c:v>0.1216265284043061</c:v>
                </c:pt>
                <c:pt idx="707">
                  <c:v>0.12037365326733607</c:v>
                </c:pt>
                <c:pt idx="708">
                  <c:v>0.11912417452464297</c:v>
                </c:pt>
                <c:pt idx="709">
                  <c:v>0.11787810283436784</c:v>
                </c:pt>
                <c:pt idx="710">
                  <c:v>0.11663544885465171</c:v>
                </c:pt>
                <c:pt idx="711">
                  <c:v>0.11539623390177667</c:v>
                </c:pt>
                <c:pt idx="712">
                  <c:v>0.1141604579757427</c:v>
                </c:pt>
                <c:pt idx="713">
                  <c:v>0.11292814949825924</c:v>
                </c:pt>
                <c:pt idx="714">
                  <c:v>0.11169931202203998</c:v>
                </c:pt>
                <c:pt idx="715">
                  <c:v>0.11047395975793961</c:v>
                </c:pt>
                <c:pt idx="716">
                  <c:v>0.1092521086931697</c:v>
                </c:pt>
                <c:pt idx="717">
                  <c:v>0.10803376770951445</c:v>
                </c:pt>
                <c:pt idx="718">
                  <c:v>0.10681894924147173</c:v>
                </c:pt>
                <c:pt idx="719">
                  <c:v>0.10560766927625309</c:v>
                </c:pt>
                <c:pt idx="720">
                  <c:v>0.10439994024835642</c:v>
                </c:pt>
                <c:pt idx="721">
                  <c:v>0.10319576748685222</c:v>
                </c:pt>
                <c:pt idx="722">
                  <c:v>0.10199517053166574</c:v>
                </c:pt>
                <c:pt idx="723">
                  <c:v>0.10079816359365168</c:v>
                </c:pt>
                <c:pt idx="724">
                  <c:v>9.9604748449166891E-2</c:v>
                </c:pt>
                <c:pt idx="725">
                  <c:v>9.8414948190850282E-2</c:v>
                </c:pt>
                <c:pt idx="726">
                  <c:v>9.7228761042345013E-2</c:v>
                </c:pt>
                <c:pt idx="727">
                  <c:v>9.6046211872646836E-2</c:v>
                </c:pt>
                <c:pt idx="728">
                  <c:v>9.486730423446943E-2</c:v>
                </c:pt>
                <c:pt idx="729">
                  <c:v>9.3692054115024348E-2</c:v>
                </c:pt>
                <c:pt idx="730">
                  <c:v>9.252046684338211E-2</c:v>
                </c:pt>
                <c:pt idx="731">
                  <c:v>9.135255840675427E-2</c:v>
                </c:pt>
                <c:pt idx="732">
                  <c:v>9.0188341239638703E-2</c:v>
                </c:pt>
                <c:pt idx="733">
                  <c:v>8.9027822447462768E-2</c:v>
                </c:pt>
                <c:pt idx="734">
                  <c:v>8.7871018017438018E-2</c:v>
                </c:pt>
                <c:pt idx="735">
                  <c:v>8.6717933278634973E-2</c:v>
                </c:pt>
                <c:pt idx="736">
                  <c:v>8.5568580665551508E-2</c:v>
                </c:pt>
                <c:pt idx="737">
                  <c:v>8.4422965507258141E-2</c:v>
                </c:pt>
                <c:pt idx="738">
                  <c:v>8.3281114449107463E-2</c:v>
                </c:pt>
                <c:pt idx="739">
                  <c:v>8.2143020385672116E-2</c:v>
                </c:pt>
                <c:pt idx="740">
                  <c:v>8.1008701080520495E-2</c:v>
                </c:pt>
                <c:pt idx="741">
                  <c:v>7.9878168968150476E-2</c:v>
                </c:pt>
                <c:pt idx="742">
                  <c:v>7.8751427601275736E-2</c:v>
                </c:pt>
                <c:pt idx="743">
                  <c:v>7.7628491190750992E-2</c:v>
                </c:pt>
                <c:pt idx="744">
                  <c:v>7.650937039471728E-2</c:v>
                </c:pt>
                <c:pt idx="745">
                  <c:v>7.5394066989531439E-2</c:v>
                </c:pt>
                <c:pt idx="746">
                  <c:v>7.4282602291475541E-2</c:v>
                </c:pt>
                <c:pt idx="747">
                  <c:v>7.3174983405976946E-2</c:v>
                </c:pt>
                <c:pt idx="748">
                  <c:v>7.2071210333035651E-2</c:v>
                </c:pt>
                <c:pt idx="749">
                  <c:v>7.0971299059863213E-2</c:v>
                </c:pt>
                <c:pt idx="750">
                  <c:v>6.9875262020957507E-2</c:v>
                </c:pt>
                <c:pt idx="751">
                  <c:v>6.8783100992675372E-2</c:v>
                </c:pt>
                <c:pt idx="752">
                  <c:v>6.7694831962228363E-2</c:v>
                </c:pt>
                <c:pt idx="753">
                  <c:v>6.6610458482330159E-2</c:v>
                </c:pt>
                <c:pt idx="754">
                  <c:v>6.5529989434764957E-2</c:v>
                </c:pt>
                <c:pt idx="755">
                  <c:v>6.4453439030387472E-2</c:v>
                </c:pt>
                <c:pt idx="756">
                  <c:v>6.3380810821911382E-2</c:v>
                </c:pt>
                <c:pt idx="757">
                  <c:v>6.2312119020191403E-2</c:v>
                </c:pt>
                <c:pt idx="758">
                  <c:v>6.1247360072513857E-2</c:v>
                </c:pt>
                <c:pt idx="759">
                  <c:v>6.0186555295160815E-2</c:v>
                </c:pt>
                <c:pt idx="760">
                  <c:v>5.9129708240845957E-2</c:v>
                </c:pt>
                <c:pt idx="761">
                  <c:v>5.8076822462282962E-2</c:v>
                </c:pt>
                <c:pt idx="762">
                  <c:v>5.7027905064899187E-2</c:v>
                </c:pt>
                <c:pt idx="763">
                  <c:v>5.5982972035906187E-2</c:v>
                </c:pt>
                <c:pt idx="764">
                  <c:v>5.4942028704374479E-2</c:v>
                </c:pt>
                <c:pt idx="765">
                  <c:v>5.3905080399374583E-2</c:v>
                </c:pt>
                <c:pt idx="766">
                  <c:v>5.2872136002690695E-2</c:v>
                </c:pt>
                <c:pt idx="767">
                  <c:v>5.1843202619750173E-2</c:v>
                </c:pt>
                <c:pt idx="768">
                  <c:v>5.0818283803266695E-2</c:v>
                </c:pt>
                <c:pt idx="769">
                  <c:v>4.9797393764094977E-2</c:v>
                </c:pt>
                <c:pt idx="770">
                  <c:v>4.8780532502235019E-2</c:v>
                </c:pt>
                <c:pt idx="771">
                  <c:v>4.7767710675827857E-2</c:v>
                </c:pt>
                <c:pt idx="772">
                  <c:v>4.6758938943014527E-2</c:v>
                </c:pt>
                <c:pt idx="773">
                  <c:v>4.5754217303795031E-2</c:v>
                </c:pt>
                <c:pt idx="774">
                  <c:v>4.4753556416310403E-2</c:v>
                </c:pt>
                <c:pt idx="775">
                  <c:v>4.3756959833274323E-2</c:v>
                </c:pt>
                <c:pt idx="776">
                  <c:v>4.2764441765541505E-2</c:v>
                </c:pt>
                <c:pt idx="777">
                  <c:v>4.1775995107684594E-2</c:v>
                </c:pt>
                <c:pt idx="778">
                  <c:v>4.0791637623271981E-2</c:v>
                </c:pt>
                <c:pt idx="779">
                  <c:v>3.9811365759589989E-2</c:v>
                </c:pt>
                <c:pt idx="780">
                  <c:v>3.8835195503850173E-2</c:v>
                </c:pt>
                <c:pt idx="781">
                  <c:v>3.7863125079695692E-2</c:v>
                </c:pt>
                <c:pt idx="782">
                  <c:v>3.6895166921624423E-2</c:v>
                </c:pt>
                <c:pt idx="783">
                  <c:v>3.5931321029636365E-2</c:v>
                </c:pt>
                <c:pt idx="784">
                  <c:v>3.4971596285515716E-2</c:v>
                </c:pt>
                <c:pt idx="785">
                  <c:v>3.4015998018332994E-2</c:v>
                </c:pt>
                <c:pt idx="786">
                  <c:v>3.3064531557158716E-2</c:v>
                </c:pt>
                <c:pt idx="787">
                  <c:v>3.2117196901992884E-2</c:v>
                </c:pt>
                <c:pt idx="788">
                  <c:v>3.1174008263690212E-2</c:v>
                </c:pt>
                <c:pt idx="789">
                  <c:v>3.0234962089537021E-2</c:v>
                </c:pt>
                <c:pt idx="790">
                  <c:v>2.9300069037674348E-2</c:v>
                </c:pt>
                <c:pt idx="791">
                  <c:v>2.836933621352955E-2</c:v>
                </c:pt>
                <c:pt idx="792">
                  <c:v>2.7442760064388949E-2</c:v>
                </c:pt>
                <c:pt idx="793">
                  <c:v>2.6520351248393581E-2</c:v>
                </c:pt>
                <c:pt idx="794">
                  <c:v>2.5602115094613964E-2</c:v>
                </c:pt>
                <c:pt idx="795">
                  <c:v>2.4688049826693259E-2</c:v>
                </c:pt>
                <c:pt idx="796">
                  <c:v>2.3778169655486181E-2</c:v>
                </c:pt>
                <c:pt idx="797">
                  <c:v>2.2872463922851693E-2</c:v>
                </c:pt>
                <c:pt idx="798">
                  <c:v>2.1970950392358191E-2</c:v>
                </c:pt>
                <c:pt idx="799">
                  <c:v>2.1073629064005672E-2</c:v>
                </c:pt>
                <c:pt idx="800">
                  <c:v>2.0180501714150978E-2</c:v>
                </c:pt>
                <c:pt idx="801">
                  <c:v>1.9291573671864626E-2</c:v>
                </c:pt>
                <c:pt idx="802">
                  <c:v>1.8406844937146616E-2</c:v>
                </c:pt>
                <c:pt idx="803">
                  <c:v>1.7526326168137984E-2</c:v>
                </c:pt>
                <c:pt idx="804">
                  <c:v>1.6650017364838732E-2</c:v>
                </c:pt>
                <c:pt idx="805">
                  <c:v>1.5777922079962536E-2</c:v>
                </c:pt>
                <c:pt idx="806">
                  <c:v>1.4910040313509398E-2</c:v>
                </c:pt>
                <c:pt idx="807">
                  <c:v>1.4046380947263515E-2</c:v>
                </c:pt>
                <c:pt idx="808">
                  <c:v>1.3186945757581725E-2</c:v>
                </c:pt>
                <c:pt idx="809">
                  <c:v>1.233173296810719E-2</c:v>
                </c:pt>
                <c:pt idx="810">
                  <c:v>1.1480747907910427E-2</c:v>
                </c:pt>
                <c:pt idx="811">
                  <c:v>1.0633997682418794E-2</c:v>
                </c:pt>
                <c:pt idx="812">
                  <c:v>9.7914822916322919E-3</c:v>
                </c:pt>
                <c:pt idx="813">
                  <c:v>8.9532017355509197E-3</c:v>
                </c:pt>
                <c:pt idx="814">
                  <c:v>8.1191595668883565E-3</c:v>
                </c:pt>
                <c:pt idx="815">
                  <c:v>7.2893593383582811E-3</c:v>
                </c:pt>
                <c:pt idx="816">
                  <c:v>6.4637974972470147E-3</c:v>
                </c:pt>
                <c:pt idx="817">
                  <c:v>5.6424864780524331E-3</c:v>
                </c:pt>
                <c:pt idx="818">
                  <c:v>4.8254209517040181E-3</c:v>
                </c:pt>
                <c:pt idx="819">
                  <c:v>4.0126044709154485E-3</c:v>
                </c:pt>
                <c:pt idx="820">
                  <c:v>3.2040388120435637E-3</c:v>
                </c:pt>
                <c:pt idx="821">
                  <c:v>2.3997275278020425E-3</c:v>
                </c:pt>
                <c:pt idx="822">
                  <c:v>1.5996706181908849E-3</c:v>
                </c:pt>
                <c:pt idx="823">
                  <c:v>8.0387163592376965E-4</c:v>
                </c:pt>
                <c:pt idx="824">
                  <c:v>1.2327028287018038E-5</c:v>
                </c:pt>
                <c:pt idx="825">
                  <c:v>-7.7495787564885177E-4</c:v>
                </c:pt>
                <c:pt idx="826">
                  <c:v>-1.5579848522406792E-3</c:v>
                </c:pt>
                <c:pt idx="827">
                  <c:v>-2.3367467960611066E-3</c:v>
                </c:pt>
                <c:pt idx="828">
                  <c:v>-3.111252588894331E-3</c:v>
                </c:pt>
                <c:pt idx="829">
                  <c:v>-3.8814969016698342E-3</c:v>
                </c:pt>
                <c:pt idx="830">
                  <c:v>-4.6474672998897404E-3</c:v>
                </c:pt>
                <c:pt idx="831">
                  <c:v>-5.409183323479283E-3</c:v>
                </c:pt>
                <c:pt idx="832">
                  <c:v>-6.1666325379405862E-3</c:v>
                </c:pt>
                <c:pt idx="833">
                  <c:v>-6.91981494327365E-3</c:v>
                </c:pt>
                <c:pt idx="834">
                  <c:v>-7.6687340921921532E-3</c:v>
                </c:pt>
                <c:pt idx="835">
                  <c:v>-8.4133882083392564E-3</c:v>
                </c:pt>
                <c:pt idx="836">
                  <c:v>-9.1537755153581202E-3</c:v>
                </c:pt>
                <c:pt idx="837">
                  <c:v>-9.8899013423192628E-3</c:v>
                </c:pt>
                <c:pt idx="838">
                  <c:v>-1.0621758583795327E-2</c:v>
                </c:pt>
                <c:pt idx="839">
                  <c:v>-1.134935079249999E-2</c:v>
                </c:pt>
                <c:pt idx="840">
                  <c:v>-1.2072679744790094E-2</c:v>
                </c:pt>
                <c:pt idx="841">
                  <c:v>-1.2791743664308797E-2</c:v>
                </c:pt>
                <c:pt idx="842">
                  <c:v>-1.35065425510561E-2</c:v>
                </c:pt>
                <c:pt idx="843">
                  <c:v>-1.4217078181388842E-2</c:v>
                </c:pt>
                <c:pt idx="844">
                  <c:v>-1.4923352331663864E-2</c:v>
                </c:pt>
                <c:pt idx="845">
                  <c:v>-1.5625365001881164E-2</c:v>
                </c:pt>
                <c:pt idx="846">
                  <c:v>-1.6323116192040743E-2</c:v>
                </c:pt>
                <c:pt idx="847">
                  <c:v>-1.7016605902142601E-2</c:v>
                </c:pt>
                <c:pt idx="848">
                  <c:v>-1.7705841237614095E-2</c:v>
                </c:pt>
                <c:pt idx="849">
                  <c:v>-1.8390816869384707E-2</c:v>
                </c:pt>
                <c:pt idx="850">
                  <c:v>-1.9071538126524956E-2</c:v>
                </c:pt>
                <c:pt idx="851">
                  <c:v>-1.9748006785391681E-2</c:v>
                </c:pt>
                <c:pt idx="852">
                  <c:v>-2.0420219293271202E-2</c:v>
                </c:pt>
                <c:pt idx="853">
                  <c:v>-2.1088186308304557E-2</c:v>
                </c:pt>
                <c:pt idx="854">
                  <c:v>-2.1751897172350709E-2</c:v>
                </c:pt>
                <c:pt idx="855">
                  <c:v>-2.2411366096264373E-2</c:v>
                </c:pt>
                <c:pt idx="856">
                  <c:v>-2.3066589527331871E-2</c:v>
                </c:pt>
                <c:pt idx="857">
                  <c:v>-2.3717567465553202E-2</c:v>
                </c:pt>
                <c:pt idx="858">
                  <c:v>-2.4364307016355724E-2</c:v>
                </c:pt>
                <c:pt idx="859">
                  <c:v>-2.5006802850668919E-2</c:v>
                </c:pt>
                <c:pt idx="860">
                  <c:v>-2.5645067402990662E-2</c:v>
                </c:pt>
                <c:pt idx="861">
                  <c:v>-2.6279097120607275E-2</c:v>
                </c:pt>
                <c:pt idx="862">
                  <c:v>-2.6908895556232437E-2</c:v>
                </c:pt>
                <c:pt idx="863">
                  <c:v>-2.7534464486222987E-2</c:v>
                </c:pt>
                <c:pt idx="864">
                  <c:v>-2.8155811016006282E-2</c:v>
                </c:pt>
                <c:pt idx="865">
                  <c:v>-2.8772935145582323E-2</c:v>
                </c:pt>
                <c:pt idx="866">
                  <c:v>-2.938583687495111E-2</c:v>
                </c:pt>
                <c:pt idx="867">
                  <c:v>-2.9994525085896839E-2</c:v>
                </c:pt>
                <c:pt idx="868">
                  <c:v>-3.0598996225705832E-2</c:v>
                </c:pt>
                <c:pt idx="869">
                  <c:v>-3.1199266281589644E-2</c:v>
                </c:pt>
                <c:pt idx="870">
                  <c:v>-3.1795324595407237E-2</c:v>
                </c:pt>
                <c:pt idx="871">
                  <c:v>-3.2387183601656488E-2</c:v>
                </c:pt>
                <c:pt idx="872">
                  <c:v>-3.2974841523980558E-2</c:v>
                </c:pt>
                <c:pt idx="873">
                  <c:v>-3.3558307244163643E-2</c:v>
                </c:pt>
                <c:pt idx="874">
                  <c:v>-3.4137575433135225E-2</c:v>
                </c:pt>
                <c:pt idx="875">
                  <c:v>-3.4712665630820538E-2</c:v>
                </c:pt>
                <c:pt idx="876">
                  <c:v>-3.5283568955435385E-2</c:v>
                </c:pt>
                <c:pt idx="877">
                  <c:v>-3.5850294288763962E-2</c:v>
                </c:pt>
                <c:pt idx="878">
                  <c:v>-3.6412846959876788E-2</c:v>
                </c:pt>
                <c:pt idx="879">
                  <c:v>-3.6971230521487541E-2</c:v>
                </c:pt>
                <c:pt idx="880">
                  <c:v>-3.7525444973596223E-2</c:v>
                </c:pt>
                <c:pt idx="881">
                  <c:v>-3.8075497421630189E-2</c:v>
                </c:pt>
                <c:pt idx="882">
                  <c:v>-3.8621400300087316E-2</c:v>
                </c:pt>
                <c:pt idx="883">
                  <c:v>-3.9163144727183408E-2</c:v>
                </c:pt>
                <c:pt idx="884">
                  <c:v>-3.9700746690130018E-2</c:v>
                </c:pt>
                <c:pt idx="885">
                  <c:v>-4.0234213294354504E-2</c:v>
                </c:pt>
                <c:pt idx="886">
                  <c:v>-4.0763539210786348E-2</c:v>
                </c:pt>
                <c:pt idx="887">
                  <c:v>-4.1288738650280266E-2</c:v>
                </c:pt>
                <c:pt idx="888">
                  <c:v>-4.1809811612836256E-2</c:v>
                </c:pt>
                <c:pt idx="889">
                  <c:v>-4.2326763427524838E-2</c:v>
                </c:pt>
                <c:pt idx="890">
                  <c:v>-4.2839601199773369E-2</c:v>
                </c:pt>
                <c:pt idx="891">
                  <c:v>-4.3348332035009207E-2</c:v>
                </c:pt>
                <c:pt idx="892">
                  <c:v>-4.3852957709589191E-2</c:v>
                </c:pt>
                <c:pt idx="893">
                  <c:v>-4.4353490658011197E-2</c:v>
                </c:pt>
                <c:pt idx="894">
                  <c:v>-4.4849936209345742E-2</c:v>
                </c:pt>
                <c:pt idx="895">
                  <c:v>-4.5342294363592828E-2</c:v>
                </c:pt>
                <c:pt idx="896">
                  <c:v>-4.583057400253665E-2</c:v>
                </c:pt>
                <c:pt idx="897">
                  <c:v>-4.6314784007961407E-2</c:v>
                </c:pt>
                <c:pt idx="898">
                  <c:v>-4.6794924379867098E-2</c:v>
                </c:pt>
                <c:pt idx="899">
                  <c:v>-4.7271011105465277E-2</c:v>
                </c:pt>
                <c:pt idx="900">
                  <c:v>-4.7743040632042266E-2</c:v>
                </c:pt>
                <c:pt idx="901">
                  <c:v>-4.8211025394095941E-2</c:v>
                </c:pt>
                <c:pt idx="902">
                  <c:v>-4.8674976049767338E-2</c:v>
                </c:pt>
                <c:pt idx="903">
                  <c:v>-4.9134892599056457E-2</c:v>
                </c:pt>
                <c:pt idx="904">
                  <c:v>-4.9590791029174852E-2</c:v>
                </c:pt>
                <c:pt idx="905">
                  <c:v>-5.0042669563765685E-2</c:v>
                </c:pt>
                <c:pt idx="906">
                  <c:v>-5.0490531755542634E-2</c:v>
                </c:pt>
                <c:pt idx="907">
                  <c:v>-5.093440247350145E-2</c:v>
                </c:pt>
                <c:pt idx="908">
                  <c:v>-5.1374271059501098E-2</c:v>
                </c:pt>
                <c:pt idx="909">
                  <c:v>-5.1810153500753131E-2</c:v>
                </c:pt>
                <c:pt idx="910">
                  <c:v>-5.2242058679041747E-2</c:v>
                </c:pt>
                <c:pt idx="911">
                  <c:v>-5.2669991923437465E-2</c:v>
                </c:pt>
                <c:pt idx="912">
                  <c:v>-5.3093958563010801E-2</c:v>
                </c:pt>
                <c:pt idx="913">
                  <c:v>-5.3513974584973312E-2</c:v>
                </c:pt>
                <c:pt idx="914">
                  <c:v>-5.3930036436611317E-2</c:v>
                </c:pt>
                <c:pt idx="915">
                  <c:v>-5.434216721056373E-2</c:v>
                </c:pt>
                <c:pt idx="916">
                  <c:v>-5.4750361577760032E-2</c:v>
                </c:pt>
                <c:pt idx="917">
                  <c:v>-5.5154635525411777E-2</c:v>
                </c:pt>
                <c:pt idx="918">
                  <c:v>-5.5554990829875806E-2</c:v>
                </c:pt>
                <c:pt idx="919">
                  <c:v>-5.5951445254720511E-2</c:v>
                </c:pt>
                <c:pt idx="920">
                  <c:v>-5.6344005905373251E-2</c:v>
                </c:pt>
                <c:pt idx="921">
                  <c:v>-5.6732676334547705E-2</c:v>
                </c:pt>
                <c:pt idx="922">
                  <c:v>-5.7117470753098587E-2</c:v>
                </c:pt>
                <c:pt idx="923">
                  <c:v>-5.7498392713739577E-2</c:v>
                </c:pt>
                <c:pt idx="924">
                  <c:v>-5.7875456427325389E-2</c:v>
                </c:pt>
                <c:pt idx="925">
                  <c:v>-5.8248667222926542E-2</c:v>
                </c:pt>
                <c:pt idx="926">
                  <c:v>-5.8618041087754591E-2</c:v>
                </c:pt>
                <c:pt idx="927">
                  <c:v>-5.8983576245452696E-2</c:v>
                </c:pt>
                <c:pt idx="928">
                  <c:v>-5.9345294012302929E-2</c:v>
                </c:pt>
                <c:pt idx="929">
                  <c:v>-5.970319971737581E-2</c:v>
                </c:pt>
                <c:pt idx="930">
                  <c:v>-6.0057298689741856E-2</c:v>
                </c:pt>
                <c:pt idx="931">
                  <c:v>-6.0407610469326301E-2</c:v>
                </c:pt>
                <c:pt idx="932">
                  <c:v>-6.0754133279772304E-2</c:v>
                </c:pt>
                <c:pt idx="933">
                  <c:v>-6.109688843736194E-2</c:v>
                </c:pt>
                <c:pt idx="934">
                  <c:v>-6.1435877718452048E-2</c:v>
                </c:pt>
                <c:pt idx="935">
                  <c:v>-6.177112066296786E-2</c:v>
                </c:pt>
                <c:pt idx="936">
                  <c:v>-6.2102613718195698E-2</c:v>
                </c:pt>
                <c:pt idx="937">
                  <c:v>-6.2430379976774475E-2</c:v>
                </c:pt>
                <c:pt idx="938">
                  <c:v>-6.2754424767774708E-2</c:v>
                </c:pt>
                <c:pt idx="939">
                  <c:v>-6.3074764078407952E-2</c:v>
                </c:pt>
                <c:pt idx="940">
                  <c:v>-6.3391399685031047E-2</c:v>
                </c:pt>
                <c:pt idx="941">
                  <c:v>-6.3704351127569225E-2</c:v>
                </c:pt>
                <c:pt idx="942">
                  <c:v>-6.4013629064163524E-2</c:v>
                </c:pt>
                <c:pt idx="943">
                  <c:v>-6.4319235271170783E-2</c:v>
                </c:pt>
                <c:pt idx="944">
                  <c:v>-6.4621189288516234E-2</c:v>
                </c:pt>
                <c:pt idx="945">
                  <c:v>-6.4919507103411433E-2</c:v>
                </c:pt>
                <c:pt idx="946">
                  <c:v>-6.521419049221322E-2</c:v>
                </c:pt>
                <c:pt idx="947">
                  <c:v>-6.550525011306263E-2</c:v>
                </c:pt>
                <c:pt idx="948">
                  <c:v>-6.5792707282241736E-2</c:v>
                </c:pt>
                <c:pt idx="949">
                  <c:v>-6.6076563776107378E-2</c:v>
                </c:pt>
                <c:pt idx="950">
                  <c:v>-6.6356840910941628E-2</c:v>
                </c:pt>
                <c:pt idx="951">
                  <c:v>-6.6633547568528684E-2</c:v>
                </c:pt>
                <c:pt idx="952">
                  <c:v>-6.6906689077939063E-2</c:v>
                </c:pt>
                <c:pt idx="953">
                  <c:v>-6.7176288531811679E-2</c:v>
                </c:pt>
                <c:pt idx="954">
                  <c:v>-6.744234593014653E-2</c:v>
                </c:pt>
                <c:pt idx="955">
                  <c:v>-6.7704887918296208E-2</c:v>
                </c:pt>
                <c:pt idx="956">
                  <c:v>-6.7963914496260713E-2</c:v>
                </c:pt>
                <c:pt idx="957">
                  <c:v>-6.8219452309392636E-2</c:v>
                </c:pt>
                <c:pt idx="958">
                  <c:v>-6.8471499581335138E-2</c:v>
                </c:pt>
                <c:pt idx="959">
                  <c:v>-6.8720077628370291E-2</c:v>
                </c:pt>
                <c:pt idx="960">
                  <c:v>-6.8965197108639131E-2</c:v>
                </c:pt>
                <c:pt idx="961">
                  <c:v>-6.9206872232996375E-2</c:v>
                </c:pt>
                <c:pt idx="962">
                  <c:v>-6.9445110106869379E-2</c:v>
                </c:pt>
                <c:pt idx="963">
                  <c:v>-6.9679935599253895E-2</c:v>
                </c:pt>
                <c:pt idx="964">
                  <c:v>-6.9911350486506763E-2</c:v>
                </c:pt>
                <c:pt idx="965">
                  <c:v>-7.0139376084910054E-2</c:v>
                </c:pt>
                <c:pt idx="966">
                  <c:v>-7.0364026605318486E-2</c:v>
                </c:pt>
                <c:pt idx="967">
                  <c:v>-7.0585307376802575E-2</c:v>
                </c:pt>
                <c:pt idx="968">
                  <c:v>-7.0803243268358074E-2</c:v>
                </c:pt>
                <c:pt idx="969">
                  <c:v>-7.1017834279984982E-2</c:v>
                </c:pt>
                <c:pt idx="970">
                  <c:v>-7.1229114162463247E-2</c:v>
                </c:pt>
                <c:pt idx="971">
                  <c:v>-7.1437077586722353E-2</c:v>
                </c:pt>
                <c:pt idx="972">
                  <c:v>-7.1641742316330692E-2</c:v>
                </c:pt>
                <c:pt idx="973">
                  <c:v>-7.1843133220284017E-2</c:v>
                </c:pt>
                <c:pt idx="974">
                  <c:v>-7.2041262733080202E-2</c:v>
                </c:pt>
                <c:pt idx="975">
                  <c:v>-7.2236137960146607E-2</c:v>
                </c:pt>
                <c:pt idx="976">
                  <c:v>-7.2427780217765303E-2</c:v>
                </c:pt>
                <c:pt idx="977">
                  <c:v>-7.2616194835006809E-2</c:v>
                </c:pt>
                <c:pt idx="978">
                  <c:v>-7.2801408457223715E-2</c:v>
                </c:pt>
                <c:pt idx="979">
                  <c:v>-7.2983431742557059E-2</c:v>
                </c:pt>
                <c:pt idx="980">
                  <c:v>-7.3162278901861555E-2</c:v>
                </c:pt>
                <c:pt idx="981">
                  <c:v>-7.333796059327824E-2</c:v>
                </c:pt>
                <c:pt idx="982">
                  <c:v>-7.3510498133089186E-2</c:v>
                </c:pt>
                <c:pt idx="983">
                  <c:v>-7.3679909284862788E-2</c:v>
                </c:pt>
                <c:pt idx="984">
                  <c:v>-7.3846201154026403E-2</c:v>
                </c:pt>
                <c:pt idx="985">
                  <c:v>-7.4009402162289462E-2</c:v>
                </c:pt>
                <c:pt idx="986">
                  <c:v>-7.4169510533295124E-2</c:v>
                </c:pt>
                <c:pt idx="987">
                  <c:v>-7.4326556465109661E-2</c:v>
                </c:pt>
                <c:pt idx="988">
                  <c:v>-7.4480550615874108E-2</c:v>
                </c:pt>
                <c:pt idx="989">
                  <c:v>-7.463151074915686E-2</c:v>
                </c:pt>
                <c:pt idx="990">
                  <c:v>-7.4779445746742113E-2</c:v>
                </c:pt>
                <c:pt idx="991">
                  <c:v>-7.4924385806696137E-2</c:v>
                </c:pt>
                <c:pt idx="992">
                  <c:v>-7.5066334481732611E-2</c:v>
                </c:pt>
                <c:pt idx="993">
                  <c:v>-7.5205316640847286E-2</c:v>
                </c:pt>
                <c:pt idx="994">
                  <c:v>-7.53413429421812E-2</c:v>
                </c:pt>
                <c:pt idx="995">
                  <c:v>-7.5474434702016424E-2</c:v>
                </c:pt>
                <c:pt idx="996">
                  <c:v>-7.5604607907564514E-2</c:v>
                </c:pt>
                <c:pt idx="997">
                  <c:v>-7.5731874993323345E-2</c:v>
                </c:pt>
                <c:pt idx="998">
                  <c:v>-7.5856259051931829E-2</c:v>
                </c:pt>
                <c:pt idx="999">
                  <c:v>-7.5977774294244682E-2</c:v>
                </c:pt>
                <c:pt idx="1000">
                  <c:v>-7.6096438483830298E-2</c:v>
                </c:pt>
                <c:pt idx="1001">
                  <c:v>-7.621226938425707E-2</c:v>
                </c:pt>
                <c:pt idx="1002">
                  <c:v>-7.6325281206379714E-2</c:v>
                </c:pt>
                <c:pt idx="1003">
                  <c:v>-7.6435493490123463E-2</c:v>
                </c:pt>
                <c:pt idx="1004">
                  <c:v>-7.654292755177039E-2</c:v>
                </c:pt>
                <c:pt idx="1005">
                  <c:v>-7.664759760217521E-2</c:v>
                </c:pt>
                <c:pt idx="1006">
                  <c:v>-7.6749521404906318E-2</c:v>
                </c:pt>
                <c:pt idx="1007">
                  <c:v>-7.6848711394461588E-2</c:v>
                </c:pt>
                <c:pt idx="1008">
                  <c:v>-7.6945197768907292E-2</c:v>
                </c:pt>
                <c:pt idx="1009">
                  <c:v>-7.7038989410027625E-2</c:v>
                </c:pt>
                <c:pt idx="1010">
                  <c:v>-7.71301094104615E-2</c:v>
                </c:pt>
                <c:pt idx="1011">
                  <c:v>-7.721857908649099E-2</c:v>
                </c:pt>
                <c:pt idx="1012">
                  <c:v>-7.7304405543543453E-2</c:v>
                </c:pt>
                <c:pt idx="1013">
                  <c:v>-7.7387620756041997E-2</c:v>
                </c:pt>
                <c:pt idx="1014">
                  <c:v>-7.746823182941398E-2</c:v>
                </c:pt>
                <c:pt idx="1015">
                  <c:v>-7.7546265409011994E-2</c:v>
                </c:pt>
                <c:pt idx="1016">
                  <c:v>-7.7621737482047592E-2</c:v>
                </c:pt>
                <c:pt idx="1017">
                  <c:v>-7.769466581208917E-2</c:v>
                </c:pt>
                <c:pt idx="1018">
                  <c:v>-7.7765071715418799E-2</c:v>
                </c:pt>
                <c:pt idx="1019">
                  <c:v>-7.7832974731961713E-2</c:v>
                </c:pt>
                <c:pt idx="1020">
                  <c:v>-7.7898392625286306E-2</c:v>
                </c:pt>
                <c:pt idx="1021">
                  <c:v>-7.796134848803149E-2</c:v>
                </c:pt>
                <c:pt idx="1022">
                  <c:v>-7.8021854754695141E-2</c:v>
                </c:pt>
                <c:pt idx="1023">
                  <c:v>-7.8079938070629851E-2</c:v>
                </c:pt>
                <c:pt idx="1024">
                  <c:v>-7.8135614423047173E-2</c:v>
                </c:pt>
                <c:pt idx="1025">
                  <c:v>-7.8188903351872341E-2</c:v>
                </c:pt>
                <c:pt idx="1026">
                  <c:v>-7.8239824397030588E-2</c:v>
                </c:pt>
                <c:pt idx="1027">
                  <c:v>-7.8288404203874506E-2</c:v>
                </c:pt>
                <c:pt idx="1028">
                  <c:v>-7.833465698325881E-2</c:v>
                </c:pt>
                <c:pt idx="1029">
                  <c:v>-7.8378604051465572E-2</c:v>
                </c:pt>
                <c:pt idx="1030">
                  <c:v>-7.8420263172063187E-2</c:v>
                </c:pt>
                <c:pt idx="1031">
                  <c:v>-7.8459660990404245E-2</c:v>
                </c:pt>
                <c:pt idx="1032">
                  <c:v>-7.849681704641398E-2</c:v>
                </c:pt>
                <c:pt idx="1033">
                  <c:v>-7.8531747327303947E-2</c:v>
                </c:pt>
                <c:pt idx="1034">
                  <c:v>-7.8564471372999378E-2</c:v>
                </c:pt>
                <c:pt idx="1035">
                  <c:v>-7.8595017605209705E-2</c:v>
                </c:pt>
                <c:pt idx="1036">
                  <c:v>-7.8623403787503321E-2</c:v>
                </c:pt>
                <c:pt idx="1037">
                  <c:v>-7.8649653012519138E-2</c:v>
                </c:pt>
                <c:pt idx="1038">
                  <c:v>-7.8673777714755033E-2</c:v>
                </c:pt>
                <c:pt idx="1039">
                  <c:v>-7.8695808092277275E-2</c:v>
                </c:pt>
                <c:pt idx="1040">
                  <c:v>-7.8715767237724776E-2</c:v>
                </c:pt>
                <c:pt idx="1041">
                  <c:v>-7.8733672914665931E-2</c:v>
                </c:pt>
                <c:pt idx="1042">
                  <c:v>-7.8749542886669133E-2</c:v>
                </c:pt>
                <c:pt idx="1043">
                  <c:v>-7.8763396693659615E-2</c:v>
                </c:pt>
                <c:pt idx="1044">
                  <c:v>-7.8775271639131006E-2</c:v>
                </c:pt>
                <c:pt idx="1045">
                  <c:v>-7.8785174828510662E-2</c:v>
                </c:pt>
                <c:pt idx="1046">
                  <c:v>-7.8793138236221694E-2</c:v>
                </c:pt>
                <c:pt idx="1047">
                  <c:v>-7.8799181402189333E-2</c:v>
                </c:pt>
                <c:pt idx="1048">
                  <c:v>-7.8803320313625136E-2</c:v>
                </c:pt>
                <c:pt idx="1049">
                  <c:v>-7.8805583392238532E-2</c:v>
                </c:pt>
                <c:pt idx="1050">
                  <c:v>-7.8805990177954754E-2</c:v>
                </c:pt>
                <c:pt idx="1051">
                  <c:v>-7.8804569092483234E-2</c:v>
                </c:pt>
                <c:pt idx="1052">
                  <c:v>-7.8801336123035526E-2</c:v>
                </c:pt>
                <c:pt idx="1053">
                  <c:v>-7.8796312585893702E-2</c:v>
                </c:pt>
                <c:pt idx="1054">
                  <c:v>-7.8789532231837711E-2</c:v>
                </c:pt>
                <c:pt idx="1055">
                  <c:v>-7.878100571900859E-2</c:v>
                </c:pt>
                <c:pt idx="1056">
                  <c:v>-7.8770766798186287E-2</c:v>
                </c:pt>
                <c:pt idx="1057">
                  <c:v>-7.8758831456582357E-2</c:v>
                </c:pt>
                <c:pt idx="1058">
                  <c:v>-7.8745222786835711E-2</c:v>
                </c:pt>
                <c:pt idx="1059">
                  <c:v>-7.8729970987012621E-2</c:v>
                </c:pt>
                <c:pt idx="1060">
                  <c:v>-7.87130902679678E-2</c:v>
                </c:pt>
                <c:pt idx="1061">
                  <c:v>-7.8694616156838038E-2</c:v>
                </c:pt>
                <c:pt idx="1062">
                  <c:v>-7.8674562864478048E-2</c:v>
                </c:pt>
                <c:pt idx="1063">
                  <c:v>-7.8652957036240423E-2</c:v>
                </c:pt>
                <c:pt idx="1064">
                  <c:v>-7.8629823541120913E-2</c:v>
                </c:pt>
                <c:pt idx="1065">
                  <c:v>-7.8605181919044753E-2</c:v>
                </c:pt>
                <c:pt idx="1066">
                  <c:v>-7.8579065920791891E-2</c:v>
                </c:pt>
                <c:pt idx="1067">
                  <c:v>-7.8551491533573881E-2</c:v>
                </c:pt>
                <c:pt idx="1068">
                  <c:v>-7.8522485402743314E-2</c:v>
                </c:pt>
                <c:pt idx="1069">
                  <c:v>-7.8492075950009621E-2</c:v>
                </c:pt>
                <c:pt idx="1070">
                  <c:v>-7.8460280938941196E-2</c:v>
                </c:pt>
                <c:pt idx="1071">
                  <c:v>-7.8427130567604308E-2</c:v>
                </c:pt>
                <c:pt idx="1072">
                  <c:v>-7.839264970499471E-2</c:v>
                </c:pt>
                <c:pt idx="1073">
                  <c:v>-7.8356857891037635E-2</c:v>
                </c:pt>
                <c:pt idx="1074">
                  <c:v>-7.8319781771085673E-2</c:v>
                </c:pt>
                <c:pt idx="1075">
                  <c:v>-7.8281451543205094E-2</c:v>
                </c:pt>
                <c:pt idx="1076">
                  <c:v>-7.8241888523677972E-2</c:v>
                </c:pt>
                <c:pt idx="1077">
                  <c:v>-7.8201121134213736E-2</c:v>
                </c:pt>
                <c:pt idx="1078">
                  <c:v>-7.8159163585667102E-2</c:v>
                </c:pt>
                <c:pt idx="1079">
                  <c:v>-7.8116058510602215E-2</c:v>
                </c:pt>
                <c:pt idx="1080">
                  <c:v>-7.807182367258747E-2</c:v>
                </c:pt>
                <c:pt idx="1081">
                  <c:v>-7.802648038790494E-2</c:v>
                </c:pt>
                <c:pt idx="1082">
                  <c:v>-7.7980064183691411E-2</c:v>
                </c:pt>
                <c:pt idx="1083">
                  <c:v>-7.79325892708016E-2</c:v>
                </c:pt>
                <c:pt idx="1084">
                  <c:v>-7.7884094729085973E-2</c:v>
                </c:pt>
                <c:pt idx="1085">
                  <c:v>-7.7834598322112925E-2</c:v>
                </c:pt>
                <c:pt idx="1086">
                  <c:v>-7.7784124918878206E-2</c:v>
                </c:pt>
                <c:pt idx="1087">
                  <c:v>-7.7732706493804926E-2</c:v>
                </c:pt>
                <c:pt idx="1088">
                  <c:v>-7.7680371468602516E-2</c:v>
                </c:pt>
                <c:pt idx="1089">
                  <c:v>-7.7627141159553048E-2</c:v>
                </c:pt>
                <c:pt idx="1090">
                  <c:v>-7.7573042212009113E-2</c:v>
                </c:pt>
                <c:pt idx="1091">
                  <c:v>-7.7518104824036982E-2</c:v>
                </c:pt>
                <c:pt idx="1092">
                  <c:v>-7.7462352088275566E-2</c:v>
                </c:pt>
                <c:pt idx="1093">
                  <c:v>-7.7405808873720616E-2</c:v>
                </c:pt>
                <c:pt idx="1094">
                  <c:v>-7.7348512483865761E-2</c:v>
                </c:pt>
                <c:pt idx="1095">
                  <c:v>-7.7290484234993073E-2</c:v>
                </c:pt>
                <c:pt idx="1096">
                  <c:v>-7.7231745443384625E-2</c:v>
                </c:pt>
                <c:pt idx="1097">
                  <c:v>-7.7172333412534044E-2</c:v>
                </c:pt>
                <c:pt idx="1098">
                  <c:v>-7.7112274787793922E-2</c:v>
                </c:pt>
                <c:pt idx="1099">
                  <c:v>-7.7051594438160009E-2</c:v>
                </c:pt>
                <c:pt idx="1100">
                  <c:v>-7.6990319008984898E-2</c:v>
                </c:pt>
                <c:pt idx="1101">
                  <c:v>-7.6928476921978017E-2</c:v>
                </c:pt>
                <c:pt idx="1102">
                  <c:v>-7.6866096598848799E-2</c:v>
                </c:pt>
                <c:pt idx="1103">
                  <c:v>-7.6803206461306672E-2</c:v>
                </c:pt>
                <c:pt idx="1104">
                  <c:v>-7.6739834931061068E-2</c:v>
                </c:pt>
                <c:pt idx="1105">
                  <c:v>-7.6676008653464578E-2</c:v>
                </c:pt>
                <c:pt idx="1106">
                  <c:v>-7.661176137929715E-2</c:v>
                </c:pt>
                <c:pt idx="1107">
                  <c:v>-7.6547117977554535E-2</c:v>
                </c:pt>
                <c:pt idx="1108">
                  <c:v>-7.6482101540875647E-2</c:v>
                </c:pt>
                <c:pt idx="1109">
                  <c:v>-7.641675292546779E-2</c:v>
                </c:pt>
                <c:pt idx="1110">
                  <c:v>-7.635108989489936E-2</c:v>
                </c:pt>
                <c:pt idx="1111">
                  <c:v>-7.6285149752663983E-2</c:v>
                </c:pt>
                <c:pt idx="1112">
                  <c:v>-7.6218950262330054E-2</c:v>
                </c:pt>
                <c:pt idx="1113">
                  <c:v>-7.6152534056461718E-2</c:v>
                </c:pt>
                <c:pt idx="1114">
                  <c:v>-7.6085920674984209E-2</c:v>
                </c:pt>
                <c:pt idx="1115">
                  <c:v>-7.6019147421391153E-2</c:v>
                </c:pt>
                <c:pt idx="1116">
                  <c:v>-7.5952239164678303E-2</c:v>
                </c:pt>
                <c:pt idx="1117">
                  <c:v>-7.5885227879268768E-2</c:v>
                </c:pt>
                <c:pt idx="1118">
                  <c:v>-7.5818134881444621E-2</c:v>
                </c:pt>
                <c:pt idx="1119">
                  <c:v>-7.5751001027413167E-2</c:v>
                </c:pt>
                <c:pt idx="1120">
                  <c:v>-7.568384940981332E-2</c:v>
                </c:pt>
                <c:pt idx="1121">
                  <c:v>-7.5616717332138705E-2</c:v>
                </c:pt>
                <c:pt idx="1122">
                  <c:v>-7.5549624334314558E-2</c:v>
                </c:pt>
                <c:pt idx="1123">
                  <c:v>-7.5482611272548183E-2</c:v>
                </c:pt>
                <c:pt idx="1124">
                  <c:v>-7.5415699463121655E-2</c:v>
                </c:pt>
                <c:pt idx="1125">
                  <c:v>-7.5348926209528599E-2</c:v>
                </c:pt>
                <c:pt idx="1126">
                  <c:v>-7.5282318157121608E-2</c:v>
                </c:pt>
                <c:pt idx="1127">
                  <c:v>-7.521590728032379E-2</c:v>
                </c:pt>
                <c:pt idx="1128">
                  <c:v>-7.5149720224487737E-2</c:v>
                </c:pt>
                <c:pt idx="1129">
                  <c:v>-7.5083796069463915E-2</c:v>
                </c:pt>
                <c:pt idx="1130">
                  <c:v>-7.5018161460604915E-2</c:v>
                </c:pt>
                <c:pt idx="1131">
                  <c:v>-7.4952841266906489E-2</c:v>
                </c:pt>
                <c:pt idx="1132">
                  <c:v>-7.4887878120932783E-2</c:v>
                </c:pt>
                <c:pt idx="1133">
                  <c:v>-7.4823300444393226E-2</c:v>
                </c:pt>
                <c:pt idx="1134">
                  <c:v>-7.4759131329926731E-2</c:v>
                </c:pt>
                <c:pt idx="1135">
                  <c:v>-7.4695413410097444E-2</c:v>
                </c:pt>
                <c:pt idx="1136">
                  <c:v>-7.4632171553901117E-2</c:v>
                </c:pt>
                <c:pt idx="1137">
                  <c:v>-7.4569437735760857E-2</c:v>
                </c:pt>
                <c:pt idx="1138">
                  <c:v>-7.4507247482813455E-2</c:v>
                </c:pt>
                <c:pt idx="1139">
                  <c:v>-7.4445629216768339E-2</c:v>
                </c:pt>
                <c:pt idx="1140">
                  <c:v>-7.4384614912048619E-2</c:v>
                </c:pt>
                <c:pt idx="1141">
                  <c:v>-7.4324240095791083E-2</c:v>
                </c:pt>
                <c:pt idx="1142">
                  <c:v>-7.4264536742418841E-2</c:v>
                </c:pt>
                <c:pt idx="1143">
                  <c:v>-7.4205529720927643E-2</c:v>
                </c:pt>
                <c:pt idx="1144">
                  <c:v>-7.4147261663881636E-2</c:v>
                </c:pt>
                <c:pt idx="1145">
                  <c:v>-7.408976099299025E-2</c:v>
                </c:pt>
                <c:pt idx="1146">
                  <c:v>-7.4033052577249236E-2</c:v>
                </c:pt>
                <c:pt idx="1147">
                  <c:v>-7.397718260193642E-2</c:v>
                </c:pt>
                <c:pt idx="1148">
                  <c:v>-7.3922175936047552E-2</c:v>
                </c:pt>
                <c:pt idx="1149">
                  <c:v>-7.3868064554005741E-2</c:v>
                </c:pt>
                <c:pt idx="1150">
                  <c:v>-7.3814891088375134E-2</c:v>
                </c:pt>
                <c:pt idx="1151">
                  <c:v>-7.3762676855437803E-2</c:v>
                </c:pt>
                <c:pt idx="1152">
                  <c:v>-7.3711464487757894E-2</c:v>
                </c:pt>
                <c:pt idx="1153">
                  <c:v>-7.3661282407044837E-2</c:v>
                </c:pt>
                <c:pt idx="1154">
                  <c:v>-7.3612162587721741E-2</c:v>
                </c:pt>
                <c:pt idx="1155">
                  <c:v>-7.3564147662352752E-2</c:v>
                </c:pt>
                <c:pt idx="1156">
                  <c:v>-7.3517258947219943E-2</c:v>
                </c:pt>
                <c:pt idx="1157">
                  <c:v>-7.347153907488746E-2</c:v>
                </c:pt>
                <c:pt idx="1158">
                  <c:v>-7.3427012914351053E-2</c:v>
                </c:pt>
                <c:pt idx="1159">
                  <c:v>-7.3383726650888548E-2</c:v>
                </c:pt>
                <c:pt idx="1160">
                  <c:v>-7.3341710482566214E-2</c:v>
                </c:pt>
                <c:pt idx="1161">
                  <c:v>-7.3300991054736642E-2</c:v>
                </c:pt>
                <c:pt idx="1162">
                  <c:v>-7.3261612776320817E-2</c:v>
                </c:pt>
                <c:pt idx="1163">
                  <c:v>-7.322360406902817E-2</c:v>
                </c:pt>
                <c:pt idx="1164">
                  <c:v>-7.3186998683638649E-2</c:v>
                </c:pt>
                <c:pt idx="1165">
                  <c:v>-7.315183747635956E-2</c:v>
                </c:pt>
                <c:pt idx="1166">
                  <c:v>-7.3118147092543495E-2</c:v>
                </c:pt>
                <c:pt idx="1167">
                  <c:v>-7.308596661204092E-2</c:v>
                </c:pt>
                <c:pt idx="1168">
                  <c:v>-7.3055336891059142E-2</c:v>
                </c:pt>
                <c:pt idx="1169">
                  <c:v>-7.3026282798593911E-2</c:v>
                </c:pt>
                <c:pt idx="1170">
                  <c:v>-7.2998846967209374E-2</c:v>
                </c:pt>
                <c:pt idx="1171">
                  <c:v>-7.297306137132864E-2</c:v>
                </c:pt>
                <c:pt idx="1172">
                  <c:v>-7.2948959761731658E-2</c:v>
                </c:pt>
                <c:pt idx="1173">
                  <c:v>-7.2926584770982572E-2</c:v>
                </c:pt>
                <c:pt idx="1174">
                  <c:v>-7.2905959491720296E-2</c:v>
                </c:pt>
                <c:pt idx="1175">
                  <c:v>-7.2887131885579493E-2</c:v>
                </c:pt>
                <c:pt idx="1176">
                  <c:v>-7.2870135703340111E-2</c:v>
                </c:pt>
                <c:pt idx="1177">
                  <c:v>-7.2855001143068421E-2</c:v>
                </c:pt>
                <c:pt idx="1178">
                  <c:v>-7.284176550825805E-2</c:v>
                </c:pt>
                <c:pt idx="1179">
                  <c:v>-7.2830466102402625E-2</c:v>
                </c:pt>
                <c:pt idx="1180">
                  <c:v>-7.2821143781709452E-2</c:v>
                </c:pt>
                <c:pt idx="1181">
                  <c:v>-7.2813832296958481E-2</c:v>
                </c:pt>
                <c:pt idx="1182">
                  <c:v>-7.2808563622572819E-2</c:v>
                </c:pt>
                <c:pt idx="1183">
                  <c:v>-7.2805382167473454E-2</c:v>
                </c:pt>
                <c:pt idx="1184">
                  <c:v>-7.2804314577012974E-2</c:v>
                </c:pt>
                <c:pt idx="1185">
                  <c:v>-7.2805401707398687E-2</c:v>
                </c:pt>
                <c:pt idx="1186">
                  <c:v>-7.2808684414837899E-2</c:v>
                </c:pt>
                <c:pt idx="1187">
                  <c:v>-7.2814201779181076E-2</c:v>
                </c:pt>
                <c:pt idx="1188">
                  <c:v>-7.2821982222137649E-2</c:v>
                </c:pt>
                <c:pt idx="1189">
                  <c:v>-7.2832068376271764E-2</c:v>
                </c:pt>
                <c:pt idx="1190">
                  <c:v>-7.2844497545077047E-2</c:v>
                </c:pt>
                <c:pt idx="1191">
                  <c:v>-7.2859303479333448E-2</c:v>
                </c:pt>
                <c:pt idx="1192">
                  <c:v>-7.2876523482534594E-2</c:v>
                </c:pt>
                <c:pt idx="1193">
                  <c:v>-7.289620373995831E-2</c:v>
                </c:pt>
                <c:pt idx="1194">
                  <c:v>-7.2918372673314025E-2</c:v>
                </c:pt>
                <c:pt idx="1195">
                  <c:v>-7.2943074691522725E-2</c:v>
                </c:pt>
                <c:pt idx="1196">
                  <c:v>-7.2970339992650679E-2</c:v>
                </c:pt>
                <c:pt idx="1197">
                  <c:v>-7.3000214761975712E-2</c:v>
                </c:pt>
                <c:pt idx="1198">
                  <c:v>-7.3032732750277773E-2</c:v>
                </c:pt>
                <c:pt idx="1199">
                  <c:v>-7.306792948469365E-2</c:v>
                </c:pt>
                <c:pt idx="1200">
                  <c:v>-7.3105851150501167E-2</c:v>
                </c:pt>
                <c:pt idx="1201">
                  <c:v>-7.3146531498480272E-2</c:v>
                </c:pt>
                <c:pt idx="1202">
                  <c:v>-7.3190004279410914E-2</c:v>
                </c:pt>
                <c:pt idx="1203">
                  <c:v>-7.3236322783998276E-2</c:v>
                </c:pt>
                <c:pt idx="1204">
                  <c:v>-7.3285511881238108E-2</c:v>
                </c:pt>
                <c:pt idx="1205">
                  <c:v>-7.3337615980051396E-2</c:v>
                </c:pt>
                <c:pt idx="1206">
                  <c:v>-7.3392674160288607E-2</c:v>
                </c:pt>
                <c:pt idx="1207">
                  <c:v>-7.3450723725443368E-2</c:v>
                </c:pt>
                <c:pt idx="1208">
                  <c:v>-7.3511805531722985E-2</c:v>
                </c:pt>
                <c:pt idx="1209">
                  <c:v>-7.3575956882621085E-2</c:v>
                </c:pt>
                <c:pt idx="1210">
                  <c:v>-7.3643216857988136E-2</c:v>
                </c:pt>
                <c:pt idx="1211">
                  <c:v>-7.3713631643101962E-2</c:v>
                </c:pt>
                <c:pt idx="1212">
                  <c:v>-7.3787234988742512E-2</c:v>
                </c:pt>
                <c:pt idx="1213">
                  <c:v>-7.3864067751117091E-2</c:v>
                </c:pt>
                <c:pt idx="1214">
                  <c:v>-7.3944165457362487E-2</c:v>
                </c:pt>
                <c:pt idx="1215">
                  <c:v>-7.4027577845470205E-2</c:v>
                </c:pt>
                <c:pt idx="1216">
                  <c:v>-7.4114333337149674E-2</c:v>
                </c:pt>
                <c:pt idx="1217">
                  <c:v>-7.4204481670392397E-2</c:v>
                </c:pt>
                <c:pt idx="1218">
                  <c:v>-7.4298060148692002E-2</c:v>
                </c:pt>
                <c:pt idx="1219">
                  <c:v>-7.4395109628255796E-2</c:v>
                </c:pt>
                <c:pt idx="1220">
                  <c:v>-7.4495662083506886E-2</c:v>
                </c:pt>
                <c:pt idx="1221">
                  <c:v>-7.4599772581507295E-2</c:v>
                </c:pt>
                <c:pt idx="1222">
                  <c:v>-7.4707473096680133E-2</c:v>
                </c:pt>
                <c:pt idx="1223">
                  <c:v>-7.4818813367016901E-2</c:v>
                </c:pt>
                <c:pt idx="1224">
                  <c:v>-7.4933818261513352E-2</c:v>
                </c:pt>
                <c:pt idx="1225">
                  <c:v>-7.5052542847231507E-2</c:v>
                </c:pt>
                <c:pt idx="1226">
                  <c:v>-7.5175019098594476E-2</c:v>
                </c:pt>
                <c:pt idx="1227">
                  <c:v>-7.5301293200880082E-2</c:v>
                </c:pt>
                <c:pt idx="1228">
                  <c:v>-7.5431406010295632E-2</c:v>
                </c:pt>
                <c:pt idx="1229">
                  <c:v>-7.5565398383048432E-2</c:v>
                </c:pt>
                <c:pt idx="1230">
                  <c:v>-7.5703314728059468E-2</c:v>
                </c:pt>
                <c:pt idx="1231">
                  <c:v>-7.5845192348822366E-2</c:v>
                </c:pt>
                <c:pt idx="1232">
                  <c:v>-7.5991073877901272E-2</c:v>
                </c:pt>
                <c:pt idx="1233">
                  <c:v>-7.6141003724217171E-2</c:v>
                </c:pt>
                <c:pt idx="1234">
                  <c:v>-7.6295017414906852E-2</c:v>
                </c:pt>
                <c:pt idx="1235">
                  <c:v>-7.6453168240675495E-2</c:v>
                </c:pt>
                <c:pt idx="1236">
                  <c:v>-7.6615488175946211E-2</c:v>
                </c:pt>
                <c:pt idx="1237">
                  <c:v>-7.6782025182353664E-2</c:v>
                </c:pt>
                <c:pt idx="1238">
                  <c:v>-7.695281478703464E-2</c:v>
                </c:pt>
                <c:pt idx="1239">
                  <c:v>-7.7127904951623805E-2</c:v>
                </c:pt>
                <c:pt idx="1240">
                  <c:v>-7.7307340085042142E-2</c:v>
                </c:pt>
                <c:pt idx="1241">
                  <c:v>-7.7491164596210638E-2</c:v>
                </c:pt>
                <c:pt idx="1242">
                  <c:v>-7.767941223590924E-2</c:v>
                </c:pt>
                <c:pt idx="1243">
                  <c:v>-7.7872132742129452E-2</c:v>
                </c:pt>
                <c:pt idx="1244">
                  <c:v>-7.806936697107858E-2</c:v>
                </c:pt>
                <c:pt idx="1245">
                  <c:v>-7.8271159331677609E-2</c:v>
                </c:pt>
                <c:pt idx="1246">
                  <c:v>-7.8477550680133845E-2</c:v>
                </c:pt>
                <c:pt idx="1247">
                  <c:v>-7.8688583649011434E-2</c:v>
                </c:pt>
                <c:pt idx="1248">
                  <c:v>-7.890430797630188E-2</c:v>
                </c:pt>
                <c:pt idx="1249">
                  <c:v>-7.9124762741855648E-2</c:v>
                </c:pt>
                <c:pt idx="1250">
                  <c:v>-7.9349988801880045E-2</c:v>
                </c:pt>
                <c:pt idx="1251">
                  <c:v>-7.9580035894366574E-2</c:v>
                </c:pt>
                <c:pt idx="1252">
                  <c:v>-7.9814943099165703E-2</c:v>
                </c:pt>
                <c:pt idx="1253">
                  <c:v>-8.0054756601555255E-2</c:v>
                </c:pt>
                <c:pt idx="1254">
                  <c:v>-8.0299526139526733E-2</c:v>
                </c:pt>
                <c:pt idx="1255">
                  <c:v>-8.0549283687503248E-2</c:v>
                </c:pt>
                <c:pt idx="1256">
                  <c:v>-8.0804080759833141E-2</c:v>
                </c:pt>
                <c:pt idx="1257">
                  <c:v>-8.1063958212723719E-2</c:v>
                </c:pt>
                <c:pt idx="1258">
                  <c:v>-8.1328965784166485E-2</c:v>
                </c:pt>
                <c:pt idx="1259">
                  <c:v>-8.1599147883082424E-2</c:v>
                </c:pt>
                <c:pt idx="1260">
                  <c:v>-8.1874545365678841E-2</c:v>
                </c:pt>
                <c:pt idx="1261">
                  <c:v>-8.2155206193590402E-2</c:v>
                </c:pt>
                <c:pt idx="1262">
                  <c:v>-8.2441172999381251E-2</c:v>
                </c:pt>
                <c:pt idx="1263">
                  <c:v>-8.2732488415615535E-2</c:v>
                </c:pt>
                <c:pt idx="1264">
                  <c:v>-8.3029202180284756E-2</c:v>
                </c:pt>
                <c:pt idx="1265">
                  <c:v>-8.3331362255023578E-2</c:v>
                </c:pt>
                <c:pt idx="1266">
                  <c:v>-8.3639004166968789E-2</c:v>
                </c:pt>
                <c:pt idx="1267">
                  <c:v>-8.3952182983182411E-2</c:v>
                </c:pt>
                <c:pt idx="1268">
                  <c:v>-8.4270939559871749E-2</c:v>
                </c:pt>
                <c:pt idx="1269">
                  <c:v>-8.4595320082314629E-2</c:v>
                </c:pt>
                <c:pt idx="1270">
                  <c:v>-8.4925367183075195E-2</c:v>
                </c:pt>
                <c:pt idx="1271">
                  <c:v>-8.5261134152858631E-2</c:v>
                </c:pt>
                <c:pt idx="1272">
                  <c:v>-8.5602660071515402E-2</c:v>
                </c:pt>
                <c:pt idx="1273">
                  <c:v>-8.5949994677037012E-2</c:v>
                </c:pt>
                <c:pt idx="1274">
                  <c:v>-8.6303180601987606E-2</c:v>
                </c:pt>
                <c:pt idx="1275">
                  <c:v>-8.6662271137072366E-2</c:v>
                </c:pt>
                <c:pt idx="1276">
                  <c:v>-8.7027308914855439E-2</c:v>
                </c:pt>
                <c:pt idx="1277">
                  <c:v>-8.7398338344257809E-2</c:v>
                </c:pt>
                <c:pt idx="1278">
                  <c:v>-8.7775410939627818E-2</c:v>
                </c:pt>
                <c:pt idx="1279">
                  <c:v>-8.8158565780815934E-2</c:v>
                </c:pt>
                <c:pt idx="1280">
                  <c:v>-8.8547856158527338E-2</c:v>
                </c:pt>
                <c:pt idx="1281">
                  <c:v>-8.8943326481683016E-2</c:v>
                </c:pt>
                <c:pt idx="1282">
                  <c:v>-8.9345024711917631E-2</c:v>
                </c:pt>
                <c:pt idx="1283">
                  <c:v>-8.9752998810865847E-2</c:v>
                </c:pt>
                <c:pt idx="1284">
                  <c:v>-9.0167293187448649E-2</c:v>
                </c:pt>
                <c:pt idx="1285">
                  <c:v>-9.058795935601438E-2</c:v>
                </c:pt>
                <c:pt idx="1286">
                  <c:v>-9.1015038172770346E-2</c:v>
                </c:pt>
                <c:pt idx="1287">
                  <c:v>-9.1448584704778568E-2</c:v>
                </c:pt>
                <c:pt idx="1288">
                  <c:v>-9.1888639808246353E-2</c:v>
                </c:pt>
                <c:pt idx="1289">
                  <c:v>-9.2335254997522043E-2</c:v>
                </c:pt>
                <c:pt idx="1290">
                  <c:v>-9.2788478234240301E-2</c:v>
                </c:pt>
                <c:pt idx="1291">
                  <c:v>-9.3248359256392632E-2</c:v>
                </c:pt>
                <c:pt idx="1292">
                  <c:v>-9.3714940696543181E-2</c:v>
                </c:pt>
                <c:pt idx="1293">
                  <c:v>-9.4188279398110808E-2</c:v>
                </c:pt>
                <c:pt idx="1294">
                  <c:v>-9.466841444094598E-2</c:v>
                </c:pt>
                <c:pt idx="1295">
                  <c:v>-9.515539911575388E-2</c:v>
                </c:pt>
                <c:pt idx="1296">
                  <c:v>-9.564928493688285E-2</c:v>
                </c:pt>
                <c:pt idx="1297">
                  <c:v>-9.6150112760540196E-2</c:v>
                </c:pt>
                <c:pt idx="1298">
                  <c:v>-9.665793765378794E-2</c:v>
                </c:pt>
                <c:pt idx="1299">
                  <c:v>-9.7172804025547066E-2</c:v>
                </c:pt>
                <c:pt idx="1300">
                  <c:v>-9.7694758061095399E-2</c:v>
                </c:pt>
                <c:pt idx="1301">
                  <c:v>-9.8223860156565479E-2</c:v>
                </c:pt>
                <c:pt idx="1302">
                  <c:v>-9.8760152944521451E-2</c:v>
                </c:pt>
                <c:pt idx="1303">
                  <c:v>-9.9303686162954818E-2</c:v>
                </c:pt>
                <c:pt idx="1304">
                  <c:v>-9.9854502444429727E-2</c:v>
                </c:pt>
                <c:pt idx="1305">
                  <c:v>-0.10041266218507872</c:v>
                </c:pt>
                <c:pt idx="1306">
                  <c:v>-0.10097821157017961</c:v>
                </c:pt>
                <c:pt idx="1307">
                  <c:v>-0.10155119323229655</c:v>
                </c:pt>
                <c:pt idx="1308">
                  <c:v>-0.10213166756756209</c:v>
                </c:pt>
                <c:pt idx="1309">
                  <c:v>-0.10271968076125404</c:v>
                </c:pt>
                <c:pt idx="1310">
                  <c:v>-0.10331527544593655</c:v>
                </c:pt>
                <c:pt idx="1311">
                  <c:v>-0.10391851201774216</c:v>
                </c:pt>
                <c:pt idx="1312">
                  <c:v>-0.10452943666194869</c:v>
                </c:pt>
                <c:pt idx="1313">
                  <c:v>-0.10514809911654766</c:v>
                </c:pt>
                <c:pt idx="1314">
                  <c:v>-0.10577455267224423</c:v>
                </c:pt>
                <c:pt idx="1315">
                  <c:v>-0.10640884529067307</c:v>
                </c:pt>
                <c:pt idx="1316">
                  <c:v>-0.10705102138075517</c:v>
                </c:pt>
                <c:pt idx="1317">
                  <c:v>-0.10770114844405043</c:v>
                </c:pt>
                <c:pt idx="1318">
                  <c:v>-0.10835926023133879</c:v>
                </c:pt>
                <c:pt idx="1319">
                  <c:v>-0.10902541891510964</c:v>
                </c:pt>
                <c:pt idx="1320">
                  <c:v>-0.10969966357521344</c:v>
                </c:pt>
                <c:pt idx="1321">
                  <c:v>-0.1103820581604964</c:v>
                </c:pt>
                <c:pt idx="1322">
                  <c:v>-0.1110726506325932</c:v>
                </c:pt>
                <c:pt idx="1323">
                  <c:v>-0.11177148717678165</c:v>
                </c:pt>
                <c:pt idx="1324">
                  <c:v>-0.11247862641283746</c:v>
                </c:pt>
                <c:pt idx="1325">
                  <c:v>-0.11319411452603845</c:v>
                </c:pt>
                <c:pt idx="1326">
                  <c:v>-0.1139180048070898</c:v>
                </c:pt>
                <c:pt idx="1327">
                  <c:v>-0.11465034344126934</c:v>
                </c:pt>
                <c:pt idx="1328">
                  <c:v>-0.11539119260106645</c:v>
                </c:pt>
                <c:pt idx="1329">
                  <c:v>-0.11614060024811579</c:v>
                </c:pt>
                <c:pt idx="1330">
                  <c:v>-0.1168986178967657</c:v>
                </c:pt>
                <c:pt idx="1331">
                  <c:v>-0.11766529706136453</c:v>
                </c:pt>
                <c:pt idx="1332">
                  <c:v>-0.11844069280897429</c:v>
                </c:pt>
                <c:pt idx="1333">
                  <c:v>-0.11922485310122966</c:v>
                </c:pt>
                <c:pt idx="1334">
                  <c:v>-0.12001783300519264</c:v>
                </c:pt>
                <c:pt idx="1335">
                  <c:v>-0.12081968403521159</c:v>
                </c:pt>
                <c:pt idx="1336">
                  <c:v>-0.12163046658741905</c:v>
                </c:pt>
                <c:pt idx="1337">
                  <c:v>-0.12245021974166548</c:v>
                </c:pt>
                <c:pt idx="1338">
                  <c:v>-0.12327900922315393</c:v>
                </c:pt>
                <c:pt idx="1339">
                  <c:v>-0.12411687944080541</c:v>
                </c:pt>
                <c:pt idx="1340">
                  <c:v>-0.12496388546168191</c:v>
                </c:pt>
                <c:pt idx="1341">
                  <c:v>-0.12582008590555915</c:v>
                </c:pt>
                <c:pt idx="1342">
                  <c:v>-0.12668553051042863</c:v>
                </c:pt>
                <c:pt idx="1343">
                  <c:v>-0.12756026901428186</c:v>
                </c:pt>
                <c:pt idx="1344">
                  <c:v>-0.128444354707824</c:v>
                </c:pt>
                <c:pt idx="1345">
                  <c:v>-0.12933784798718762</c:v>
                </c:pt>
                <c:pt idx="1346">
                  <c:v>-0.13024080214307787</c:v>
                </c:pt>
                <c:pt idx="1347">
                  <c:v>-0.13115326691348628</c:v>
                </c:pt>
                <c:pt idx="1348">
                  <c:v>-0.13207530091818853</c:v>
                </c:pt>
                <c:pt idx="1349">
                  <c:v>-0.1330069521188193</c:v>
                </c:pt>
                <c:pt idx="1350">
                  <c:v>-0.1339482755824406</c:v>
                </c:pt>
                <c:pt idx="1351">
                  <c:v>-0.13489932992882814</c:v>
                </c:pt>
                <c:pt idx="1352">
                  <c:v>-0.13586017200140077</c:v>
                </c:pt>
                <c:pt idx="1353">
                  <c:v>-0.13683084620907948</c:v>
                </c:pt>
                <c:pt idx="1354">
                  <c:v>-0.13781142182978101</c:v>
                </c:pt>
                <c:pt idx="1355">
                  <c:v>-0.13880193616699898</c:v>
                </c:pt>
                <c:pt idx="1356">
                  <c:v>-0.13980245494593646</c:v>
                </c:pt>
                <c:pt idx="1357">
                  <c:v>-0.14081303145729862</c:v>
                </c:pt>
                <c:pt idx="1358">
                  <c:v>-0.14183371899179065</c:v>
                </c:pt>
                <c:pt idx="1359">
                  <c:v>-0.14286457972190192</c:v>
                </c:pt>
                <c:pt idx="1360">
                  <c:v>-0.14390565450383974</c:v>
                </c:pt>
                <c:pt idx="1361">
                  <c:v>-0.14495701261552085</c:v>
                </c:pt>
                <c:pt idx="1362">
                  <c:v>-0.14601870201857992</c:v>
                </c:pt>
                <c:pt idx="1363">
                  <c:v>-0.14709078310914947</c:v>
                </c:pt>
                <c:pt idx="1364">
                  <c:v>-0.14817330562522102</c:v>
                </c:pt>
                <c:pt idx="1365">
                  <c:v>-0.14926633173928394</c:v>
                </c:pt>
                <c:pt idx="1366">
                  <c:v>-0.15036991474204342</c:v>
                </c:pt>
                <c:pt idx="1367">
                  <c:v>-0.15148411502963199</c:v>
                </c:pt>
                <c:pt idx="1368">
                  <c:v>-0.15260897878732749</c:v>
                </c:pt>
                <c:pt idx="1369">
                  <c:v>-0.15374456818761928</c:v>
                </c:pt>
                <c:pt idx="1370">
                  <c:v>-0.15489094007392623</c:v>
                </c:pt>
                <c:pt idx="1371">
                  <c:v>-0.1560481512896672</c:v>
                </c:pt>
                <c:pt idx="1372">
                  <c:v>-0.15721625512554738</c:v>
                </c:pt>
                <c:pt idx="1373">
                  <c:v>-0.15839530842498561</c:v>
                </c:pt>
                <c:pt idx="1374">
                  <c:v>-0.15958537513682813</c:v>
                </c:pt>
                <c:pt idx="1375">
                  <c:v>-0.16078650144635276</c:v>
                </c:pt>
                <c:pt idx="1376">
                  <c:v>-0.16199875307876255</c:v>
                </c:pt>
                <c:pt idx="1377">
                  <c:v>-0.16322217799569216</c:v>
                </c:pt>
                <c:pt idx="1378">
                  <c:v>-0.16445684547505834</c:v>
                </c:pt>
                <c:pt idx="1379">
                  <c:v>-0.16570280347849575</c:v>
                </c:pt>
                <c:pt idx="1380">
                  <c:v>-0.16696011062578009</c:v>
                </c:pt>
                <c:pt idx="1381">
                  <c:v>-0.16822882908940073</c:v>
                </c:pt>
                <c:pt idx="1382">
                  <c:v>-0.16950901393641971</c:v>
                </c:pt>
                <c:pt idx="1383">
                  <c:v>-0.17080071845754219</c:v>
                </c:pt>
                <c:pt idx="1384">
                  <c:v>-0.17210400837797124</c:v>
                </c:pt>
                <c:pt idx="1385">
                  <c:v>-0.17341893698841204</c:v>
                </c:pt>
                <c:pt idx="1386">
                  <c:v>-0.17474556468499713</c:v>
                </c:pt>
                <c:pt idx="1387">
                  <c:v>-0.17608394298207486</c:v>
                </c:pt>
                <c:pt idx="1388">
                  <c:v>-0.17743413760484827</c:v>
                </c:pt>
                <c:pt idx="1389">
                  <c:v>-0.17879620717309308</c:v>
                </c:pt>
                <c:pt idx="1390">
                  <c:v>-0.18017020320115762</c:v>
                </c:pt>
                <c:pt idx="1391">
                  <c:v>-0.18155618963788811</c:v>
                </c:pt>
                <c:pt idx="1392">
                  <c:v>-0.18295422865577393</c:v>
                </c:pt>
                <c:pt idx="1393">
                  <c:v>-0.18436436821644975</c:v>
                </c:pt>
                <c:pt idx="1394">
                  <c:v>-0.18578668115054597</c:v>
                </c:pt>
                <c:pt idx="1395">
                  <c:v>-0.18722121009062676</c:v>
                </c:pt>
                <c:pt idx="1396">
                  <c:v>-0.18866802786732251</c:v>
                </c:pt>
                <c:pt idx="1397">
                  <c:v>-0.19012718777133841</c:v>
                </c:pt>
                <c:pt idx="1398">
                  <c:v>-0.19159874664609333</c:v>
                </c:pt>
                <c:pt idx="1399">
                  <c:v>-0.19308276844043348</c:v>
                </c:pt>
                <c:pt idx="1400">
                  <c:v>-0.19457931177413457</c:v>
                </c:pt>
                <c:pt idx="1401">
                  <c:v>-0.19608843704332912</c:v>
                </c:pt>
                <c:pt idx="1402">
                  <c:v>-0.19761020464414969</c:v>
                </c:pt>
                <c:pt idx="1403">
                  <c:v>-0.19914466786730145</c:v>
                </c:pt>
                <c:pt idx="1404">
                  <c:v>-0.2006918942143443</c:v>
                </c:pt>
                <c:pt idx="1405">
                  <c:v>-0.20225193875234027</c:v>
                </c:pt>
                <c:pt idx="1406">
                  <c:v>-0.2038248672064924</c:v>
                </c:pt>
                <c:pt idx="1407">
                  <c:v>-0.20541073286750589</c:v>
                </c:pt>
                <c:pt idx="1408">
                  <c:v>-0.20700959968422694</c:v>
                </c:pt>
                <c:pt idx="1409">
                  <c:v>-0.20862153160550179</c:v>
                </c:pt>
                <c:pt idx="1410">
                  <c:v>-0.21024658725110612</c:v>
                </c:pt>
                <c:pt idx="1411">
                  <c:v>-0.21188482168810197</c:v>
                </c:pt>
                <c:pt idx="1412">
                  <c:v>-0.21353629886533554</c:v>
                </c:pt>
                <c:pt idx="1413">
                  <c:v>-0.21520108628436674</c:v>
                </c:pt>
                <c:pt idx="1414">
                  <c:v>-0.21687923190683023</c:v>
                </c:pt>
                <c:pt idx="1415">
                  <c:v>-0.21857079968157223</c:v>
                </c:pt>
                <c:pt idx="1416">
                  <c:v>-0.22027586599193683</c:v>
                </c:pt>
                <c:pt idx="1417">
                  <c:v>-0.22199448057591553</c:v>
                </c:pt>
                <c:pt idx="1418">
                  <c:v>-0.22372670205328404</c:v>
                </c:pt>
                <c:pt idx="1419">
                  <c:v>-0.22547259437288858</c:v>
                </c:pt>
                <c:pt idx="1420">
                  <c:v>-0.22723222503628904</c:v>
                </c:pt>
                <c:pt idx="1421">
                  <c:v>-0.22900564911054744</c:v>
                </c:pt>
                <c:pt idx="1422">
                  <c:v>-0.23079293054451</c:v>
                </c:pt>
                <c:pt idx="1423">
                  <c:v>-0.23259413506337978</c:v>
                </c:pt>
                <c:pt idx="1424">
                  <c:v>-0.2344093177342188</c:v>
                </c:pt>
                <c:pt idx="1425">
                  <c:v>-0.23623854072951644</c:v>
                </c:pt>
                <c:pt idx="1426">
                  <c:v>-0.23808186977447576</c:v>
                </c:pt>
                <c:pt idx="1427">
                  <c:v>-0.23993937237065666</c:v>
                </c:pt>
                <c:pt idx="1428">
                  <c:v>-0.24181110003240747</c:v>
                </c:pt>
                <c:pt idx="1429">
                  <c:v>-0.24369712381400177</c:v>
                </c:pt>
                <c:pt idx="1430">
                  <c:v>-0.24559750411157211</c:v>
                </c:pt>
                <c:pt idx="1431">
                  <c:v>-0.24751230309760786</c:v>
                </c:pt>
                <c:pt idx="1432">
                  <c:v>-0.24944158294459839</c:v>
                </c:pt>
                <c:pt idx="1433">
                  <c:v>-0.25138540404867626</c:v>
                </c:pt>
                <c:pt idx="1434">
                  <c:v>-0.25334383391140136</c:v>
                </c:pt>
                <c:pt idx="1435">
                  <c:v>-0.25531693292890623</c:v>
                </c:pt>
                <c:pt idx="1436">
                  <c:v>-0.25730477570817811</c:v>
                </c:pt>
                <c:pt idx="1437">
                  <c:v>-0.25930741021085169</c:v>
                </c:pt>
                <c:pt idx="1438">
                  <c:v>-0.26132490571484368</c:v>
                </c:pt>
                <c:pt idx="1439">
                  <c:v>-0.26335732439264348</c:v>
                </c:pt>
                <c:pt idx="1440">
                  <c:v>-0.26540473196945413</c:v>
                </c:pt>
                <c:pt idx="1441">
                  <c:v>-0.26746719594683555</c:v>
                </c:pt>
                <c:pt idx="1442">
                  <c:v>-0.26954477316820658</c:v>
                </c:pt>
                <c:pt idx="1443">
                  <c:v>-0.27163753113512712</c:v>
                </c:pt>
                <c:pt idx="1444">
                  <c:v>-0.27374553734915708</c:v>
                </c:pt>
                <c:pt idx="1445">
                  <c:v>-0.27586884687735846</c:v>
                </c:pt>
                <c:pt idx="1446">
                  <c:v>-0.27800753432671854</c:v>
                </c:pt>
                <c:pt idx="1447">
                  <c:v>-0.28016165654065617</c:v>
                </c:pt>
                <c:pt idx="1448">
                  <c:v>-0.28233128102073124</c:v>
                </c:pt>
                <c:pt idx="1449">
                  <c:v>-0.28451647704486049</c:v>
                </c:pt>
                <c:pt idx="1450">
                  <c:v>-0.28671729790374911</c:v>
                </c:pt>
                <c:pt idx="1451">
                  <c:v>-0.28893381642802751</c:v>
                </c:pt>
                <c:pt idx="1452">
                  <c:v>-0.29116609834289875</c:v>
                </c:pt>
                <c:pt idx="1453">
                  <c:v>-0.29341421114992272</c:v>
                </c:pt>
                <c:pt idx="1454">
                  <c:v>-0.29567821169251829</c:v>
                </c:pt>
                <c:pt idx="1455">
                  <c:v>-0.29795816924860219</c:v>
                </c:pt>
                <c:pt idx="1456">
                  <c:v>-0.300254154872448</c:v>
                </c:pt>
                <c:pt idx="1457">
                  <c:v>-0.30256622540747458</c:v>
                </c:pt>
                <c:pt idx="1458">
                  <c:v>-0.3048944519079555</c:v>
                </c:pt>
                <c:pt idx="1459">
                  <c:v>-0.30723889832273699</c:v>
                </c:pt>
                <c:pt idx="1460">
                  <c:v>-0.30959963215337893</c:v>
                </c:pt>
                <c:pt idx="1461">
                  <c:v>-0.31197671557237072</c:v>
                </c:pt>
                <c:pt idx="1462">
                  <c:v>-0.31437021075220173</c:v>
                </c:pt>
                <c:pt idx="1463">
                  <c:v>-0.31678019762892973</c:v>
                </c:pt>
                <c:pt idx="1464">
                  <c:v>-0.3192067294932599</c:v>
                </c:pt>
                <c:pt idx="1465">
                  <c:v>-0.32164988272853634</c:v>
                </c:pt>
                <c:pt idx="1466">
                  <c:v>-0.32410971773089159</c:v>
                </c:pt>
                <c:pt idx="1467">
                  <c:v>-0.32658630200188554</c:v>
                </c:pt>
                <c:pt idx="1468">
                  <c:v>-0.32907970481943494</c:v>
                </c:pt>
                <c:pt idx="1469">
                  <c:v>-0.33158998657967231</c:v>
                </c:pt>
                <c:pt idx="1470">
                  <c:v>-0.33411721833687125</c:v>
                </c:pt>
                <c:pt idx="1471">
                  <c:v>-0.33666146936894847</c:v>
                </c:pt>
                <c:pt idx="1472">
                  <c:v>-0.33922280540110705</c:v>
                </c:pt>
                <c:pt idx="1473">
                  <c:v>-0.34180129393490688</c:v>
                </c:pt>
                <c:pt idx="1474">
                  <c:v>-0.34439700069555101</c:v>
                </c:pt>
                <c:pt idx="1475">
                  <c:v>-0.34700999318459935</c:v>
                </c:pt>
                <c:pt idx="1476">
                  <c:v>-0.34964033712725495</c:v>
                </c:pt>
                <c:pt idx="1477">
                  <c:v>-0.35228810713050507</c:v>
                </c:pt>
                <c:pt idx="1478">
                  <c:v>-0.35495336359048224</c:v>
                </c:pt>
                <c:pt idx="1479">
                  <c:v>-0.35763617756146004</c:v>
                </c:pt>
                <c:pt idx="1480">
                  <c:v>-0.36033661654499838</c:v>
                </c:pt>
                <c:pt idx="1481">
                  <c:v>-0.36305475159537082</c:v>
                </c:pt>
                <c:pt idx="1482">
                  <c:v>-0.36579064666142358</c:v>
                </c:pt>
                <c:pt idx="1483">
                  <c:v>-0.3685443710210734</c:v>
                </c:pt>
                <c:pt idx="1484">
                  <c:v>-0.37131599395223702</c:v>
                </c:pt>
                <c:pt idx="1485">
                  <c:v>-0.37410558650918802</c:v>
                </c:pt>
                <c:pt idx="1486">
                  <c:v>-0.37691320198263156</c:v>
                </c:pt>
                <c:pt idx="1487">
                  <c:v>-0.37973893096676647</c:v>
                </c:pt>
                <c:pt idx="1488">
                  <c:v>-0.38258283563408213</c:v>
                </c:pt>
                <c:pt idx="1489">
                  <c:v>-0.38544497638071107</c:v>
                </c:pt>
                <c:pt idx="1490">
                  <c:v>-0.38832542958999738</c:v>
                </c:pt>
                <c:pt idx="1491">
                  <c:v>-0.39122426453985781</c:v>
                </c:pt>
                <c:pt idx="1492">
                  <c:v>-0.39414154695549541</c:v>
                </c:pt>
                <c:pt idx="1493">
                  <c:v>-0.39707734611482692</c:v>
                </c:pt>
                <c:pt idx="1494">
                  <c:v>-0.40003174017755327</c:v>
                </c:pt>
                <c:pt idx="1495">
                  <c:v>-0.40300478243437965</c:v>
                </c:pt>
                <c:pt idx="1496">
                  <c:v>-0.40599655815043434</c:v>
                </c:pt>
                <c:pt idx="1497">
                  <c:v>-0.40900713127456356</c:v>
                </c:pt>
                <c:pt idx="1498">
                  <c:v>-0.41203656753197038</c:v>
                </c:pt>
                <c:pt idx="1499">
                  <c:v>-0.4150849397532852</c:v>
                </c:pt>
                <c:pt idx="1500">
                  <c:v>-0.41815232432185212</c:v>
                </c:pt>
                <c:pt idx="1501">
                  <c:v>-0.42123878341016052</c:v>
                </c:pt>
                <c:pt idx="1502">
                  <c:v>-0.42434438807248398</c:v>
                </c:pt>
                <c:pt idx="1503">
                  <c:v>-0.42746921291580975</c:v>
                </c:pt>
                <c:pt idx="1504">
                  <c:v>-0.43061332188898405</c:v>
                </c:pt>
                <c:pt idx="1505">
                  <c:v>-0.43377679315170781</c:v>
                </c:pt>
                <c:pt idx="1506">
                  <c:v>-0.43695969242918409</c:v>
                </c:pt>
                <c:pt idx="1507">
                  <c:v>-0.4401620925520433</c:v>
                </c:pt>
                <c:pt idx="1508">
                  <c:v>-0.44338406812727271</c:v>
                </c:pt>
                <c:pt idx="1509">
                  <c:v>-0.44662568132736169</c:v>
                </c:pt>
                <c:pt idx="1510">
                  <c:v>-0.44988700853565433</c:v>
                </c:pt>
                <c:pt idx="1511">
                  <c:v>-0.45316812613549473</c:v>
                </c:pt>
                <c:pt idx="1512">
                  <c:v>-0.45646909097030175</c:v>
                </c:pt>
                <c:pt idx="1513">
                  <c:v>-0.4597899936342742</c:v>
                </c:pt>
                <c:pt idx="1514">
                  <c:v>-0.46313089097083093</c:v>
                </c:pt>
                <c:pt idx="1515">
                  <c:v>-0.46649185403424553</c:v>
                </c:pt>
                <c:pt idx="1516">
                  <c:v>-0.46987296453693261</c:v>
                </c:pt>
                <c:pt idx="1517">
                  <c:v>-0.47327429353316575</c:v>
                </c:pt>
                <c:pt idx="1518">
                  <c:v>-0.47669590497179115</c:v>
                </c:pt>
                <c:pt idx="1519">
                  <c:v>-0.48013787701250976</c:v>
                </c:pt>
                <c:pt idx="1520">
                  <c:v>-0.48360027538052464</c:v>
                </c:pt>
                <c:pt idx="1521">
                  <c:v>-0.48708318001189355</c:v>
                </c:pt>
                <c:pt idx="1522">
                  <c:v>-0.49058665663181955</c:v>
                </c:pt>
                <c:pt idx="1523">
                  <c:v>-0.49411078517636042</c:v>
                </c:pt>
                <c:pt idx="1524">
                  <c:v>-0.49765563314707606</c:v>
                </c:pt>
                <c:pt idx="1525">
                  <c:v>-0.50122127515095372</c:v>
                </c:pt>
                <c:pt idx="1526">
                  <c:v>-0.50480778224226697</c:v>
                </c:pt>
                <c:pt idx="1527">
                  <c:v>-0.50841523613343043</c:v>
                </c:pt>
                <c:pt idx="1528">
                  <c:v>-0.51204369544421979</c:v>
                </c:pt>
                <c:pt idx="1529">
                  <c:v>-0.51569324011069284</c:v>
                </c:pt>
                <c:pt idx="1530">
                  <c:v>-0.51936394296347999</c:v>
                </c:pt>
                <c:pt idx="1531">
                  <c:v>-0.52305588216228216</c:v>
                </c:pt>
                <c:pt idx="1532">
                  <c:v>-0.52676912343230242</c:v>
                </c:pt>
                <c:pt idx="1533">
                  <c:v>-0.53050374670959854</c:v>
                </c:pt>
                <c:pt idx="1534">
                  <c:v>-0.5342598230484441</c:v>
                </c:pt>
                <c:pt idx="1535">
                  <c:v>-0.53803742172675584</c:v>
                </c:pt>
                <c:pt idx="1536">
                  <c:v>-0.54183662268059152</c:v>
                </c:pt>
                <c:pt idx="1537">
                  <c:v>-0.54565750229329524</c:v>
                </c:pt>
                <c:pt idx="1538">
                  <c:v>-0.54950012629007006</c:v>
                </c:pt>
                <c:pt idx="1539">
                  <c:v>-0.55336457815968743</c:v>
                </c:pt>
                <c:pt idx="1540">
                  <c:v>-0.55725091296920937</c:v>
                </c:pt>
                <c:pt idx="1541">
                  <c:v>-0.56115923197097572</c:v>
                </c:pt>
                <c:pt idx="1542">
                  <c:v>-0.56508959200840536</c:v>
                </c:pt>
                <c:pt idx="1543">
                  <c:v>-0.56904208189934025</c:v>
                </c:pt>
                <c:pt idx="1544">
                  <c:v>-0.57301675848719924</c:v>
                </c:pt>
                <c:pt idx="1545">
                  <c:v>-0.57701370703711063</c:v>
                </c:pt>
                <c:pt idx="1546">
                  <c:v>-0.58103300393241852</c:v>
                </c:pt>
                <c:pt idx="1547">
                  <c:v>-0.5850747166746828</c:v>
                </c:pt>
                <c:pt idx="1548">
                  <c:v>-0.58913893052903177</c:v>
                </c:pt>
                <c:pt idx="1549">
                  <c:v>-0.59322570766795479</c:v>
                </c:pt>
                <c:pt idx="1550">
                  <c:v>-0.59733513513293701</c:v>
                </c:pt>
                <c:pt idx="1551">
                  <c:v>-0.60146728575460884</c:v>
                </c:pt>
                <c:pt idx="1552">
                  <c:v>-0.60562223236360069</c:v>
                </c:pt>
                <c:pt idx="1553">
                  <c:v>-0.60980005311961349</c:v>
                </c:pt>
                <c:pt idx="1554">
                  <c:v>-0.61400082262963451</c:v>
                </c:pt>
                <c:pt idx="1555">
                  <c:v>-0.61822461372429416</c:v>
                </c:pt>
                <c:pt idx="1556">
                  <c:v>-0.6224715063396502</c:v>
                </c:pt>
                <c:pt idx="1557">
                  <c:v>-0.62674157508268991</c:v>
                </c:pt>
                <c:pt idx="1558">
                  <c:v>-0.63103489988947103</c:v>
                </c:pt>
                <c:pt idx="1559">
                  <c:v>-0.63535155003791033</c:v>
                </c:pt>
                <c:pt idx="1560">
                  <c:v>-0.63969161256949292</c:v>
                </c:pt>
                <c:pt idx="1561">
                  <c:v>-0.64405515320942186</c:v>
                </c:pt>
                <c:pt idx="1562">
                  <c:v>-0.64844225011739809</c:v>
                </c:pt>
                <c:pt idx="1563">
                  <c:v>-0.65285298500583622</c:v>
                </c:pt>
                <c:pt idx="1564">
                  <c:v>-0.6572874324817235</c:v>
                </c:pt>
                <c:pt idx="1565">
                  <c:v>-0.66174567248111771</c:v>
                </c:pt>
                <c:pt idx="1566">
                  <c:v>-0.66622777605829242</c:v>
                </c:pt>
                <c:pt idx="1567">
                  <c:v>-0.67073382492566225</c:v>
                </c:pt>
                <c:pt idx="1568">
                  <c:v>-0.67526389369021445</c:v>
                </c:pt>
                <c:pt idx="1569">
                  <c:v>-0.67981806051164995</c:v>
                </c:pt>
                <c:pt idx="1570">
                  <c:v>-0.68439640177331285</c:v>
                </c:pt>
                <c:pt idx="1571">
                  <c:v>-0.68899900274033143</c:v>
                </c:pt>
                <c:pt idx="1572">
                  <c:v>-0.69362592380883825</c:v>
                </c:pt>
                <c:pt idx="1573">
                  <c:v>-0.69827726090210263</c:v>
                </c:pt>
                <c:pt idx="1574">
                  <c:v>-0.70295309040346865</c:v>
                </c:pt>
                <c:pt idx="1575">
                  <c:v>-0.70765347270906886</c:v>
                </c:pt>
                <c:pt idx="1576">
                  <c:v>-0.71237850729488628</c:v>
                </c:pt>
                <c:pt idx="1577">
                  <c:v>-0.7171282581097671</c:v>
                </c:pt>
                <c:pt idx="1578">
                  <c:v>-0.72190281041883964</c:v>
                </c:pt>
                <c:pt idx="1579">
                  <c:v>-0.72670223882909113</c:v>
                </c:pt>
                <c:pt idx="1580">
                  <c:v>-0.73152662860564988</c:v>
                </c:pt>
                <c:pt idx="1581">
                  <c:v>-0.73637604725007577</c:v>
                </c:pt>
                <c:pt idx="1582">
                  <c:v>-0.74125058358021079</c:v>
                </c:pt>
                <c:pt idx="1583">
                  <c:v>-0.74615031575575586</c:v>
                </c:pt>
                <c:pt idx="1584">
                  <c:v>-0.75107531838369823</c:v>
                </c:pt>
                <c:pt idx="1585">
                  <c:v>-0.75602566962373885</c:v>
                </c:pt>
                <c:pt idx="1586">
                  <c:v>-0.761001454741006</c:v>
                </c:pt>
                <c:pt idx="1587">
                  <c:v>-0.76600274301341642</c:v>
                </c:pt>
                <c:pt idx="1588">
                  <c:v>-0.77102962148245524</c:v>
                </c:pt>
                <c:pt idx="1589">
                  <c:v>-0.77608217363689391</c:v>
                </c:pt>
                <c:pt idx="1590">
                  <c:v>-0.78116047053100601</c:v>
                </c:pt>
                <c:pt idx="1591">
                  <c:v>-0.78626459565356299</c:v>
                </c:pt>
                <c:pt idx="1592">
                  <c:v>-0.79139462361155211</c:v>
                </c:pt>
                <c:pt idx="1593">
                  <c:v>-0.79655063789374481</c:v>
                </c:pt>
                <c:pt idx="1594">
                  <c:v>-0.80173272376526938</c:v>
                </c:pt>
                <c:pt idx="1595">
                  <c:v>-0.80694095938582677</c:v>
                </c:pt>
                <c:pt idx="1596">
                  <c:v>-0.81217542113876107</c:v>
                </c:pt>
                <c:pt idx="1597">
                  <c:v>-0.8174361871837732</c:v>
                </c:pt>
                <c:pt idx="1598">
                  <c:v>-0.82272334989141882</c:v>
                </c:pt>
                <c:pt idx="1599">
                  <c:v>-0.82803697676325783</c:v>
                </c:pt>
                <c:pt idx="1600">
                  <c:v>-0.83337715306441851</c:v>
                </c:pt>
                <c:pt idx="1601">
                  <c:v>-0.83874395873095864</c:v>
                </c:pt>
                <c:pt idx="1602">
                  <c:v>-0.84413747547529283</c:v>
                </c:pt>
                <c:pt idx="1603">
                  <c:v>-0.84955778856254938</c:v>
                </c:pt>
                <c:pt idx="1604">
                  <c:v>-0.85500497437607237</c:v>
                </c:pt>
                <c:pt idx="1605">
                  <c:v>-0.86047911107556274</c:v>
                </c:pt>
                <c:pt idx="1606">
                  <c:v>-0.86598028570250563</c:v>
                </c:pt>
                <c:pt idx="1607">
                  <c:v>-0.87150857819295879</c:v>
                </c:pt>
                <c:pt idx="1608">
                  <c:v>-0.8770640720356937</c:v>
                </c:pt>
                <c:pt idx="1609">
                  <c:v>-0.88264684006134075</c:v>
                </c:pt>
                <c:pt idx="1610">
                  <c:v>-0.88825697286409877</c:v>
                </c:pt>
                <c:pt idx="1611">
                  <c:v>-0.89389454860366868</c:v>
                </c:pt>
                <c:pt idx="1612">
                  <c:v>-0.89955965432153562</c:v>
                </c:pt>
                <c:pt idx="1613">
                  <c:v>-0.90525236462468683</c:v>
                </c:pt>
                <c:pt idx="1614">
                  <c:v>-0.91097276477825062</c:v>
                </c:pt>
                <c:pt idx="1615">
                  <c:v>-0.91672093649464159</c:v>
                </c:pt>
                <c:pt idx="1616">
                  <c:v>-0.92249696859170172</c:v>
                </c:pt>
                <c:pt idx="1617">
                  <c:v>-0.92830093567641825</c:v>
                </c:pt>
                <c:pt idx="1618">
                  <c:v>-0.9341329194612058</c:v>
                </c:pt>
                <c:pt idx="1619">
                  <c:v>-0.93999300343483583</c:v>
                </c:pt>
                <c:pt idx="1620">
                  <c:v>-0.94588127819150714</c:v>
                </c:pt>
                <c:pt idx="1621">
                  <c:v>-0.95179782189092066</c:v>
                </c:pt>
                <c:pt idx="1622">
                  <c:v>-0.95774271091642049</c:v>
                </c:pt>
                <c:pt idx="1623">
                  <c:v>-0.96371603941491912</c:v>
                </c:pt>
                <c:pt idx="1624">
                  <c:v>-0.96971788021704697</c:v>
                </c:pt>
                <c:pt idx="1625">
                  <c:v>-0.97574832391700284</c:v>
                </c:pt>
                <c:pt idx="1626">
                  <c:v>-0.98180745222720134</c:v>
                </c:pt>
                <c:pt idx="1627">
                  <c:v>-0.98789534686005709</c:v>
                </c:pt>
                <c:pt idx="1628">
                  <c:v>-0.99401209308069838</c:v>
                </c:pt>
                <c:pt idx="1629">
                  <c:v>-1.0001577690488261</c:v>
                </c:pt>
                <c:pt idx="1630">
                  <c:v>-1.0063324706877097</c:v>
                </c:pt>
                <c:pt idx="1631">
                  <c:v>-1.01253627615705</c:v>
                </c:pt>
                <c:pt idx="1632">
                  <c:v>-1.018769263616548</c:v>
                </c:pt>
                <c:pt idx="1633">
                  <c:v>-1.0250315218840456</c:v>
                </c:pt>
                <c:pt idx="1634">
                  <c:v>-1.0313231397773848</c:v>
                </c:pt>
                <c:pt idx="1635">
                  <c:v>-1.0376441954562665</c:v>
                </c:pt>
                <c:pt idx="1636">
                  <c:v>-1.0439947741858191</c:v>
                </c:pt>
                <c:pt idx="1637">
                  <c:v>-1.050374959454814</c:v>
                </c:pt>
                <c:pt idx="1638">
                  <c:v>-1.0567848365283794</c:v>
                </c:pt>
                <c:pt idx="1639">
                  <c:v>-1.0632244977770711</c:v>
                </c:pt>
                <c:pt idx="1640">
                  <c:v>-1.0696940178078762</c:v>
                </c:pt>
                <c:pt idx="1641">
                  <c:v>-1.0761934872149936</c:v>
                </c:pt>
                <c:pt idx="1642">
                  <c:v>-1.082722987710838</c:v>
                </c:pt>
                <c:pt idx="1643">
                  <c:v>-1.0892826116659649</c:v>
                </c:pt>
                <c:pt idx="1644">
                  <c:v>-1.0958724336873615</c:v>
                </c:pt>
                <c:pt idx="1645">
                  <c:v>-1.1024925461455837</c:v>
                </c:pt>
                <c:pt idx="1646">
                  <c:v>-1.1091430272003322</c:v>
                </c:pt>
                <c:pt idx="1647">
                  <c:v>-1.1158239727748764</c:v>
                </c:pt>
                <c:pt idx="1648">
                  <c:v>-1.1225354663579878</c:v>
                </c:pt>
                <c:pt idx="1649">
                  <c:v>-1.129277589662081</c:v>
                </c:pt>
                <c:pt idx="1650">
                  <c:v>-1.136050431504998</c:v>
                </c:pt>
                <c:pt idx="1651">
                  <c:v>-1.1428540753755101</c:v>
                </c:pt>
                <c:pt idx="1652">
                  <c:v>-1.1496886136441731</c:v>
                </c:pt>
                <c:pt idx="1653">
                  <c:v>-1.156554122694331</c:v>
                </c:pt>
                <c:pt idx="1654">
                  <c:v>-1.1634506966728964</c:v>
                </c:pt>
                <c:pt idx="1655">
                  <c:v>-1.1703784190686406</c:v>
                </c:pt>
                <c:pt idx="1656">
                  <c:v>-1.1773373769230489</c:v>
                </c:pt>
                <c:pt idx="1657">
                  <c:v>-1.1843276537248926</c:v>
                </c:pt>
                <c:pt idx="1658">
                  <c:v>-1.1913493453974411</c:v>
                </c:pt>
                <c:pt idx="1659">
                  <c:v>-1.1984025265476816</c:v>
                </c:pt>
                <c:pt idx="1660">
                  <c:v>-1.2054872930988836</c:v>
                </c:pt>
                <c:pt idx="1661">
                  <c:v>-1.212603732092532</c:v>
                </c:pt>
                <c:pt idx="1662">
                  <c:v>-1.2197519287937553</c:v>
                </c:pt>
                <c:pt idx="1663">
                  <c:v>-1.2269319649149679</c:v>
                </c:pt>
                <c:pt idx="1664">
                  <c:v>-1.2341439328267256</c:v>
                </c:pt>
                <c:pt idx="1665">
                  <c:v>-1.2413879195705135</c:v>
                </c:pt>
                <c:pt idx="1666">
                  <c:v>-1.2486640192932441</c:v>
                </c:pt>
                <c:pt idx="1667">
                  <c:v>-1.2559723101546183</c:v>
                </c:pt>
                <c:pt idx="1668">
                  <c:v>-1.2633128845251917</c:v>
                </c:pt>
                <c:pt idx="1669">
                  <c:v>-1.2706858276700927</c:v>
                </c:pt>
                <c:pt idx="1670">
                  <c:v>-1.2780912355125906</c:v>
                </c:pt>
                <c:pt idx="1671">
                  <c:v>-1.2855291826596726</c:v>
                </c:pt>
                <c:pt idx="1672">
                  <c:v>-1.2929997721400355</c:v>
                </c:pt>
                <c:pt idx="1673">
                  <c:v>-1.3005030767843095</c:v>
                </c:pt>
                <c:pt idx="1674">
                  <c:v>-1.3080391978448347</c:v>
                </c:pt>
                <c:pt idx="1675">
                  <c:v>-1.3156082188103824</c:v>
                </c:pt>
                <c:pt idx="1676">
                  <c:v>-1.3232102320515082</c:v>
                </c:pt>
                <c:pt idx="1677">
                  <c:v>-1.3308453192806269</c:v>
                </c:pt>
                <c:pt idx="1678">
                  <c:v>-1.338513572868294</c:v>
                </c:pt>
                <c:pt idx="1679">
                  <c:v>-1.346215086961422</c:v>
                </c:pt>
                <c:pt idx="1680">
                  <c:v>-1.3539499468251392</c:v>
                </c:pt>
                <c:pt idx="1681">
                  <c:v>-1.3617182359482172</c:v>
                </c:pt>
                <c:pt idx="1682">
                  <c:v>-1.3695200449248546</c:v>
                </c:pt>
                <c:pt idx="1683">
                  <c:v>-1.3773554696783208</c:v>
                </c:pt>
                <c:pt idx="1684">
                  <c:v>-1.3852246025791715</c:v>
                </c:pt>
                <c:pt idx="1685">
                  <c:v>-1.3931275253398212</c:v>
                </c:pt>
                <c:pt idx="1686">
                  <c:v>-1.4010643303308257</c:v>
                </c:pt>
                <c:pt idx="1687">
                  <c:v>-1.4090351028173131</c:v>
                </c:pt>
                <c:pt idx="1688">
                  <c:v>-1.4170399458279803</c:v>
                </c:pt>
                <c:pt idx="1689">
                  <c:v>-1.4250789339698144</c:v>
                </c:pt>
                <c:pt idx="1690">
                  <c:v>-1.4331521667187985</c:v>
                </c:pt>
                <c:pt idx="1691">
                  <c:v>-1.4412597311164177</c:v>
                </c:pt>
                <c:pt idx="1692">
                  <c:v>-1.4494017142041571</c:v>
                </c:pt>
                <c:pt idx="1693">
                  <c:v>-1.4575782172343565</c:v>
                </c:pt>
                <c:pt idx="1694">
                  <c:v>-1.4657893201430738</c:v>
                </c:pt>
                <c:pt idx="1695">
                  <c:v>-1.4740351206299351</c:v>
                </c:pt>
                <c:pt idx="1696">
                  <c:v>-1.4823157039600687</c:v>
                </c:pt>
                <c:pt idx="1697">
                  <c:v>-1.4906311625040303</c:v>
                </c:pt>
                <c:pt idx="1698">
                  <c:v>-1.4989815939614459</c:v>
                </c:pt>
                <c:pt idx="1699">
                  <c:v>-1.5073670764920166</c:v>
                </c:pt>
                <c:pt idx="1700">
                  <c:v>-1.5157877077953685</c:v>
                </c:pt>
                <c:pt idx="1701">
                  <c:v>-1.5242435855711278</c:v>
                </c:pt>
                <c:pt idx="1702">
                  <c:v>-1.5327347933080659</c:v>
                </c:pt>
                <c:pt idx="1703">
                  <c:v>-1.5412614269294522</c:v>
                </c:pt>
                <c:pt idx="1704">
                  <c:v>-1.5498235734767718</c:v>
                </c:pt>
                <c:pt idx="1705">
                  <c:v>-1.5584213270969371</c:v>
                </c:pt>
                <c:pt idx="1706">
                  <c:v>-1.5670547837132176</c:v>
                </c:pt>
                <c:pt idx="1707">
                  <c:v>-1.575724033919812</c:v>
                </c:pt>
                <c:pt idx="1708">
                  <c:v>-1.5844291594291349</c:v>
                </c:pt>
                <c:pt idx="1709">
                  <c:v>-1.5931702668225967</c:v>
                </c:pt>
                <c:pt idx="1710">
                  <c:v>-1.6019474342598983</c:v>
                </c:pt>
                <c:pt idx="1711">
                  <c:v>-1.6107607683224501</c:v>
                </c:pt>
                <c:pt idx="1712">
                  <c:v>-1.6196103542753804</c:v>
                </c:pt>
                <c:pt idx="1713">
                  <c:v>-1.6284962844892448</c:v>
                </c:pt>
                <c:pt idx="1714">
                  <c:v>-1.637418651334599</c:v>
                </c:pt>
                <c:pt idx="1715">
                  <c:v>-1.6463775507347123</c:v>
                </c:pt>
                <c:pt idx="1716">
                  <c:v>-1.6553730750601403</c:v>
                </c:pt>
                <c:pt idx="1717">
                  <c:v>-1.6644053113523682</c:v>
                </c:pt>
                <c:pt idx="1718">
                  <c:v>-1.6734743608637359</c:v>
                </c:pt>
                <c:pt idx="1719">
                  <c:v>-1.6825803070830148</c:v>
                </c:pt>
                <c:pt idx="1720">
                  <c:v>-1.691723258367972</c:v>
                </c:pt>
                <c:pt idx="1721">
                  <c:v>-1.7009032964310222</c:v>
                </c:pt>
                <c:pt idx="1722">
                  <c:v>-1.7101205207481485</c:v>
                </c:pt>
                <c:pt idx="1723">
                  <c:v>-1.719375016584479</c:v>
                </c:pt>
                <c:pt idx="1724">
                  <c:v>-1.7286668887450674</c:v>
                </c:pt>
                <c:pt idx="1725">
                  <c:v>-1.737996220718685</c:v>
                </c:pt>
                <c:pt idx="1726">
                  <c:v>-1.7473631137576717</c:v>
                </c:pt>
                <c:pt idx="1727">
                  <c:v>-1.7567676655616538</c:v>
                </c:pt>
                <c:pt idx="1728">
                  <c:v>-1.766209954290332</c:v>
                </c:pt>
                <c:pt idx="1729">
                  <c:v>-1.7756900936305442</c:v>
                </c:pt>
                <c:pt idx="1730">
                  <c:v>-1.7852081617419913</c:v>
                </c:pt>
                <c:pt idx="1731">
                  <c:v>-1.7947642616533699</c:v>
                </c:pt>
                <c:pt idx="1732">
                  <c:v>-1.8043584857352357</c:v>
                </c:pt>
                <c:pt idx="1733">
                  <c:v>-1.8139909299108581</c:v>
                </c:pt>
                <c:pt idx="1734">
                  <c:v>-1.8236616883271495</c:v>
                </c:pt>
                <c:pt idx="1735">
                  <c:v>-1.8333708515783087</c:v>
                </c:pt>
                <c:pt idx="1736">
                  <c:v>-1.843118528022103</c:v>
                </c:pt>
                <c:pt idx="1737">
                  <c:v>-1.8529047993709469</c:v>
                </c:pt>
                <c:pt idx="1738">
                  <c:v>-1.8627297668771803</c:v>
                </c:pt>
                <c:pt idx="1739">
                  <c:v>-1.8725935229113588</c:v>
                </c:pt>
                <c:pt idx="1740">
                  <c:v>-1.8824961651731087</c:v>
                </c:pt>
                <c:pt idx="1741">
                  <c:v>-1.8924377860329855</c:v>
                </c:pt>
                <c:pt idx="1742">
                  <c:v>-1.9024184849669723</c:v>
                </c:pt>
                <c:pt idx="1743">
                  <c:v>-1.9124383614510521</c:v>
                </c:pt>
                <c:pt idx="1744">
                  <c:v>-1.9224975025267099</c:v>
                </c:pt>
                <c:pt idx="1745">
                  <c:v>-1.9325960058935721</c:v>
                </c:pt>
                <c:pt idx="1746">
                  <c:v>-1.942733976356692</c:v>
                </c:pt>
                <c:pt idx="1747">
                  <c:v>-1.952911499181198</c:v>
                </c:pt>
                <c:pt idx="1748">
                  <c:v>-1.9631286738430731</c:v>
                </c:pt>
                <c:pt idx="1749">
                  <c:v>-1.9733855980419435</c:v>
                </c:pt>
                <c:pt idx="1750">
                  <c:v>-1.9836823694774353</c:v>
                </c:pt>
                <c:pt idx="1751">
                  <c:v>-1.994019082296461</c:v>
                </c:pt>
                <c:pt idx="1752">
                  <c:v>-2.0043958359750036</c:v>
                </c:pt>
                <c:pt idx="1753">
                  <c:v>-2.014812721107262</c:v>
                </c:pt>
                <c:pt idx="1754">
                  <c:v>-2.0252698424982896</c:v>
                </c:pt>
                <c:pt idx="1755">
                  <c:v>-2.0357672978477126</c:v>
                </c:pt>
                <c:pt idx="1756">
                  <c:v>-2.046305175973373</c:v>
                </c:pt>
                <c:pt idx="1757">
                  <c:v>-2.0568835799039675</c:v>
                </c:pt>
                <c:pt idx="1758">
                  <c:v>-2.0675026055627654</c:v>
                </c:pt>
                <c:pt idx="1759">
                  <c:v>-2.0781623524257498</c:v>
                </c:pt>
                <c:pt idx="1760">
                  <c:v>-2.0888629128634761</c:v>
                </c:pt>
                <c:pt idx="1761">
                  <c:v>-2.0996043899046413</c:v>
                </c:pt>
                <c:pt idx="1762">
                  <c:v>-2.1103868812488713</c:v>
                </c:pt>
                <c:pt idx="1763">
                  <c:v>-2.1212104774903651</c:v>
                </c:pt>
                <c:pt idx="1764">
                  <c:v>-2.1320752869868898</c:v>
                </c:pt>
                <c:pt idx="1765">
                  <c:v>-2.1429814003326442</c:v>
                </c:pt>
                <c:pt idx="1766">
                  <c:v>-2.1539289170036113</c:v>
                </c:pt>
                <c:pt idx="1767">
                  <c:v>-2.1649179400284879</c:v>
                </c:pt>
                <c:pt idx="1768">
                  <c:v>-2.1759485653305433</c:v>
                </c:pt>
                <c:pt idx="1769">
                  <c:v>-2.1870208888330467</c:v>
                </c:pt>
                <c:pt idx="1770">
                  <c:v>-2.1981350064592675</c:v>
                </c:pt>
                <c:pt idx="1771">
                  <c:v>-2.2092910247906161</c:v>
                </c:pt>
                <c:pt idx="1772">
                  <c:v>-2.2204890361976481</c:v>
                </c:pt>
                <c:pt idx="1773">
                  <c:v>-2.2317291454854171</c:v>
                </c:pt>
                <c:pt idx="1774">
                  <c:v>-2.2430114503535492</c:v>
                </c:pt>
                <c:pt idx="1775">
                  <c:v>-2.2543360467253137</c:v>
                </c:pt>
                <c:pt idx="1776">
                  <c:v>-2.2657030340766937</c:v>
                </c:pt>
                <c:pt idx="1777">
                  <c:v>-2.2771125154363858</c:v>
                </c:pt>
                <c:pt idx="1778">
                  <c:v>-2.2885645885040162</c:v>
                </c:pt>
                <c:pt idx="1779">
                  <c:v>-2.3000593527555679</c:v>
                </c:pt>
                <c:pt idx="1780">
                  <c:v>-2.311596907667024</c:v>
                </c:pt>
                <c:pt idx="1781">
                  <c:v>-2.3231773509380105</c:v>
                </c:pt>
                <c:pt idx="1782">
                  <c:v>-2.3348007820445105</c:v>
                </c:pt>
                <c:pt idx="1783">
                  <c:v>-2.3464673075679343</c:v>
                </c:pt>
                <c:pt idx="1784">
                  <c:v>-2.3581770234315513</c:v>
                </c:pt>
                <c:pt idx="1785">
                  <c:v>-2.3699300308877014</c:v>
                </c:pt>
                <c:pt idx="1786">
                  <c:v>-2.3817264276360106</c:v>
                </c:pt>
                <c:pt idx="1787">
                  <c:v>-2.3935663149288189</c:v>
                </c:pt>
                <c:pt idx="1788">
                  <c:v>-2.405449794018466</c:v>
                </c:pt>
                <c:pt idx="1789">
                  <c:v>-2.4173769661572919</c:v>
                </c:pt>
                <c:pt idx="1790">
                  <c:v>-2.4293479290449227</c:v>
                </c:pt>
                <c:pt idx="1791">
                  <c:v>-2.4413627874864119</c:v>
                </c:pt>
                <c:pt idx="1792">
                  <c:v>-2.453421646286813</c:v>
                </c:pt>
                <c:pt idx="1793">
                  <c:v>-2.4655245942639681</c:v>
                </c:pt>
                <c:pt idx="1794">
                  <c:v>-2.4776717451047148</c:v>
                </c:pt>
                <c:pt idx="1795">
                  <c:v>-2.4898631894032519</c:v>
                </c:pt>
                <c:pt idx="1796">
                  <c:v>-2.5020990372937035</c:v>
                </c:pt>
                <c:pt idx="1797">
                  <c:v>-2.514379384699339</c:v>
                </c:pt>
                <c:pt idx="1798">
                  <c:v>-2.5267043346488549</c:v>
                </c:pt>
                <c:pt idx="1799">
                  <c:v>-2.5390739919473049</c:v>
                </c:pt>
                <c:pt idx="1800">
                  <c:v>-2.5514884525179582</c:v>
                </c:pt>
                <c:pt idx="1801">
                  <c:v>-2.5639478264949389</c:v>
                </c:pt>
                <c:pt idx="1802">
                  <c:v>-2.5764522098015163</c:v>
                </c:pt>
                <c:pt idx="1803">
                  <c:v>-2.5890017019136735</c:v>
                </c:pt>
                <c:pt idx="1804">
                  <c:v>-2.6015964094128208</c:v>
                </c:pt>
                <c:pt idx="1805">
                  <c:v>-2.6142364317749411</c:v>
                </c:pt>
                <c:pt idx="1806">
                  <c:v>-2.626921875581445</c:v>
                </c:pt>
                <c:pt idx="1807">
                  <c:v>-2.6396528438610289</c:v>
                </c:pt>
                <c:pt idx="1808">
                  <c:v>-2.6524294343133192</c:v>
                </c:pt>
                <c:pt idx="1809">
                  <c:v>-2.6652517570724399</c:v>
                </c:pt>
                <c:pt idx="1810">
                  <c:v>-2.6781199080616602</c:v>
                </c:pt>
                <c:pt idx="1811">
                  <c:v>-2.6910339903096769</c:v>
                </c:pt>
                <c:pt idx="1812">
                  <c:v>-2.7039941086215435</c:v>
                </c:pt>
                <c:pt idx="1813">
                  <c:v>-2.7170003713550273</c:v>
                </c:pt>
                <c:pt idx="1814">
                  <c:v>-2.7300528726570406</c:v>
                </c:pt>
                <c:pt idx="1815">
                  <c:v>-2.7431517208853506</c:v>
                </c:pt>
                <c:pt idx="1816">
                  <c:v>-2.756297020845011</c:v>
                </c:pt>
                <c:pt idx="1817">
                  <c:v>-2.7694888720120048</c:v>
                </c:pt>
                <c:pt idx="1818">
                  <c:v>-2.782727382744099</c:v>
                </c:pt>
                <c:pt idx="1819">
                  <c:v>-2.79601265074092</c:v>
                </c:pt>
                <c:pt idx="1820">
                  <c:v>-2.8093447843602348</c:v>
                </c:pt>
                <c:pt idx="1821">
                  <c:v>-2.8227238848543834</c:v>
                </c:pt>
                <c:pt idx="1822">
                  <c:v>-2.8361500659102035</c:v>
                </c:pt>
                <c:pt idx="1823">
                  <c:v>-2.849623416345537</c:v>
                </c:pt>
                <c:pt idx="1824">
                  <c:v>-2.8631440498472216</c:v>
                </c:pt>
                <c:pt idx="1825">
                  <c:v>-2.8767120694439541</c:v>
                </c:pt>
                <c:pt idx="1826">
                  <c:v>-2.8903275781644311</c:v>
                </c:pt>
                <c:pt idx="1827">
                  <c:v>-2.9039906861427767</c:v>
                </c:pt>
                <c:pt idx="1828">
                  <c:v>-2.9177014928549738</c:v>
                </c:pt>
                <c:pt idx="1829">
                  <c:v>-2.9314601048824329</c:v>
                </c:pt>
                <c:pt idx="1830">
                  <c:v>-2.9452666252538506</c:v>
                </c:pt>
                <c:pt idx="1831">
                  <c:v>-2.9591211605506373</c:v>
                </c:pt>
                <c:pt idx="1832">
                  <c:v>-2.9730238138014897</c:v>
                </c:pt>
                <c:pt idx="1833">
                  <c:v>-2.9869746986932455</c:v>
                </c:pt>
                <c:pt idx="1834">
                  <c:v>-3.0009739093728172</c:v>
                </c:pt>
                <c:pt idx="1835">
                  <c:v>-3.0150215559743287</c:v>
                </c:pt>
                <c:pt idx="1836">
                  <c:v>-3.0291177450791906</c:v>
                </c:pt>
                <c:pt idx="1837">
                  <c:v>-3.0432625797160995</c:v>
                </c:pt>
                <c:pt idx="1838">
                  <c:v>-3.0574561717955362</c:v>
                </c:pt>
                <c:pt idx="1839">
                  <c:v>-3.0716986207934838</c:v>
                </c:pt>
                <c:pt idx="1840">
                  <c:v>-3.0859900332913526</c:v>
                </c:pt>
                <c:pt idx="1841">
                  <c:v>-3.1003305194232667</c:v>
                </c:pt>
                <c:pt idx="1842">
                  <c:v>-3.1147201822179227</c:v>
                </c:pt>
                <c:pt idx="1843">
                  <c:v>-3.129159128256731</c:v>
                </c:pt>
                <c:pt idx="1844">
                  <c:v>-3.1436474712265294</c:v>
                </c:pt>
                <c:pt idx="1845">
                  <c:v>-3.1581853034978735</c:v>
                </c:pt>
                <c:pt idx="1846">
                  <c:v>-3.1727727440866715</c:v>
                </c:pt>
                <c:pt idx="1847">
                  <c:v>-3.1874098906925497</c:v>
                </c:pt>
                <c:pt idx="1848">
                  <c:v>-3.2020968587787024</c:v>
                </c:pt>
                <c:pt idx="1849">
                  <c:v>-3.2168337495974697</c:v>
                </c:pt>
                <c:pt idx="1850">
                  <c:v>-3.2316206697302619</c:v>
                </c:pt>
                <c:pt idx="1851">
                  <c:v>-3.2464577328639166</c:v>
                </c:pt>
                <c:pt idx="1852">
                  <c:v>-3.2613450420271306</c:v>
                </c:pt>
                <c:pt idx="1853">
                  <c:v>-3.2762826966958869</c:v>
                </c:pt>
                <c:pt idx="1854">
                  <c:v>-3.2912708247678779</c:v>
                </c:pt>
                <c:pt idx="1855">
                  <c:v>-3.3063095079555183</c:v>
                </c:pt>
                <c:pt idx="1856">
                  <c:v>-3.3213988741565004</c:v>
                </c:pt>
                <c:pt idx="1857">
                  <c:v>-3.3365390263995209</c:v>
                </c:pt>
                <c:pt idx="1858">
                  <c:v>-3.3517300677132766</c:v>
                </c:pt>
                <c:pt idx="1859">
                  <c:v>-3.3669721046791778</c:v>
                </c:pt>
                <c:pt idx="1860">
                  <c:v>-3.3822652580894896</c:v>
                </c:pt>
                <c:pt idx="1861">
                  <c:v>-3.3976096203147677</c:v>
                </c:pt>
                <c:pt idx="1862">
                  <c:v>-3.4130053085945633</c:v>
                </c:pt>
                <c:pt idx="1863">
                  <c:v>-3.4284524330630006</c:v>
                </c:pt>
                <c:pt idx="1864">
                  <c:v>-3.4439510985251331</c:v>
                </c:pt>
                <c:pt idx="1865">
                  <c:v>-3.4595014168914417</c:v>
                </c:pt>
                <c:pt idx="1866">
                  <c:v>-3.4751034911906231</c:v>
                </c:pt>
                <c:pt idx="1867">
                  <c:v>-3.4907574333331581</c:v>
                </c:pt>
                <c:pt idx="1868">
                  <c:v>-3.5064633534531708</c:v>
                </c:pt>
                <c:pt idx="1869">
                  <c:v>-3.5222213599084284</c:v>
                </c:pt>
                <c:pt idx="1870">
                  <c:v>-3.538031562833055</c:v>
                </c:pt>
                <c:pt idx="1871">
                  <c:v>-3.553894067032104</c:v>
                </c:pt>
                <c:pt idx="1872">
                  <c:v>-3.5698089861924132</c:v>
                </c:pt>
                <c:pt idx="1873">
                  <c:v>-3.5857764286717497</c:v>
                </c:pt>
                <c:pt idx="1874">
                  <c:v>-3.6017965081569514</c:v>
                </c:pt>
                <c:pt idx="1875">
                  <c:v>-3.6178693276767149</c:v>
                </c:pt>
                <c:pt idx="1876">
                  <c:v>-3.633994999141521</c:v>
                </c:pt>
                <c:pt idx="1877">
                  <c:v>-3.650173630909137</c:v>
                </c:pt>
                <c:pt idx="1878">
                  <c:v>-3.6664053366664007</c:v>
                </c:pt>
                <c:pt idx="1879">
                  <c:v>-3.6826902301001496</c:v>
                </c:pt>
                <c:pt idx="1880">
                  <c:v>-3.6990284142390806</c:v>
                </c:pt>
                <c:pt idx="1881">
                  <c:v>-3.7154200027700313</c:v>
                </c:pt>
                <c:pt idx="1882">
                  <c:v>-3.7318651040507689</c:v>
                </c:pt>
                <c:pt idx="1883">
                  <c:v>-3.7483638264390606</c:v>
                </c:pt>
                <c:pt idx="1884">
                  <c:v>-3.7649162925035284</c:v>
                </c:pt>
                <c:pt idx="1885">
                  <c:v>-3.7815225981674416</c:v>
                </c:pt>
                <c:pt idx="1886">
                  <c:v>-3.7981828606703516</c:v>
                </c:pt>
                <c:pt idx="1887">
                  <c:v>-3.8148971919227392</c:v>
                </c:pt>
                <c:pt idx="1888">
                  <c:v>-3.8316657038350854</c:v>
                </c:pt>
                <c:pt idx="1889">
                  <c:v>-3.8484885065415142</c:v>
                </c:pt>
                <c:pt idx="1890">
                  <c:v>-3.8653657119525064</c:v>
                </c:pt>
                <c:pt idx="1891">
                  <c:v>-3.8822974230967588</c:v>
                </c:pt>
                <c:pt idx="1892">
                  <c:v>-3.899283766095607</c:v>
                </c:pt>
                <c:pt idx="1893">
                  <c:v>-3.9163248422013908</c:v>
                </c:pt>
                <c:pt idx="1894">
                  <c:v>-3.9334207668773047</c:v>
                </c:pt>
                <c:pt idx="1895">
                  <c:v>-3.950571648481116</c:v>
                </c:pt>
                <c:pt idx="1896">
                  <c:v>-3.967777604252376</c:v>
                </c:pt>
                <c:pt idx="1897">
                  <c:v>-3.985038742548852</c:v>
                </c:pt>
                <c:pt idx="1898">
                  <c:v>-4.0023551788337386</c:v>
                </c:pt>
                <c:pt idx="1899">
                  <c:v>-4.0197270214648029</c:v>
                </c:pt>
                <c:pt idx="1900">
                  <c:v>-4.0371543859052395</c:v>
                </c:pt>
                <c:pt idx="1901">
                  <c:v>-4.0546373840655292</c:v>
                </c:pt>
                <c:pt idx="1902">
                  <c:v>-4.0721761260797962</c:v>
                </c:pt>
                <c:pt idx="1903">
                  <c:v>-4.0897707256348781</c:v>
                </c:pt>
                <c:pt idx="1904">
                  <c:v>-4.1074212999703263</c:v>
                </c:pt>
                <c:pt idx="1905">
                  <c:v>-4.1251279521148376</c:v>
                </c:pt>
                <c:pt idx="1906">
                  <c:v>-4.1428908081897475</c:v>
                </c:pt>
                <c:pt idx="1907">
                  <c:v>-4.1607099730001096</c:v>
                </c:pt>
                <c:pt idx="1908">
                  <c:v>-4.1785855584564047</c:v>
                </c:pt>
                <c:pt idx="1909">
                  <c:v>-4.1965176800218273</c:v>
                </c:pt>
                <c:pt idx="1910">
                  <c:v>-4.2145064567122859</c:v>
                </c:pt>
                <c:pt idx="1911">
                  <c:v>-4.2325519933328337</c:v>
                </c:pt>
                <c:pt idx="1912">
                  <c:v>-4.2506543982412381</c:v>
                </c:pt>
                <c:pt idx="1913">
                  <c:v>-4.2688138028879052</c:v>
                </c:pt>
                <c:pt idx="1914">
                  <c:v>-4.2870303138542454</c:v>
                </c:pt>
                <c:pt idx="1915">
                  <c:v>-4.3053040412743826</c:v>
                </c:pt>
                <c:pt idx="1916">
                  <c:v>-4.3236351023878683</c:v>
                </c:pt>
                <c:pt idx="1917">
                  <c:v>-4.342023612657897</c:v>
                </c:pt>
                <c:pt idx="1918">
                  <c:v>-4.3604696822185929</c:v>
                </c:pt>
                <c:pt idx="1919">
                  <c:v>-4.3789734265331504</c:v>
                </c:pt>
                <c:pt idx="1920">
                  <c:v>-4.397534961064764</c:v>
                </c:pt>
                <c:pt idx="1921">
                  <c:v>-4.4161544048293422</c:v>
                </c:pt>
                <c:pt idx="1922">
                  <c:v>-4.4348318608555815</c:v>
                </c:pt>
                <c:pt idx="1923">
                  <c:v>-4.4535674570411743</c:v>
                </c:pt>
                <c:pt idx="1924">
                  <c:v>-4.4723612999675311</c:v>
                </c:pt>
                <c:pt idx="1925">
                  <c:v>-4.4912135050978463</c:v>
                </c:pt>
                <c:pt idx="1926">
                  <c:v>-4.5101241932243852</c:v>
                </c:pt>
                <c:pt idx="1927">
                  <c:v>-4.5290934744812716</c:v>
                </c:pt>
                <c:pt idx="1928">
                  <c:v>-4.5481214661080571</c:v>
                </c:pt>
                <c:pt idx="1929">
                  <c:v>-4.5672082817915793</c:v>
                </c:pt>
                <c:pt idx="1930">
                  <c:v>-4.5863540334423192</c:v>
                </c:pt>
                <c:pt idx="1931">
                  <c:v>-4.6055588489579691</c:v>
                </c:pt>
                <c:pt idx="1932">
                  <c:v>-4.6248228384726531</c:v>
                </c:pt>
                <c:pt idx="1933">
                  <c:v>-4.6441461085677815</c:v>
                </c:pt>
                <c:pt idx="1934">
                  <c:v>-4.6635287871410469</c:v>
                </c:pt>
                <c:pt idx="1935">
                  <c:v>-4.6829709843265732</c:v>
                </c:pt>
                <c:pt idx="1936">
                  <c:v>-4.7024728191402687</c:v>
                </c:pt>
                <c:pt idx="1937">
                  <c:v>-4.7220344088216848</c:v>
                </c:pt>
                <c:pt idx="1938">
                  <c:v>-4.7416558635049455</c:v>
                </c:pt>
                <c:pt idx="1939">
                  <c:v>-4.7613373022059591</c:v>
                </c:pt>
                <c:pt idx="1940">
                  <c:v>-4.7810788457169906</c:v>
                </c:pt>
                <c:pt idx="1941">
                  <c:v>-4.8008806077248778</c:v>
                </c:pt>
                <c:pt idx="1942">
                  <c:v>-4.8207427072455289</c:v>
                </c:pt>
                <c:pt idx="1943">
                  <c:v>-4.8406652544130679</c:v>
                </c:pt>
                <c:pt idx="1944">
                  <c:v>-4.8606483806779011</c:v>
                </c:pt>
                <c:pt idx="1945">
                  <c:v>-4.8806921819632976</c:v>
                </c:pt>
                <c:pt idx="1946">
                  <c:v>-4.9007967914960204</c:v>
                </c:pt>
                <c:pt idx="1947">
                  <c:v>-4.920962326515621</c:v>
                </c:pt>
                <c:pt idx="1948">
                  <c:v>-4.9411888936035098</c:v>
                </c:pt>
                <c:pt idx="1949">
                  <c:v>-4.961476620657379</c:v>
                </c:pt>
                <c:pt idx="1950">
                  <c:v>-4.9818256195877098</c:v>
                </c:pt>
                <c:pt idx="1951">
                  <c:v>-5.0022360147394807</c:v>
                </c:pt>
                <c:pt idx="1952">
                  <c:v>-5.0227079126941021</c:v>
                </c:pt>
                <c:pt idx="1953">
                  <c:v>-5.0432414431256234</c:v>
                </c:pt>
                <c:pt idx="1954">
                  <c:v>-5.0638367179445254</c:v>
                </c:pt>
                <c:pt idx="1955">
                  <c:v>-5.08449385971943</c:v>
                </c:pt>
                <c:pt idx="1956">
                  <c:v>-5.1052129785844613</c:v>
                </c:pt>
                <c:pt idx="1957">
                  <c:v>-5.1259941988845981</c:v>
                </c:pt>
                <c:pt idx="1958">
                  <c:v>-5.1468376396357485</c:v>
                </c:pt>
                <c:pt idx="1959">
                  <c:v>-5.1677434163011071</c:v>
                </c:pt>
                <c:pt idx="1960">
                  <c:v>-5.1887116496729391</c:v>
                </c:pt>
                <c:pt idx="1961">
                  <c:v>-5.2097424623198663</c:v>
                </c:pt>
                <c:pt idx="1962">
                  <c:v>-5.2308359661523696</c:v>
                </c:pt>
                <c:pt idx="1963">
                  <c:v>-5.2519922801863572</c:v>
                </c:pt>
                <c:pt idx="1964">
                  <c:v>-5.2732115269904511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931520"/>
        <c:axId val="1875806288"/>
      </c:scatterChart>
      <c:valAx>
        <c:axId val="179593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806288"/>
        <c:crosses val="autoZero"/>
        <c:crossBetween val="midCat"/>
      </c:valAx>
      <c:valAx>
        <c:axId val="18758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93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7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57151</xdr:colOff>
      <xdr:row>3</xdr:row>
      <xdr:rowOff>19050</xdr:rowOff>
    </xdr:from>
    <xdr:to>
      <xdr:col>13</xdr:col>
      <xdr:colOff>581025</xdr:colOff>
      <xdr:row>27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361949</xdr:colOff>
      <xdr:row>8</xdr:row>
      <xdr:rowOff>33337</xdr:rowOff>
    </xdr:from>
    <xdr:to>
      <xdr:col>29</xdr:col>
      <xdr:colOff>161924</xdr:colOff>
      <xdr:row>31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257175</xdr:colOff>
      <xdr:row>8</xdr:row>
      <xdr:rowOff>23811</xdr:rowOff>
    </xdr:from>
    <xdr:to>
      <xdr:col>37</xdr:col>
      <xdr:colOff>523875</xdr:colOff>
      <xdr:row>31</xdr:row>
      <xdr:rowOff>38099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581024</xdr:colOff>
      <xdr:row>8</xdr:row>
      <xdr:rowOff>14287</xdr:rowOff>
    </xdr:from>
    <xdr:to>
      <xdr:col>46</xdr:col>
      <xdr:colOff>419099</xdr:colOff>
      <xdr:row>31</xdr:row>
      <xdr:rowOff>47625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844"/>
  <sheetViews>
    <sheetView tabSelected="1" topLeftCell="Q1" workbookViewId="0">
      <pane ySplit="1" topLeftCell="A5" activePane="bottomLeft" state="frozen"/>
      <selection pane="bottomLeft" activeCell="Z42" sqref="Z4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4" style="11" bestFit="1" customWidth="1"/>
    <col min="5" max="5" width="14" style="11" customWidth="1"/>
    <col min="6" max="6" width="11.140625" style="5" bestFit="1" customWidth="1"/>
    <col min="7" max="7" width="9.140625" style="10" customWidth="1"/>
    <col min="8" max="8" width="18.5703125" style="5" customWidth="1"/>
    <col min="9" max="11" width="9.140625" style="5" customWidth="1"/>
    <col min="12" max="12" width="11.42578125" style="5" bestFit="1" customWidth="1"/>
    <col min="13" max="15" width="9.140625" style="5" customWidth="1"/>
    <col min="16" max="16" width="21.85546875" style="5" bestFit="1" customWidth="1"/>
    <col min="17" max="18" width="16.28515625" style="5" bestFit="1" customWidth="1"/>
    <col min="19" max="19" width="14.28515625" style="5" bestFit="1" customWidth="1"/>
    <col min="20" max="20" width="9.140625" style="5" customWidth="1"/>
    <col min="21" max="21" width="8.85546875" style="5" customWidth="1"/>
    <col min="22" max="22" width="14.42578125" style="5" customWidth="1"/>
    <col min="23" max="23" width="16.28515625" style="5" bestFit="1" customWidth="1"/>
    <col min="24" max="24" width="21.85546875" style="5" bestFit="1" customWidth="1"/>
    <col min="25" max="25" width="12.28515625" style="5" bestFit="1" customWidth="1"/>
    <col min="26" max="26" width="12.85546875" style="5" bestFit="1" customWidth="1"/>
    <col min="27" max="27" width="8" style="5" bestFit="1" customWidth="1"/>
    <col min="28" max="257" width="9.140625" style="4" customWidth="1"/>
    <col min="258" max="16384" width="11.5703125" style="4"/>
  </cols>
  <sheetData>
    <row r="1" spans="1:27" x14ac:dyDescent="0.2">
      <c r="A1" s="6" t="s">
        <v>18</v>
      </c>
      <c r="B1" s="6" t="s">
        <v>19</v>
      </c>
      <c r="C1" s="15" t="s">
        <v>20</v>
      </c>
      <c r="D1" s="6" t="s">
        <v>21</v>
      </c>
      <c r="E1" s="6" t="s">
        <v>26</v>
      </c>
      <c r="F1" s="6" t="s">
        <v>22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x14ac:dyDescent="0.2">
      <c r="A2" s="12">
        <v>45614</v>
      </c>
      <c r="B2" s="13">
        <v>0.65148148148148144</v>
      </c>
      <c r="C2" s="7">
        <v>30145</v>
      </c>
      <c r="D2" s="7">
        <v>8191</v>
      </c>
      <c r="E2" s="7">
        <f>D2/1000</f>
        <v>8.1910000000000007</v>
      </c>
      <c r="F2" s="7">
        <v>50</v>
      </c>
      <c r="G2" s="7"/>
      <c r="H2" s="7"/>
      <c r="I2" s="7"/>
      <c r="J2" s="8"/>
      <c r="K2" s="7"/>
      <c r="L2" s="7"/>
      <c r="M2" s="7"/>
      <c r="N2" s="7"/>
      <c r="O2" s="7"/>
      <c r="P2" s="8" t="s">
        <v>34</v>
      </c>
      <c r="Q2" s="7">
        <v>0.10197000000000001</v>
      </c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">
      <c r="A3" s="12">
        <v>45614</v>
      </c>
      <c r="B3" s="13">
        <v>0.65149305555555559</v>
      </c>
      <c r="C3" s="7">
        <v>30166</v>
      </c>
      <c r="D3" s="7">
        <v>162</v>
      </c>
      <c r="E3" s="7">
        <f t="shared" ref="E3:E66" si="0">D3/1000</f>
        <v>0.16200000000000001</v>
      </c>
      <c r="F3" s="7">
        <v>100</v>
      </c>
      <c r="G3" s="7"/>
      <c r="H3" s="7"/>
      <c r="I3" s="7"/>
      <c r="J3" s="7"/>
      <c r="K3" s="7"/>
      <c r="L3" s="7"/>
      <c r="M3" s="7"/>
      <c r="N3" s="7"/>
      <c r="O3" s="7"/>
      <c r="P3" s="8" t="s">
        <v>32</v>
      </c>
      <c r="Q3" s="20">
        <v>0.92400000000000004</v>
      </c>
      <c r="R3" s="23"/>
      <c r="S3" s="7"/>
      <c r="T3" s="7"/>
      <c r="U3" s="7"/>
      <c r="V3" s="7"/>
      <c r="W3" s="7"/>
      <c r="X3" s="7"/>
      <c r="Y3" s="7"/>
      <c r="Z3" s="7"/>
      <c r="AA3" s="7"/>
    </row>
    <row r="4" spans="1:27" x14ac:dyDescent="0.2">
      <c r="A4" s="12">
        <v>45614</v>
      </c>
      <c r="B4" s="13">
        <v>0.65149305555555559</v>
      </c>
      <c r="C4" s="7">
        <v>30167</v>
      </c>
      <c r="D4" s="7">
        <v>162</v>
      </c>
      <c r="E4" s="7">
        <f t="shared" si="0"/>
        <v>0.16200000000000001</v>
      </c>
      <c r="F4" s="7">
        <v>100</v>
      </c>
      <c r="G4" s="7"/>
      <c r="H4" s="7"/>
      <c r="I4" s="7"/>
      <c r="J4" s="7"/>
      <c r="K4" s="7"/>
      <c r="L4" s="7"/>
      <c r="M4" s="7"/>
      <c r="N4" s="7"/>
      <c r="O4" s="7"/>
      <c r="P4" s="8" t="s">
        <v>33</v>
      </c>
      <c r="Q4" s="7">
        <v>9.81</v>
      </c>
      <c r="R4" s="23"/>
      <c r="S4" s="7"/>
      <c r="T4" s="7"/>
      <c r="U4" s="7"/>
      <c r="V4" s="7"/>
      <c r="W4" s="7"/>
      <c r="X4" s="7"/>
      <c r="Y4" s="7"/>
      <c r="Z4" s="7"/>
      <c r="AA4" s="7"/>
    </row>
    <row r="5" spans="1:27" x14ac:dyDescent="0.2">
      <c r="A5" s="12">
        <v>45614</v>
      </c>
      <c r="B5" s="13">
        <v>0.65149305555555559</v>
      </c>
      <c r="C5" s="7">
        <v>30176</v>
      </c>
      <c r="D5" s="7">
        <v>162</v>
      </c>
      <c r="E5" s="7">
        <f t="shared" si="0"/>
        <v>0.16200000000000001</v>
      </c>
      <c r="F5" s="8">
        <v>100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2">
      <c r="A6" s="12">
        <v>45614</v>
      </c>
      <c r="B6" s="13">
        <v>0.65149305555555559</v>
      </c>
      <c r="C6" s="9">
        <v>30206</v>
      </c>
      <c r="D6" s="7">
        <v>161</v>
      </c>
      <c r="E6" s="7">
        <f t="shared" si="0"/>
        <v>0.161</v>
      </c>
      <c r="F6" s="7">
        <v>100</v>
      </c>
      <c r="G6" s="7"/>
      <c r="H6" s="7"/>
      <c r="I6" s="7"/>
      <c r="J6" s="7"/>
      <c r="K6" s="7"/>
      <c r="L6" s="7"/>
      <c r="M6" s="7"/>
      <c r="N6" s="7"/>
      <c r="O6" s="7"/>
      <c r="P6" s="7">
        <f>AVERAGE(P9:P1744)</f>
        <v>0.33291614824725735</v>
      </c>
      <c r="Q6" s="22">
        <f>AVERAGE(Q9:Q1744)</f>
        <v>0.21722195890299173</v>
      </c>
      <c r="R6" s="22">
        <f>AVERAGE(R9:R1744)</f>
        <v>-1.5351340577633792E-3</v>
      </c>
      <c r="S6" s="22"/>
      <c r="T6" s="7"/>
      <c r="U6" s="7"/>
      <c r="V6" s="7"/>
      <c r="W6" s="7"/>
      <c r="X6" s="7"/>
      <c r="Y6" s="7"/>
      <c r="Z6" s="7"/>
      <c r="AA6" s="7"/>
    </row>
    <row r="7" spans="1:27" x14ac:dyDescent="0.2">
      <c r="A7" s="12">
        <v>45614</v>
      </c>
      <c r="B7" s="13">
        <v>0.65149305555555559</v>
      </c>
      <c r="C7" s="7">
        <v>30207</v>
      </c>
      <c r="D7" s="7">
        <v>161</v>
      </c>
      <c r="E7" s="7">
        <f t="shared" si="0"/>
        <v>0.161</v>
      </c>
      <c r="F7" s="7">
        <v>100</v>
      </c>
      <c r="G7" s="7"/>
      <c r="H7" s="7"/>
      <c r="I7" s="7"/>
      <c r="J7" s="7"/>
      <c r="K7" s="7"/>
      <c r="L7" s="7"/>
      <c r="M7" s="7"/>
      <c r="N7" s="7"/>
      <c r="O7" s="7"/>
      <c r="P7" s="7"/>
      <c r="Q7" s="21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2">
      <c r="A8" s="12">
        <v>45614</v>
      </c>
      <c r="B8" s="13">
        <v>0.65149305555555559</v>
      </c>
      <c r="C8" s="7">
        <v>30236</v>
      </c>
      <c r="D8" s="7">
        <v>163</v>
      </c>
      <c r="E8" s="7">
        <f t="shared" si="0"/>
        <v>0.16300000000000001</v>
      </c>
      <c r="F8" s="7">
        <v>100</v>
      </c>
      <c r="G8" s="7"/>
      <c r="H8" s="7"/>
      <c r="I8" s="7"/>
      <c r="J8" s="7"/>
      <c r="K8" s="7"/>
      <c r="L8" s="7"/>
      <c r="M8" s="7"/>
      <c r="N8" s="7"/>
      <c r="O8" s="8" t="s">
        <v>19</v>
      </c>
      <c r="P8" s="8" t="s">
        <v>25</v>
      </c>
      <c r="Q8" s="8" t="s">
        <v>35</v>
      </c>
      <c r="R8" s="8" t="s">
        <v>36</v>
      </c>
      <c r="S8" s="7"/>
      <c r="T8" s="7"/>
      <c r="U8" s="7"/>
      <c r="V8" s="7"/>
      <c r="W8" s="7"/>
      <c r="X8" s="7"/>
      <c r="Y8" s="7"/>
      <c r="Z8" s="7"/>
      <c r="AA8" s="7"/>
    </row>
    <row r="9" spans="1:27" x14ac:dyDescent="0.2">
      <c r="A9" s="12">
        <v>45614</v>
      </c>
      <c r="B9" s="13">
        <v>0.65149305555555559</v>
      </c>
      <c r="C9" s="18">
        <v>30237</v>
      </c>
      <c r="D9" s="7">
        <v>163</v>
      </c>
      <c r="E9" s="7">
        <f t="shared" si="0"/>
        <v>0.16300000000000001</v>
      </c>
      <c r="F9" s="7">
        <v>100</v>
      </c>
      <c r="G9" s="7"/>
      <c r="H9" s="7"/>
      <c r="I9" s="7"/>
      <c r="J9" s="7"/>
      <c r="K9" s="7"/>
      <c r="L9" s="7"/>
      <c r="M9" s="7"/>
      <c r="N9" s="7"/>
      <c r="O9" s="7">
        <v>31007</v>
      </c>
      <c r="P9" s="1">
        <f xml:space="preserve"> -1.4681315616E-19*$O9^6 + 2.80493263066289E-14*$O9^5 - 2.23271907955907E-09*$O9^4 + 0.0000947783879077569*$O9^3 - 2.26293121558813*$O9^2 + 28813.4861268598*$O9 - 152852350.445896</f>
        <v>0.16262152791023254</v>
      </c>
      <c r="Q9" s="25">
        <f xml:space="preserve"> (6*-1.4681315616E-19*$O9^5 + 5*2.80493263066289E-14*$O9^4 - 4*2.23271907955907E-09*$O9^3 + 3*0.0000947783879077569*$O9^2 - 2*2.26293121558813*$O9^1 + 28813.4861268598)*1000</f>
        <v>2.5791632651817054E-3</v>
      </c>
      <c r="R9" s="24">
        <f xml:space="preserve"> (5*6*-1.4681315616E-19*$O9^4 + 4*5*2.80493263066289E-14*$O9^3 - 3*4*2.23271907955907E-09*$O9^2 + 2*3*0.0000947783879077569*$O9^1 - 2*2.26293121558813)*1000*1000</f>
        <v>-4.6911480033884345E-2</v>
      </c>
      <c r="S9" s="20"/>
      <c r="T9" s="7"/>
      <c r="U9" s="7"/>
      <c r="V9" s="7"/>
      <c r="W9" s="7"/>
      <c r="X9" s="7"/>
      <c r="Y9" s="7"/>
      <c r="Z9" s="7"/>
      <c r="AA9" s="7"/>
    </row>
    <row r="10" spans="1:27" x14ac:dyDescent="0.2">
      <c r="A10" s="12">
        <v>45614</v>
      </c>
      <c r="B10" s="13">
        <v>0.65149305555555559</v>
      </c>
      <c r="C10" s="7">
        <v>30266</v>
      </c>
      <c r="D10" s="7">
        <v>162</v>
      </c>
      <c r="E10" s="7">
        <f t="shared" si="0"/>
        <v>0.16200000000000001</v>
      </c>
      <c r="F10" s="7">
        <v>100</v>
      </c>
      <c r="G10" s="7"/>
      <c r="H10" s="7"/>
      <c r="I10" s="7"/>
      <c r="J10" s="7"/>
      <c r="K10" s="7"/>
      <c r="L10" s="7"/>
      <c r="M10" s="7"/>
      <c r="N10" s="7"/>
      <c r="O10" s="7">
        <v>31008</v>
      </c>
      <c r="P10" s="1">
        <f t="shared" ref="P10:P73" si="1" xml:space="preserve"> -1.4681315616E-19*$O10^6 + 2.80493263066289E-14*$O10^5 - 2.23271907955907E-09*$O10^4 + 0.0000947783879077569*$O10^3 - 2.26293121558813*$O10^2 + 28813.4861268598*$O10 - 152852350.445896</f>
        <v>0.16262426972389221</v>
      </c>
      <c r="Q10" s="25">
        <f t="shared" ref="Q10:Q73" si="2" xml:space="preserve"> (6*-1.4681315616E-19*$O10^5 + 5*2.80493263066289E-14*$O10^4 - 4*2.23271907955907E-09*$O10^3 + 3*0.0000947783879077569*$O10^2 - 2*2.26293121558813*$O10^1 + 28813.4861268598)*1000</f>
        <v>2.5351873773615807E-3</v>
      </c>
      <c r="R10" s="24">
        <f t="shared" ref="R10:R73" si="3" xml:space="preserve"> (5*6*-1.4681315616E-19*$O10^4 + 4*5*2.80493263066289E-14*$O10^3 - 3*4*2.23271907955907E-09*$O10^2 + 2*3*0.0000947783879077569*$O10^1 - 2*2.26293121558813)*1000*1000</f>
        <v>-4.095943051396489E-2</v>
      </c>
      <c r="S10" s="20"/>
      <c r="T10" s="7"/>
      <c r="U10" s="7"/>
      <c r="V10" s="7"/>
      <c r="W10" s="7"/>
      <c r="X10" s="7"/>
      <c r="Y10" s="7"/>
      <c r="Z10" s="7"/>
      <c r="AA10" s="7"/>
    </row>
    <row r="11" spans="1:27" x14ac:dyDescent="0.2">
      <c r="A11" s="12">
        <v>45614</v>
      </c>
      <c r="B11" s="13">
        <v>0.65149305555555559</v>
      </c>
      <c r="C11" s="9">
        <v>30267</v>
      </c>
      <c r="D11" s="7">
        <v>162</v>
      </c>
      <c r="E11" s="7">
        <f t="shared" si="0"/>
        <v>0.16200000000000001</v>
      </c>
      <c r="F11" s="7">
        <v>100</v>
      </c>
      <c r="G11" s="7"/>
      <c r="H11" s="7"/>
      <c r="I11" s="7"/>
      <c r="J11" s="7"/>
      <c r="K11" s="7"/>
      <c r="L11" s="7"/>
      <c r="M11" s="7"/>
      <c r="N11" s="7"/>
      <c r="O11" s="7">
        <v>31009</v>
      </c>
      <c r="P11" s="1">
        <f t="shared" si="1"/>
        <v>0.16262641549110413</v>
      </c>
      <c r="Q11" s="25">
        <f t="shared" si="2"/>
        <v>2.4972650862764567E-3</v>
      </c>
      <c r="R11" s="24">
        <f t="shared" si="3"/>
        <v>-3.5039918522272728E-2</v>
      </c>
      <c r="S11" s="10"/>
      <c r="T11" s="7"/>
      <c r="U11" s="7"/>
      <c r="V11" s="7"/>
      <c r="W11" s="7"/>
      <c r="X11" s="7"/>
      <c r="Y11" s="7"/>
      <c r="Z11" s="7"/>
      <c r="AA11" s="7"/>
    </row>
    <row r="12" spans="1:27" x14ac:dyDescent="0.2">
      <c r="A12" s="12">
        <v>45614</v>
      </c>
      <c r="B12" s="13">
        <v>0.65149305555555559</v>
      </c>
      <c r="C12" s="7">
        <v>30276</v>
      </c>
      <c r="D12" s="7">
        <v>162</v>
      </c>
      <c r="E12" s="7">
        <f t="shared" si="0"/>
        <v>0.16200000000000001</v>
      </c>
      <c r="F12" s="7">
        <v>100</v>
      </c>
      <c r="G12" s="7"/>
      <c r="H12" s="7"/>
      <c r="I12" s="7"/>
      <c r="J12" s="7"/>
      <c r="K12" s="7"/>
      <c r="L12" s="7"/>
      <c r="M12" s="7"/>
      <c r="N12" s="7"/>
      <c r="O12" s="7">
        <v>31010</v>
      </c>
      <c r="P12" s="1">
        <f t="shared" si="1"/>
        <v>0.16262927651405334</v>
      </c>
      <c r="Q12" s="25">
        <f t="shared" si="2"/>
        <v>2.4651635612826794E-3</v>
      </c>
      <c r="R12" s="24">
        <f t="shared" si="3"/>
        <v>-2.9152849911895373E-2</v>
      </c>
      <c r="S12" s="20"/>
      <c r="T12" s="7"/>
      <c r="U12" s="7"/>
      <c r="V12" s="7"/>
      <c r="W12" s="7"/>
      <c r="X12" s="7"/>
      <c r="Y12" s="7"/>
      <c r="Z12" s="7"/>
      <c r="AA12" s="7"/>
    </row>
    <row r="13" spans="1:27" x14ac:dyDescent="0.2">
      <c r="A13" s="12">
        <v>45614</v>
      </c>
      <c r="B13" s="14">
        <v>0.65149305555555559</v>
      </c>
      <c r="C13" s="7">
        <v>30906</v>
      </c>
      <c r="D13" s="7">
        <v>163</v>
      </c>
      <c r="E13" s="7">
        <f t="shared" si="0"/>
        <v>0.16300000000000001</v>
      </c>
      <c r="F13" s="7">
        <v>100</v>
      </c>
      <c r="G13" s="7"/>
      <c r="H13" s="7"/>
      <c r="I13" s="7"/>
      <c r="J13" s="7"/>
      <c r="K13" s="7"/>
      <c r="L13" s="7"/>
      <c r="M13" s="7"/>
      <c r="N13" s="7"/>
      <c r="O13" s="7">
        <v>31011</v>
      </c>
      <c r="P13" s="1">
        <f t="shared" si="1"/>
        <v>0.16263154149055481</v>
      </c>
      <c r="Q13" s="25">
        <f t="shared" si="2"/>
        <v>2.4389119062107056E-3</v>
      </c>
      <c r="R13" s="24">
        <f t="shared" si="3"/>
        <v>-2.3298139417704533E-2</v>
      </c>
      <c r="S13" s="20"/>
      <c r="T13" s="7"/>
      <c r="U13" s="7"/>
      <c r="V13" s="7"/>
      <c r="W13" s="7"/>
      <c r="X13" s="7"/>
      <c r="Y13" s="7"/>
      <c r="Z13" s="7"/>
      <c r="AA13" s="7"/>
    </row>
    <row r="14" spans="1:27" x14ac:dyDescent="0.2">
      <c r="A14" s="12">
        <v>45614</v>
      </c>
      <c r="B14" s="13">
        <v>0.65149305555555559</v>
      </c>
      <c r="C14" s="7">
        <v>30907</v>
      </c>
      <c r="D14" s="7">
        <v>163</v>
      </c>
      <c r="E14" s="7">
        <f t="shared" si="0"/>
        <v>0.16300000000000001</v>
      </c>
      <c r="F14" s="7">
        <v>100</v>
      </c>
      <c r="G14" s="7"/>
      <c r="H14" s="7"/>
      <c r="I14" s="7"/>
      <c r="J14" s="7"/>
      <c r="K14" s="7"/>
      <c r="L14" s="7"/>
      <c r="M14" s="7"/>
      <c r="N14" s="7"/>
      <c r="O14" s="7">
        <v>31012</v>
      </c>
      <c r="P14" s="1">
        <f t="shared" si="1"/>
        <v>0.16263416409492493</v>
      </c>
      <c r="Q14" s="25">
        <f t="shared" si="2"/>
        <v>2.4185101210605353E-3</v>
      </c>
      <c r="R14" s="24">
        <f t="shared" si="3"/>
        <v>-1.7475699998215077E-2</v>
      </c>
      <c r="S14" s="20"/>
      <c r="T14" s="7"/>
      <c r="U14" s="7"/>
      <c r="V14" s="7"/>
      <c r="W14" s="7"/>
      <c r="X14" s="7"/>
      <c r="Y14" s="7"/>
      <c r="Z14" s="7"/>
      <c r="AA14" s="7"/>
    </row>
    <row r="15" spans="1:27" x14ac:dyDescent="0.2">
      <c r="A15" s="12">
        <v>45614</v>
      </c>
      <c r="B15" s="13">
        <v>0.65149305555555559</v>
      </c>
      <c r="C15" s="7">
        <v>30936</v>
      </c>
      <c r="D15" s="7">
        <v>162</v>
      </c>
      <c r="E15" s="7">
        <f t="shared" si="0"/>
        <v>0.16200000000000001</v>
      </c>
      <c r="F15" s="7">
        <v>100</v>
      </c>
      <c r="G15" s="7"/>
      <c r="H15" s="7"/>
      <c r="I15" s="7"/>
      <c r="J15" s="7"/>
      <c r="K15" s="7"/>
      <c r="L15" s="7"/>
      <c r="M15" s="7"/>
      <c r="N15" s="7"/>
      <c r="O15" s="7">
        <v>31013</v>
      </c>
      <c r="P15" s="1">
        <f t="shared" si="1"/>
        <v>0.16263630986213684</v>
      </c>
      <c r="Q15" s="25">
        <f t="shared" si="2"/>
        <v>2.4039873096626252E-3</v>
      </c>
      <c r="R15" s="24">
        <f t="shared" si="3"/>
        <v>-1.1685442835585036E-2</v>
      </c>
      <c r="S15" s="20"/>
      <c r="T15" s="7"/>
      <c r="U15" s="7"/>
      <c r="V15" s="7"/>
      <c r="W15" s="7"/>
      <c r="X15" s="7"/>
      <c r="Y15" s="7"/>
      <c r="Z15" s="7"/>
      <c r="AA15" s="7"/>
    </row>
    <row r="16" spans="1:27" x14ac:dyDescent="0.2">
      <c r="A16" s="12">
        <v>45614</v>
      </c>
      <c r="B16" s="13">
        <v>0.65149305555555559</v>
      </c>
      <c r="C16" s="7">
        <v>30937</v>
      </c>
      <c r="D16" s="7">
        <v>162</v>
      </c>
      <c r="E16" s="7">
        <f t="shared" si="0"/>
        <v>0.16200000000000001</v>
      </c>
      <c r="F16" s="7">
        <v>100</v>
      </c>
      <c r="G16" s="7"/>
      <c r="H16" s="7"/>
      <c r="I16" s="7"/>
      <c r="J16" s="7"/>
      <c r="K16" s="7"/>
      <c r="L16" s="7"/>
      <c r="M16" s="7"/>
      <c r="N16" s="7"/>
      <c r="O16" s="7">
        <v>31014</v>
      </c>
      <c r="P16" s="1">
        <f t="shared" si="1"/>
        <v>0.16263857483863831</v>
      </c>
      <c r="Q16" s="25">
        <f t="shared" si="2"/>
        <v>2.3951397452037781E-3</v>
      </c>
      <c r="R16" s="24">
        <f t="shared" si="3"/>
        <v>-5.9272826646861176E-3</v>
      </c>
      <c r="S16" s="20"/>
      <c r="T16" s="7"/>
      <c r="U16" s="7"/>
      <c r="V16" s="7"/>
      <c r="W16" s="7"/>
      <c r="X16" s="7"/>
      <c r="Y16" s="7"/>
      <c r="Z16" s="7"/>
      <c r="AA16" s="7"/>
    </row>
    <row r="17" spans="1:27" x14ac:dyDescent="0.2">
      <c r="A17" s="12">
        <v>45614</v>
      </c>
      <c r="B17" s="13">
        <v>0.65149305555555559</v>
      </c>
      <c r="C17" s="7">
        <v>30946</v>
      </c>
      <c r="D17" s="7">
        <v>162</v>
      </c>
      <c r="E17" s="7">
        <f t="shared" si="0"/>
        <v>0.16200000000000001</v>
      </c>
      <c r="F17" s="7">
        <v>100</v>
      </c>
      <c r="G17" s="7"/>
      <c r="H17" s="7"/>
      <c r="I17" s="7"/>
      <c r="J17" s="7"/>
      <c r="K17" s="7"/>
      <c r="L17" s="7"/>
      <c r="M17" s="7"/>
      <c r="N17" s="7"/>
      <c r="O17" s="7">
        <v>31015</v>
      </c>
      <c r="P17" s="1">
        <f t="shared" si="1"/>
        <v>0.16264143586158752</v>
      </c>
      <c r="Q17" s="25">
        <f t="shared" si="2"/>
        <v>2.3921420506667346E-3</v>
      </c>
      <c r="R17" s="24">
        <f t="shared" si="3"/>
        <v>-2.0112533860583426E-4</v>
      </c>
      <c r="S17" s="20"/>
      <c r="T17" s="7"/>
      <c r="U17" s="7"/>
      <c r="V17" s="7"/>
      <c r="W17" s="7"/>
      <c r="X17" s="7"/>
      <c r="Y17" s="7"/>
      <c r="Z17" s="7"/>
      <c r="AA17" s="7"/>
    </row>
    <row r="18" spans="1:27" x14ac:dyDescent="0.2">
      <c r="A18" s="12">
        <v>45614</v>
      </c>
      <c r="B18" s="13">
        <v>0.65149305555555559</v>
      </c>
      <c r="C18" s="7">
        <v>30976</v>
      </c>
      <c r="D18" s="7">
        <v>164</v>
      </c>
      <c r="E18" s="7">
        <f t="shared" si="0"/>
        <v>0.16400000000000001</v>
      </c>
      <c r="F18" s="7">
        <v>100</v>
      </c>
      <c r="G18" s="7"/>
      <c r="H18" s="7"/>
      <c r="I18" s="7"/>
      <c r="J18" s="7"/>
      <c r="K18" s="7"/>
      <c r="L18" s="7"/>
      <c r="M18" s="7"/>
      <c r="N18" s="7"/>
      <c r="O18" s="7">
        <v>31016</v>
      </c>
      <c r="P18" s="1">
        <f t="shared" si="1"/>
        <v>0.16264334321022034</v>
      </c>
      <c r="Q18" s="25">
        <f t="shared" si="2"/>
        <v>2.3947322915773839E-3</v>
      </c>
      <c r="R18" s="24">
        <f t="shared" si="3"/>
        <v>5.4931108550704266E-3</v>
      </c>
      <c r="S18" s="20"/>
      <c r="T18" s="7"/>
      <c r="U18" s="7"/>
      <c r="V18" s="7"/>
      <c r="W18" s="7"/>
      <c r="X18" s="7"/>
      <c r="Y18" s="7"/>
      <c r="Z18" s="7"/>
      <c r="AA18" s="7"/>
    </row>
    <row r="19" spans="1:27" x14ac:dyDescent="0.2">
      <c r="A19" s="12">
        <v>45614</v>
      </c>
      <c r="B19" s="13">
        <v>0.65149305555555559</v>
      </c>
      <c r="C19" s="7">
        <v>30977</v>
      </c>
      <c r="D19" s="7">
        <v>164</v>
      </c>
      <c r="E19" s="7">
        <f t="shared" si="0"/>
        <v>0.16400000000000001</v>
      </c>
      <c r="F19" s="8">
        <v>100</v>
      </c>
      <c r="G19" s="7"/>
      <c r="H19" s="7"/>
      <c r="I19" s="7"/>
      <c r="J19" s="7"/>
      <c r="K19" s="7"/>
      <c r="L19" s="7"/>
      <c r="M19" s="7"/>
      <c r="N19" s="7"/>
      <c r="O19" s="7">
        <v>31017</v>
      </c>
      <c r="P19" s="1">
        <f t="shared" si="1"/>
        <v>0.1626456081867218</v>
      </c>
      <c r="Q19" s="25">
        <f t="shared" si="2"/>
        <v>2.403026883257553E-3</v>
      </c>
      <c r="R19" s="24">
        <f t="shared" si="3"/>
        <v>1.1155512957827796E-2</v>
      </c>
      <c r="S19" s="20"/>
      <c r="T19" s="7"/>
      <c r="U19" s="7"/>
      <c r="V19" s="7"/>
      <c r="W19" s="7"/>
      <c r="X19" s="7"/>
      <c r="Y19" s="7"/>
      <c r="Z19" s="7"/>
      <c r="AA19" s="7"/>
    </row>
    <row r="20" spans="1:27" x14ac:dyDescent="0.2">
      <c r="A20" s="12">
        <v>45614</v>
      </c>
      <c r="B20" s="13">
        <v>0.65150462962962963</v>
      </c>
      <c r="C20" s="8">
        <v>31006</v>
      </c>
      <c r="D20" s="7">
        <v>162</v>
      </c>
      <c r="E20" s="7">
        <f t="shared" si="0"/>
        <v>0.16200000000000001</v>
      </c>
      <c r="F20" s="7">
        <v>100</v>
      </c>
      <c r="G20" s="7"/>
      <c r="H20" s="7"/>
      <c r="I20" s="7"/>
      <c r="J20" s="7"/>
      <c r="K20" s="7"/>
      <c r="L20" s="7"/>
      <c r="M20" s="7"/>
      <c r="N20" s="7"/>
      <c r="O20" s="7">
        <v>31018</v>
      </c>
      <c r="P20" s="1">
        <f t="shared" si="1"/>
        <v>0.16264846920967102</v>
      </c>
      <c r="Q20" s="25">
        <f t="shared" si="2"/>
        <v>2.4170258257072419E-3</v>
      </c>
      <c r="R20" s="24">
        <f t="shared" si="3"/>
        <v>1.6786169787508243E-2</v>
      </c>
      <c r="S20" s="20"/>
      <c r="T20" s="7"/>
      <c r="U20" s="7"/>
      <c r="V20" s="7"/>
      <c r="W20" s="7"/>
      <c r="X20" s="7"/>
      <c r="Y20" s="7"/>
      <c r="Z20" s="7"/>
      <c r="AA20" s="7"/>
    </row>
    <row r="21" spans="1:27" x14ac:dyDescent="0.2">
      <c r="A21" s="12">
        <v>45614</v>
      </c>
      <c r="B21" s="13">
        <v>0.65150462962962963</v>
      </c>
      <c r="C21" s="7">
        <v>31007</v>
      </c>
      <c r="D21" s="7">
        <v>162</v>
      </c>
      <c r="E21" s="7">
        <f t="shared" si="0"/>
        <v>0.16200000000000001</v>
      </c>
      <c r="F21" s="7">
        <v>100</v>
      </c>
      <c r="G21" s="7"/>
      <c r="H21" s="7"/>
      <c r="I21" s="7"/>
      <c r="J21" s="7"/>
      <c r="K21" s="7"/>
      <c r="L21" s="7"/>
      <c r="M21" s="7"/>
      <c r="N21" s="7"/>
      <c r="O21" s="7">
        <v>31019</v>
      </c>
      <c r="P21" s="1">
        <f t="shared" si="1"/>
        <v>0.16265109181404114</v>
      </c>
      <c r="Q21" s="25">
        <f t="shared" si="2"/>
        <v>2.4366127036046237E-3</v>
      </c>
      <c r="R21" s="24">
        <f t="shared" si="3"/>
        <v>2.2385171938310577E-2</v>
      </c>
      <c r="S21" s="20"/>
      <c r="T21" s="7"/>
      <c r="U21" s="7"/>
      <c r="V21" s="7"/>
      <c r="W21" s="7"/>
      <c r="X21" s="7"/>
      <c r="Y21" s="7"/>
      <c r="Z21" s="7"/>
      <c r="AA21" s="7"/>
    </row>
    <row r="22" spans="1:27" x14ac:dyDescent="0.2">
      <c r="A22" s="12">
        <v>45614</v>
      </c>
      <c r="B22" s="13">
        <v>0.65150462962962963</v>
      </c>
      <c r="C22" s="7">
        <v>31016</v>
      </c>
      <c r="D22" s="7">
        <v>162</v>
      </c>
      <c r="E22" s="7">
        <f t="shared" si="0"/>
        <v>0.16200000000000001</v>
      </c>
      <c r="F22" s="7">
        <v>100</v>
      </c>
      <c r="G22" s="7"/>
      <c r="H22" s="7"/>
      <c r="I22" s="7"/>
      <c r="J22" s="7"/>
      <c r="K22" s="7"/>
      <c r="L22" s="7"/>
      <c r="M22" s="7"/>
      <c r="N22" s="7"/>
      <c r="O22" s="7">
        <v>31020</v>
      </c>
      <c r="P22" s="1">
        <f t="shared" si="1"/>
        <v>0.1626531183719635</v>
      </c>
      <c r="Q22" s="25">
        <f t="shared" si="2"/>
        <v>2.4618166207801551E-3</v>
      </c>
      <c r="R22" s="24">
        <f t="shared" si="3"/>
        <v>2.7952602899006251E-2</v>
      </c>
      <c r="S22" s="20"/>
      <c r="T22" s="7"/>
      <c r="U22" s="7"/>
      <c r="V22" s="7"/>
      <c r="W22" s="7"/>
      <c r="X22" s="7"/>
      <c r="Y22" s="7"/>
      <c r="Z22" s="7"/>
      <c r="AA22" s="7"/>
    </row>
    <row r="23" spans="1:27" x14ac:dyDescent="0.2">
      <c r="A23" s="12">
        <v>45614</v>
      </c>
      <c r="B23" s="13">
        <v>0.65150462962962963</v>
      </c>
      <c r="C23" s="7">
        <v>31046</v>
      </c>
      <c r="D23" s="7">
        <v>163</v>
      </c>
      <c r="E23" s="7">
        <f t="shared" si="0"/>
        <v>0.16300000000000001</v>
      </c>
      <c r="F23" s="7">
        <v>100</v>
      </c>
      <c r="G23" s="7"/>
      <c r="H23" s="7"/>
      <c r="I23" s="7"/>
      <c r="J23" s="7"/>
      <c r="K23" s="7"/>
      <c r="L23" s="7"/>
      <c r="M23" s="7"/>
      <c r="N23" s="7"/>
      <c r="O23" s="7">
        <v>31021</v>
      </c>
      <c r="P23" s="1">
        <f t="shared" si="1"/>
        <v>0.16265574097633362</v>
      </c>
      <c r="Q23" s="25">
        <f t="shared" si="2"/>
        <v>2.4925793695729226E-3</v>
      </c>
      <c r="R23" s="24">
        <f t="shared" si="3"/>
        <v>3.3488547934723556E-2</v>
      </c>
      <c r="S23" s="20"/>
      <c r="T23" s="7"/>
      <c r="U23" s="7"/>
      <c r="V23" s="7"/>
      <c r="W23" s="7"/>
      <c r="X23" s="7"/>
      <c r="Y23" s="7"/>
      <c r="Z23" s="7"/>
      <c r="AA23" s="7"/>
    </row>
    <row r="24" spans="1:27" x14ac:dyDescent="0.2">
      <c r="A24" s="12">
        <v>45614</v>
      </c>
      <c r="B24" s="13">
        <v>0.65150462962962963</v>
      </c>
      <c r="C24" s="7">
        <v>31047</v>
      </c>
      <c r="D24" s="7">
        <v>163</v>
      </c>
      <c r="E24" s="7">
        <f t="shared" si="0"/>
        <v>0.16300000000000001</v>
      </c>
      <c r="F24" s="7">
        <v>100</v>
      </c>
      <c r="G24" s="7"/>
      <c r="H24" s="7"/>
      <c r="I24" s="7"/>
      <c r="J24" s="7"/>
      <c r="K24" s="7"/>
      <c r="L24" s="7"/>
      <c r="M24" s="7"/>
      <c r="N24" s="7"/>
      <c r="O24" s="7">
        <v>31022</v>
      </c>
      <c r="P24" s="1">
        <f t="shared" si="1"/>
        <v>0.16265836358070374</v>
      </c>
      <c r="Q24" s="25">
        <f t="shared" si="2"/>
        <v>2.5287554308306426E-3</v>
      </c>
      <c r="R24" s="24">
        <f t="shared" si="3"/>
        <v>3.8993094086947622E-2</v>
      </c>
      <c r="S24" s="20"/>
      <c r="T24" s="7"/>
      <c r="U24" s="7"/>
      <c r="V24" s="7"/>
      <c r="W24" s="7"/>
      <c r="X24" s="7"/>
      <c r="Y24" s="7"/>
      <c r="Z24" s="7"/>
      <c r="AA24" s="7"/>
    </row>
    <row r="25" spans="1:27" x14ac:dyDescent="0.2">
      <c r="A25" s="12">
        <v>45614</v>
      </c>
      <c r="B25" s="13">
        <v>0.65150462962962963</v>
      </c>
      <c r="C25" s="7">
        <v>31076</v>
      </c>
      <c r="D25" s="7">
        <v>162</v>
      </c>
      <c r="E25" s="7">
        <f t="shared" si="0"/>
        <v>0.16200000000000001</v>
      </c>
      <c r="F25" s="7">
        <v>100</v>
      </c>
      <c r="G25" s="7"/>
      <c r="H25" s="7"/>
      <c r="I25" s="7"/>
      <c r="J25" s="7"/>
      <c r="K25" s="7"/>
      <c r="L25" s="7"/>
      <c r="M25" s="7"/>
      <c r="N25" s="7"/>
      <c r="O25" s="7">
        <v>31023</v>
      </c>
      <c r="P25" s="1">
        <f t="shared" si="1"/>
        <v>0.1626606285572052</v>
      </c>
      <c r="Q25" s="25">
        <f t="shared" si="2"/>
        <v>2.5704903237055987E-3</v>
      </c>
      <c r="R25" s="24">
        <f t="shared" si="3"/>
        <v>4.4466337278947776E-2</v>
      </c>
      <c r="S25" s="20"/>
      <c r="T25" s="7"/>
      <c r="U25" s="7"/>
      <c r="V25" s="7"/>
      <c r="W25" s="7"/>
      <c r="X25" s="7"/>
      <c r="Y25" s="7"/>
      <c r="Z25" s="7"/>
      <c r="AA25" s="7"/>
    </row>
    <row r="26" spans="1:27" x14ac:dyDescent="0.2">
      <c r="A26" s="12">
        <v>45614</v>
      </c>
      <c r="B26" s="13">
        <v>0.65150462962962963</v>
      </c>
      <c r="C26" s="7">
        <v>31077</v>
      </c>
      <c r="D26" s="7">
        <v>162</v>
      </c>
      <c r="E26" s="7">
        <f t="shared" si="0"/>
        <v>0.16200000000000001</v>
      </c>
      <c r="F26" s="7">
        <v>100</v>
      </c>
      <c r="G26" s="7"/>
      <c r="J26" s="7"/>
      <c r="K26" s="7"/>
      <c r="L26" s="7"/>
      <c r="M26" s="7"/>
      <c r="N26" s="7"/>
      <c r="O26" s="7">
        <v>31024</v>
      </c>
      <c r="P26" s="1">
        <f t="shared" si="1"/>
        <v>0.16266372799873352</v>
      </c>
      <c r="Q26" s="25">
        <f t="shared" si="2"/>
        <v>2.617667632875964E-3</v>
      </c>
      <c r="R26" s="24">
        <f t="shared" si="3"/>
        <v>4.9908352117711274E-2</v>
      </c>
      <c r="S26" s="20"/>
      <c r="T26" s="7"/>
      <c r="U26" s="7"/>
      <c r="V26" s="7"/>
      <c r="W26" s="7"/>
      <c r="X26" s="7"/>
      <c r="Y26" s="7"/>
      <c r="Z26" s="7"/>
      <c r="AA26" s="7"/>
    </row>
    <row r="27" spans="1:27" x14ac:dyDescent="0.2">
      <c r="A27" s="12">
        <v>45614</v>
      </c>
      <c r="B27" s="13">
        <v>0.65150462962962963</v>
      </c>
      <c r="C27" s="8">
        <v>31106</v>
      </c>
      <c r="D27" s="7">
        <v>164</v>
      </c>
      <c r="E27" s="7">
        <f t="shared" si="0"/>
        <v>0.16400000000000001</v>
      </c>
      <c r="F27" s="7">
        <v>100</v>
      </c>
      <c r="G27" s="7"/>
      <c r="J27" s="7"/>
      <c r="K27" s="7"/>
      <c r="L27" s="7"/>
      <c r="M27" s="7"/>
      <c r="N27" s="7"/>
      <c r="O27" s="7">
        <v>31025</v>
      </c>
      <c r="P27" s="1">
        <f t="shared" si="1"/>
        <v>0.16266611218452454</v>
      </c>
      <c r="Q27" s="25">
        <f t="shared" si="2"/>
        <v>2.6703164621721953E-3</v>
      </c>
      <c r="R27" s="24">
        <f t="shared" si="3"/>
        <v>5.5319227421080086E-2</v>
      </c>
      <c r="S27" s="20"/>
      <c r="T27" s="7"/>
      <c r="U27" s="7"/>
      <c r="V27" s="7"/>
      <c r="W27" s="7"/>
      <c r="X27" s="7"/>
      <c r="Y27" s="7"/>
      <c r="Z27" s="7"/>
      <c r="AA27" s="7"/>
    </row>
    <row r="28" spans="1:27" x14ac:dyDescent="0.2">
      <c r="A28" s="12">
        <v>45614</v>
      </c>
      <c r="B28" s="13">
        <v>0.65150462962962963</v>
      </c>
      <c r="C28" s="7">
        <v>31107</v>
      </c>
      <c r="D28" s="7">
        <v>164</v>
      </c>
      <c r="E28" s="7">
        <f t="shared" si="0"/>
        <v>0.16400000000000001</v>
      </c>
      <c r="F28" s="7">
        <v>100</v>
      </c>
      <c r="G28" s="7"/>
      <c r="J28" s="7"/>
      <c r="K28" s="7"/>
      <c r="L28" s="7"/>
      <c r="M28" s="7"/>
      <c r="N28" s="7"/>
      <c r="O28" s="7">
        <v>31026</v>
      </c>
      <c r="P28" s="1">
        <f t="shared" si="1"/>
        <v>0.1626686155796051</v>
      </c>
      <c r="Q28" s="25">
        <f t="shared" si="2"/>
        <v>2.7283203962724656E-3</v>
      </c>
      <c r="R28" s="24">
        <f t="shared" si="3"/>
        <v>6.069905555960986E-2</v>
      </c>
      <c r="S28" s="20"/>
      <c r="T28" s="7"/>
      <c r="U28" s="7"/>
      <c r="V28" s="7"/>
      <c r="W28" s="7"/>
      <c r="X28" s="7"/>
      <c r="Y28" s="7"/>
      <c r="Z28" s="7"/>
      <c r="AA28" s="7"/>
    </row>
    <row r="29" spans="1:27" x14ac:dyDescent="0.2">
      <c r="A29" s="12">
        <v>45614</v>
      </c>
      <c r="B29" s="13">
        <v>0.65150462962962963</v>
      </c>
      <c r="C29" s="7">
        <v>31116</v>
      </c>
      <c r="D29" s="7">
        <v>164</v>
      </c>
      <c r="E29" s="7">
        <f t="shared" si="0"/>
        <v>0.16400000000000001</v>
      </c>
      <c r="F29" s="7">
        <v>100</v>
      </c>
      <c r="G29" s="7"/>
      <c r="H29" s="17" t="s">
        <v>23</v>
      </c>
      <c r="I29" s="7">
        <f>(C77-C31)/1000</f>
        <v>1.554</v>
      </c>
      <c r="J29" s="7"/>
      <c r="K29" s="7"/>
      <c r="L29" s="7"/>
      <c r="M29" s="7"/>
      <c r="N29" s="7"/>
      <c r="O29" s="7">
        <v>31027</v>
      </c>
      <c r="P29" s="1">
        <f t="shared" si="1"/>
        <v>0.16267171502113342</v>
      </c>
      <c r="Q29" s="25">
        <f t="shared" si="2"/>
        <v>2.7917376428376883E-3</v>
      </c>
      <c r="R29" s="24">
        <f t="shared" si="3"/>
        <v>6.6047921798428888E-2</v>
      </c>
      <c r="S29" s="20"/>
      <c r="T29" s="7"/>
      <c r="U29" s="7"/>
      <c r="V29" s="7"/>
      <c r="W29" s="7"/>
      <c r="X29" s="7"/>
      <c r="Y29" s="7"/>
      <c r="Z29" s="7"/>
      <c r="AA29" s="7"/>
    </row>
    <row r="30" spans="1:27" x14ac:dyDescent="0.2">
      <c r="A30" s="12">
        <v>45614</v>
      </c>
      <c r="B30" s="13">
        <v>0.65150462962962963</v>
      </c>
      <c r="C30" s="19">
        <v>31146</v>
      </c>
      <c r="D30" s="7">
        <v>164</v>
      </c>
      <c r="E30" s="7">
        <f t="shared" si="0"/>
        <v>0.16400000000000001</v>
      </c>
      <c r="F30" s="7">
        <v>100</v>
      </c>
      <c r="G30" s="7"/>
      <c r="H30" s="8" t="s">
        <v>24</v>
      </c>
      <c r="I30" s="7">
        <f>C30-C9</f>
        <v>909</v>
      </c>
      <c r="J30" s="7"/>
      <c r="K30" s="7"/>
      <c r="L30" s="7"/>
      <c r="M30" s="7"/>
      <c r="N30" s="7"/>
      <c r="O30" s="7">
        <v>31028</v>
      </c>
      <c r="P30" s="1">
        <f t="shared" si="1"/>
        <v>0.16267433762550354</v>
      </c>
      <c r="Q30" s="25">
        <f t="shared" si="2"/>
        <v>2.8603644750546664E-3</v>
      </c>
      <c r="R30" s="24">
        <f t="shared" si="3"/>
        <v>7.1365911402665461E-2</v>
      </c>
      <c r="S30" s="20"/>
      <c r="T30" s="7"/>
      <c r="U30" s="7"/>
      <c r="V30" s="7"/>
      <c r="W30" s="7"/>
      <c r="X30" s="7"/>
      <c r="Y30" s="7"/>
      <c r="Z30" s="7"/>
      <c r="AA30" s="7"/>
    </row>
    <row r="31" spans="1:27" x14ac:dyDescent="0.2">
      <c r="A31" s="12">
        <v>45614</v>
      </c>
      <c r="B31" s="13">
        <v>0.65150462962962963</v>
      </c>
      <c r="C31" s="16">
        <v>31147</v>
      </c>
      <c r="D31" s="7">
        <v>164</v>
      </c>
      <c r="E31" s="7">
        <f t="shared" si="0"/>
        <v>0.16400000000000001</v>
      </c>
      <c r="F31" s="7">
        <v>100</v>
      </c>
      <c r="G31" s="7"/>
      <c r="J31" s="7"/>
      <c r="K31" s="7"/>
      <c r="L31" s="7"/>
      <c r="M31" s="7"/>
      <c r="N31" s="7"/>
      <c r="O31" s="7">
        <v>31029</v>
      </c>
      <c r="P31" s="1">
        <f t="shared" si="1"/>
        <v>0.16267707943916321</v>
      </c>
      <c r="Q31" s="25">
        <f t="shared" si="2"/>
        <v>2.9343755159061402E-3</v>
      </c>
      <c r="R31" s="24">
        <f t="shared" si="3"/>
        <v>7.6653102532020512E-2</v>
      </c>
      <c r="S31" s="20"/>
      <c r="T31" s="7"/>
      <c r="U31" s="7"/>
      <c r="V31" s="7"/>
      <c r="W31" s="7"/>
      <c r="X31" s="7"/>
      <c r="Y31" s="7"/>
      <c r="Z31" s="7"/>
      <c r="AA31" s="7"/>
    </row>
    <row r="32" spans="1:27" x14ac:dyDescent="0.2">
      <c r="A32" s="12">
        <v>45614</v>
      </c>
      <c r="B32" s="13">
        <v>0.65150462962962963</v>
      </c>
      <c r="C32" s="7">
        <v>31176</v>
      </c>
      <c r="D32" s="7">
        <v>167</v>
      </c>
      <c r="E32" s="7">
        <f t="shared" si="0"/>
        <v>0.16700000000000001</v>
      </c>
      <c r="F32" s="7">
        <v>100</v>
      </c>
      <c r="G32" s="7"/>
      <c r="H32" s="20"/>
      <c r="I32" s="7"/>
      <c r="J32" s="7"/>
      <c r="K32" s="7"/>
      <c r="L32" s="7"/>
      <c r="M32" s="7"/>
      <c r="N32" s="7"/>
      <c r="O32" s="7">
        <v>31030</v>
      </c>
      <c r="P32" s="1">
        <f t="shared" si="1"/>
        <v>0.16267994046211243</v>
      </c>
      <c r="Q32" s="25">
        <f t="shared" si="2"/>
        <v>3.0136834539007396E-3</v>
      </c>
      <c r="R32" s="24">
        <f t="shared" si="3"/>
        <v>8.1909591109763369E-2</v>
      </c>
      <c r="S32" s="20"/>
      <c r="T32" s="7"/>
      <c r="U32" s="7"/>
      <c r="V32" s="7"/>
      <c r="W32" s="7"/>
      <c r="X32" s="7"/>
      <c r="Y32" s="7"/>
      <c r="Z32" s="7"/>
      <c r="AA32" s="7"/>
    </row>
    <row r="33" spans="1:30" x14ac:dyDescent="0.2">
      <c r="A33" s="12">
        <v>45614</v>
      </c>
      <c r="B33" s="13">
        <v>0.65150462962962963</v>
      </c>
      <c r="C33" s="7">
        <v>31177</v>
      </c>
      <c r="D33" s="7">
        <v>167</v>
      </c>
      <c r="E33" s="7">
        <f t="shared" si="0"/>
        <v>0.16700000000000001</v>
      </c>
      <c r="F33" s="7">
        <v>100</v>
      </c>
      <c r="G33" s="7"/>
      <c r="H33" s="20">
        <f>(D34-D32)/(C34-C32)</f>
        <v>0</v>
      </c>
      <c r="I33" s="7"/>
      <c r="J33" s="7"/>
      <c r="K33" s="7"/>
      <c r="L33" s="7"/>
      <c r="M33" s="7"/>
      <c r="N33" s="7"/>
      <c r="O33" s="7">
        <v>31031</v>
      </c>
      <c r="P33" s="1">
        <f t="shared" si="1"/>
        <v>0.16268351674079895</v>
      </c>
      <c r="Q33" s="25">
        <f t="shared" si="2"/>
        <v>3.098230081377551E-3</v>
      </c>
      <c r="R33" s="24">
        <f t="shared" si="3"/>
        <v>8.7135462401022323E-2</v>
      </c>
      <c r="S33" s="20"/>
      <c r="T33" s="7"/>
      <c r="U33" s="7"/>
      <c r="V33" s="7"/>
      <c r="W33" s="7"/>
      <c r="X33" s="7"/>
      <c r="Y33" s="7"/>
      <c r="Z33" s="7"/>
      <c r="AA33" s="7"/>
    </row>
    <row r="34" spans="1:30" x14ac:dyDescent="0.2">
      <c r="A34" s="12">
        <v>45614</v>
      </c>
      <c r="B34" s="13">
        <v>0.65150462962962963</v>
      </c>
      <c r="C34" s="7">
        <v>31206</v>
      </c>
      <c r="D34" s="7">
        <v>167</v>
      </c>
      <c r="E34" s="7">
        <f t="shared" si="0"/>
        <v>0.16700000000000001</v>
      </c>
      <c r="F34" s="7">
        <v>100</v>
      </c>
      <c r="G34" s="7"/>
      <c r="H34" s="20">
        <f t="shared" ref="H34:H75" si="4">(D35-D33)/(C35-C33)</f>
        <v>0</v>
      </c>
      <c r="I34" s="7"/>
      <c r="J34" s="7">
        <f>(H35-H33)/(C35-C33)</f>
        <v>0</v>
      </c>
      <c r="K34" s="7"/>
      <c r="L34" s="7"/>
      <c r="M34" s="7"/>
      <c r="N34" s="7"/>
      <c r="O34" s="7">
        <v>31032</v>
      </c>
      <c r="P34" s="1">
        <f t="shared" si="1"/>
        <v>0.16268649697303772</v>
      </c>
      <c r="Q34" s="25">
        <f t="shared" si="2"/>
        <v>3.187957190675661E-3</v>
      </c>
      <c r="R34" s="24">
        <f t="shared" si="3"/>
        <v>9.2330798118211987E-2</v>
      </c>
      <c r="S34" s="20"/>
      <c r="T34" s="7"/>
      <c r="U34" s="8" t="s">
        <v>19</v>
      </c>
      <c r="V34" s="8" t="s">
        <v>26</v>
      </c>
      <c r="W34" s="8" t="s">
        <v>27</v>
      </c>
      <c r="X34" s="8" t="s">
        <v>28</v>
      </c>
      <c r="Y34" s="8" t="s">
        <v>29</v>
      </c>
      <c r="Z34" s="8" t="s">
        <v>31</v>
      </c>
      <c r="AA34" s="8" t="s">
        <v>30</v>
      </c>
    </row>
    <row r="35" spans="1:30" x14ac:dyDescent="0.2">
      <c r="A35" s="12">
        <v>45614</v>
      </c>
      <c r="B35" s="13">
        <v>0.65150462962962963</v>
      </c>
      <c r="C35" s="7">
        <v>31207</v>
      </c>
      <c r="D35" s="7">
        <v>167</v>
      </c>
      <c r="E35" s="7">
        <f t="shared" si="0"/>
        <v>0.16700000000000001</v>
      </c>
      <c r="F35" s="7">
        <v>100</v>
      </c>
      <c r="G35" s="7"/>
      <c r="H35" s="20">
        <f t="shared" si="4"/>
        <v>0</v>
      </c>
      <c r="I35" s="7"/>
      <c r="J35" s="7">
        <f t="shared" ref="J35:J74" si="5">(H36-H34)/(C36-C34)</f>
        <v>1.282051282051282E-2</v>
      </c>
      <c r="K35" s="7"/>
      <c r="L35" s="7"/>
      <c r="M35" s="7"/>
      <c r="N35" s="7"/>
      <c r="O35" s="7">
        <v>31033</v>
      </c>
      <c r="P35" s="1">
        <f t="shared" si="1"/>
        <v>0.16268983483314514</v>
      </c>
      <c r="Q35" s="25">
        <f t="shared" si="2"/>
        <v>3.2829520932864398E-3</v>
      </c>
      <c r="R35" s="24">
        <f t="shared" si="3"/>
        <v>9.7495685302817492E-2</v>
      </c>
      <c r="S35" s="20"/>
      <c r="T35" s="7"/>
      <c r="U35" s="11">
        <f>(O1744-O9)/1000</f>
        <v>1.7350000000000001</v>
      </c>
      <c r="V35" s="20">
        <f>MAX(P9:P1974)-P9</f>
        <v>0.37709629535675049</v>
      </c>
      <c r="W35" s="20">
        <f>V35/U35</f>
        <v>0.21734656792896281</v>
      </c>
      <c r="X35" s="20">
        <f>W35/U35</f>
        <v>0.12527179707721198</v>
      </c>
      <c r="Y35" s="11">
        <f>(Q3*X35)+Q4</f>
        <v>9.9257511404993437</v>
      </c>
      <c r="Z35" s="11">
        <f>Y35*Q2</f>
        <v>1.0121288437967182</v>
      </c>
      <c r="AA35" s="11">
        <f>Z35/Q3</f>
        <v>1.0953775365765348</v>
      </c>
    </row>
    <row r="36" spans="1:30" x14ac:dyDescent="0.2">
      <c r="A36" s="12">
        <v>45614</v>
      </c>
      <c r="B36" s="13">
        <v>0.65150462962962963</v>
      </c>
      <c r="C36" s="7">
        <v>31216</v>
      </c>
      <c r="D36" s="7">
        <v>167</v>
      </c>
      <c r="E36" s="7">
        <f t="shared" si="0"/>
        <v>0.16700000000000001</v>
      </c>
      <c r="F36" s="7">
        <v>100</v>
      </c>
      <c r="G36" s="7"/>
      <c r="H36" s="20">
        <f t="shared" si="4"/>
        <v>0.12820512820512819</v>
      </c>
      <c r="I36" s="7"/>
      <c r="J36" s="7">
        <f t="shared" si="5"/>
        <v>4.1356492969396195E-3</v>
      </c>
      <c r="K36" s="7"/>
      <c r="L36" s="7"/>
      <c r="M36" s="7"/>
      <c r="N36" s="7"/>
      <c r="O36" s="7">
        <v>31034</v>
      </c>
      <c r="P36" s="1">
        <f t="shared" si="1"/>
        <v>0.16269317269325256</v>
      </c>
      <c r="Q36" s="25">
        <f t="shared" si="2"/>
        <v>3.3829528547357768E-3</v>
      </c>
      <c r="R36" s="24">
        <f t="shared" si="3"/>
        <v>0.10263021099632397</v>
      </c>
      <c r="S36" s="20"/>
      <c r="T36" s="7"/>
      <c r="U36" s="7"/>
      <c r="V36" s="7"/>
      <c r="W36" s="7"/>
      <c r="X36" s="7"/>
      <c r="Y36" s="7"/>
      <c r="Z36" s="7"/>
      <c r="AA36" s="7"/>
    </row>
    <row r="37" spans="1:30" x14ac:dyDescent="0.2">
      <c r="A37" s="12">
        <v>45614</v>
      </c>
      <c r="B37" s="13">
        <v>0.65150462962962963</v>
      </c>
      <c r="C37" s="7">
        <v>31246</v>
      </c>
      <c r="D37" s="7">
        <v>172</v>
      </c>
      <c r="E37" s="7">
        <f t="shared" si="0"/>
        <v>0.17199999999999999</v>
      </c>
      <c r="F37" s="7">
        <v>100</v>
      </c>
      <c r="G37" s="7"/>
      <c r="H37" s="20">
        <f t="shared" si="4"/>
        <v>0.16129032258064516</v>
      </c>
      <c r="I37" s="7"/>
      <c r="J37" s="7">
        <f t="shared" si="5"/>
        <v>-1.9851116625310169E-3</v>
      </c>
      <c r="K37" s="7"/>
      <c r="L37" s="7"/>
      <c r="M37" s="7"/>
      <c r="N37" s="7"/>
      <c r="O37" s="7">
        <v>31035</v>
      </c>
      <c r="P37" s="1">
        <f t="shared" si="1"/>
        <v>0.16269591450691223</v>
      </c>
      <c r="Q37" s="25">
        <f t="shared" si="2"/>
        <v>3.4880758903454989E-3</v>
      </c>
      <c r="R37" s="24">
        <f t="shared" si="3"/>
        <v>0.10773445868750287</v>
      </c>
      <c r="S37" s="20"/>
      <c r="T37" s="7"/>
      <c r="U37" s="7"/>
      <c r="V37" s="7"/>
      <c r="W37" s="7"/>
      <c r="Y37" s="7"/>
      <c r="Z37" s="7"/>
      <c r="AA37" s="7"/>
    </row>
    <row r="38" spans="1:30" x14ac:dyDescent="0.2">
      <c r="A38" s="12">
        <v>45614</v>
      </c>
      <c r="B38" s="13">
        <v>0.65150462962962963</v>
      </c>
      <c r="C38" s="7">
        <v>31247</v>
      </c>
      <c r="D38" s="7">
        <v>172</v>
      </c>
      <c r="E38" s="7">
        <f t="shared" si="0"/>
        <v>0.17199999999999999</v>
      </c>
      <c r="F38" s="7">
        <v>100</v>
      </c>
      <c r="G38" s="7"/>
      <c r="H38" s="20">
        <f t="shared" si="4"/>
        <v>6.6666666666666666E-2</v>
      </c>
      <c r="I38" s="7"/>
      <c r="J38" s="7">
        <f t="shared" si="5"/>
        <v>-3.1541218637992832E-3</v>
      </c>
      <c r="K38" s="7"/>
      <c r="L38" s="7"/>
      <c r="M38" s="7"/>
      <c r="N38" s="7"/>
      <c r="O38" s="7">
        <v>31036</v>
      </c>
      <c r="P38" s="1">
        <f t="shared" si="1"/>
        <v>0.16270020604133606</v>
      </c>
      <c r="Q38" s="25">
        <f t="shared" si="2"/>
        <v>3.5983503039460629E-3</v>
      </c>
      <c r="R38" s="24">
        <f t="shared" si="3"/>
        <v>0.11280851541783932</v>
      </c>
      <c r="S38" s="20"/>
      <c r="T38" s="7"/>
      <c r="U38" s="7"/>
      <c r="V38" s="7"/>
      <c r="W38" s="7"/>
      <c r="X38" s="7"/>
      <c r="Y38" s="7"/>
      <c r="AA38" s="7"/>
    </row>
    <row r="39" spans="1:30" x14ac:dyDescent="0.2">
      <c r="A39" s="12">
        <v>45614</v>
      </c>
      <c r="B39" s="13">
        <v>0.65150462962962963</v>
      </c>
      <c r="C39" s="7">
        <v>31276</v>
      </c>
      <c r="D39" s="7">
        <v>174</v>
      </c>
      <c r="E39" s="7">
        <f t="shared" si="0"/>
        <v>0.17399999999999999</v>
      </c>
      <c r="F39" s="7">
        <v>100</v>
      </c>
      <c r="G39" s="7"/>
      <c r="H39" s="20">
        <f t="shared" si="4"/>
        <v>6.6666666666666666E-2</v>
      </c>
      <c r="I39" s="7"/>
      <c r="J39" s="7">
        <f t="shared" si="5"/>
        <v>4.4444444444444453E-3</v>
      </c>
      <c r="K39" s="7"/>
      <c r="L39" s="7"/>
      <c r="M39" s="7"/>
      <c r="N39" s="7"/>
      <c r="O39" s="7">
        <v>31037</v>
      </c>
      <c r="P39" s="1">
        <f t="shared" si="1"/>
        <v>0.16270378232002258</v>
      </c>
      <c r="Q39" s="25">
        <f t="shared" si="2"/>
        <v>3.7137178878765553E-3</v>
      </c>
      <c r="R39" s="24">
        <f t="shared" si="3"/>
        <v>0.11785246645246161</v>
      </c>
      <c r="S39" s="20"/>
      <c r="T39" s="7"/>
      <c r="U39" s="7"/>
      <c r="V39" s="7"/>
      <c r="W39" s="7"/>
      <c r="X39" s="7"/>
      <c r="Y39" s="7"/>
      <c r="Z39" s="7"/>
      <c r="AA39" s="7"/>
    </row>
    <row r="40" spans="1:30" x14ac:dyDescent="0.2">
      <c r="A40" s="12">
        <v>45614</v>
      </c>
      <c r="B40" s="13">
        <v>0.65150462962962963</v>
      </c>
      <c r="C40" s="7">
        <v>31277</v>
      </c>
      <c r="D40" s="7">
        <v>174</v>
      </c>
      <c r="E40" s="7">
        <f t="shared" si="0"/>
        <v>0.17399999999999999</v>
      </c>
      <c r="F40" s="7">
        <v>100</v>
      </c>
      <c r="G40" s="7"/>
      <c r="H40" s="20">
        <f t="shared" si="4"/>
        <v>0.2</v>
      </c>
      <c r="I40" s="7"/>
      <c r="J40" s="7">
        <f t="shared" si="5"/>
        <v>4.4444444444444453E-3</v>
      </c>
      <c r="K40" s="7"/>
      <c r="L40" s="7"/>
      <c r="M40" s="7"/>
      <c r="N40" s="7"/>
      <c r="O40" s="7">
        <v>31038</v>
      </c>
      <c r="P40" s="1">
        <f t="shared" si="1"/>
        <v>0.16270747780799866</v>
      </c>
      <c r="Q40" s="25">
        <f t="shared" si="2"/>
        <v>3.8340913306456059E-3</v>
      </c>
      <c r="R40" s="24">
        <f t="shared" si="3"/>
        <v>0.12286639705649804</v>
      </c>
      <c r="S40" s="20"/>
      <c r="T40" s="7"/>
      <c r="U40" s="7"/>
      <c r="V40" s="7"/>
      <c r="W40" s="7"/>
      <c r="X40" s="7"/>
      <c r="Y40" s="7"/>
      <c r="Z40" s="7"/>
      <c r="AA40" s="7"/>
      <c r="AD40" s="26"/>
    </row>
    <row r="41" spans="1:30" x14ac:dyDescent="0.2">
      <c r="A41" s="12">
        <v>45614</v>
      </c>
      <c r="B41" s="13">
        <v>0.65150462962962963</v>
      </c>
      <c r="C41" s="7">
        <v>31306</v>
      </c>
      <c r="D41" s="7">
        <v>180</v>
      </c>
      <c r="E41" s="7">
        <f t="shared" si="0"/>
        <v>0.18</v>
      </c>
      <c r="F41" s="7">
        <v>100</v>
      </c>
      <c r="G41" s="7"/>
      <c r="H41" s="20">
        <f t="shared" si="4"/>
        <v>0.2</v>
      </c>
      <c r="I41" s="7"/>
      <c r="J41" s="7">
        <f t="shared" si="5"/>
        <v>-6.6666666666666671E-3</v>
      </c>
      <c r="K41" s="7"/>
      <c r="L41" s="7"/>
      <c r="M41" s="7"/>
      <c r="N41" s="7"/>
      <c r="O41" s="7">
        <v>31039</v>
      </c>
      <c r="P41" s="1">
        <f t="shared" si="1"/>
        <v>0.16271105408668518</v>
      </c>
      <c r="Q41" s="25">
        <f t="shared" si="2"/>
        <v>3.9594997360836715E-3</v>
      </c>
      <c r="R41" s="24">
        <f t="shared" si="3"/>
        <v>0.12785038894236322</v>
      </c>
      <c r="S41" s="20"/>
      <c r="T41" s="7"/>
      <c r="U41" s="7"/>
      <c r="V41" s="7"/>
      <c r="W41" s="7"/>
      <c r="X41" s="7"/>
      <c r="Y41" s="7"/>
      <c r="Z41" s="7"/>
      <c r="AA41" s="7"/>
    </row>
    <row r="42" spans="1:30" x14ac:dyDescent="0.2">
      <c r="A42" s="12">
        <v>45614</v>
      </c>
      <c r="B42" s="13">
        <v>0.65150462962962963</v>
      </c>
      <c r="C42" s="7">
        <v>31307</v>
      </c>
      <c r="D42" s="7">
        <v>180</v>
      </c>
      <c r="E42" s="7">
        <f t="shared" si="0"/>
        <v>0.18</v>
      </c>
      <c r="F42" s="7">
        <v>100</v>
      </c>
      <c r="G42" s="7"/>
      <c r="H42" s="20">
        <f t="shared" si="4"/>
        <v>0</v>
      </c>
      <c r="I42" s="7"/>
      <c r="J42" s="7">
        <f t="shared" si="5"/>
        <v>-1.2307692307692308E-2</v>
      </c>
      <c r="K42" s="7"/>
      <c r="L42" s="7"/>
      <c r="M42" s="7"/>
      <c r="N42" s="7"/>
      <c r="O42" s="7">
        <v>31040</v>
      </c>
      <c r="P42" s="1">
        <f t="shared" si="1"/>
        <v>0.16271558403968811</v>
      </c>
      <c r="Q42" s="25">
        <f t="shared" si="2"/>
        <v>4.0897684812080115E-3</v>
      </c>
      <c r="R42" s="24">
        <f t="shared" si="3"/>
        <v>0.1328045344806128</v>
      </c>
      <c r="S42" s="20"/>
      <c r="T42" s="7"/>
      <c r="U42" s="7"/>
      <c r="V42" s="7"/>
      <c r="W42" s="7"/>
      <c r="X42" s="7"/>
      <c r="Y42" s="7"/>
      <c r="Z42" s="7"/>
      <c r="AA42" s="7"/>
    </row>
    <row r="43" spans="1:30" x14ac:dyDescent="0.2">
      <c r="A43" s="12">
        <v>45614</v>
      </c>
      <c r="B43" s="13">
        <v>0.65150462962962963</v>
      </c>
      <c r="C43" s="7">
        <v>31316</v>
      </c>
      <c r="D43" s="7">
        <v>180</v>
      </c>
      <c r="E43" s="7">
        <f t="shared" si="0"/>
        <v>0.18</v>
      </c>
      <c r="F43" s="7">
        <v>100</v>
      </c>
      <c r="G43" s="7"/>
      <c r="H43" s="20">
        <f t="shared" si="4"/>
        <v>7.6923076923076927E-2</v>
      </c>
      <c r="I43" s="7"/>
      <c r="J43" s="7">
        <f t="shared" si="5"/>
        <v>2.4813895781637717E-3</v>
      </c>
      <c r="K43" s="7"/>
      <c r="L43" s="7"/>
      <c r="M43" s="7"/>
      <c r="N43" s="7"/>
      <c r="O43" s="7">
        <v>31041</v>
      </c>
      <c r="P43" s="1">
        <f t="shared" si="1"/>
        <v>0.16271999478340149</v>
      </c>
      <c r="Q43" s="25">
        <f t="shared" si="2"/>
        <v>4.225013981340453E-3</v>
      </c>
      <c r="R43" s="24">
        <f t="shared" si="3"/>
        <v>0.13772890827823403</v>
      </c>
      <c r="S43" s="20"/>
      <c r="T43" s="7"/>
      <c r="U43" s="7"/>
      <c r="V43" s="7"/>
      <c r="W43" s="7"/>
      <c r="X43" s="7"/>
      <c r="Y43" s="7"/>
      <c r="Z43" s="7"/>
      <c r="AA43" s="7"/>
    </row>
    <row r="44" spans="1:30" x14ac:dyDescent="0.2">
      <c r="A44" s="12">
        <v>45614</v>
      </c>
      <c r="B44" s="13">
        <v>0.65150462962962963</v>
      </c>
      <c r="C44" s="7">
        <v>31346</v>
      </c>
      <c r="D44" s="7">
        <v>183</v>
      </c>
      <c r="E44" s="7">
        <f t="shared" si="0"/>
        <v>0.183</v>
      </c>
      <c r="F44" s="7">
        <v>100</v>
      </c>
      <c r="G44" s="7"/>
      <c r="H44" s="20">
        <f t="shared" si="4"/>
        <v>9.6774193548387094E-2</v>
      </c>
      <c r="I44" s="7"/>
      <c r="J44" s="7">
        <f t="shared" si="5"/>
        <v>5.0454921422663354E-3</v>
      </c>
      <c r="K44" s="7"/>
      <c r="L44" s="7"/>
      <c r="M44" s="7"/>
      <c r="N44" s="7"/>
      <c r="O44" s="7">
        <v>31042</v>
      </c>
      <c r="P44" s="1">
        <f t="shared" si="1"/>
        <v>0.16272333264350891</v>
      </c>
      <c r="Q44" s="25">
        <f t="shared" si="2"/>
        <v>4.3652653403114527E-3</v>
      </c>
      <c r="R44" s="24">
        <f t="shared" si="3"/>
        <v>0.14262360625849624</v>
      </c>
      <c r="S44" s="20"/>
      <c r="T44" s="7"/>
      <c r="U44" s="7"/>
      <c r="V44" s="7"/>
      <c r="W44" s="7"/>
      <c r="X44" s="7"/>
      <c r="Y44" s="7"/>
      <c r="Z44" s="7"/>
      <c r="AA44" s="7"/>
    </row>
    <row r="45" spans="1:30" x14ac:dyDescent="0.2">
      <c r="A45" s="12">
        <v>45614</v>
      </c>
      <c r="B45" s="13">
        <v>0.65150462962962963</v>
      </c>
      <c r="C45" s="7">
        <v>31347</v>
      </c>
      <c r="D45" s="7">
        <v>183</v>
      </c>
      <c r="E45" s="7">
        <f t="shared" si="0"/>
        <v>0.183</v>
      </c>
      <c r="F45" s="7">
        <v>100</v>
      </c>
      <c r="G45" s="7"/>
      <c r="H45" s="20">
        <f t="shared" si="4"/>
        <v>0.23333333333333334</v>
      </c>
      <c r="I45" s="7"/>
      <c r="J45" s="7">
        <f t="shared" si="5"/>
        <v>4.5519713261648748E-3</v>
      </c>
      <c r="K45" s="7"/>
      <c r="L45" s="7"/>
      <c r="M45" s="7"/>
      <c r="N45" s="7"/>
      <c r="O45" s="7">
        <v>31043</v>
      </c>
      <c r="P45" s="1">
        <f t="shared" si="1"/>
        <v>0.16272810101509094</v>
      </c>
      <c r="Q45" s="25">
        <f t="shared" si="2"/>
        <v>4.5102606236469001E-3</v>
      </c>
      <c r="R45" s="24">
        <f t="shared" si="3"/>
        <v>0.14748870125202984</v>
      </c>
      <c r="S45" s="20"/>
      <c r="T45" s="7"/>
      <c r="U45" s="7"/>
      <c r="V45" s="7"/>
      <c r="W45" s="7"/>
      <c r="X45" s="7"/>
      <c r="Y45" s="7"/>
      <c r="Z45" s="7"/>
      <c r="AA45" s="7"/>
    </row>
    <row r="46" spans="1:30" x14ac:dyDescent="0.2">
      <c r="A46" s="12">
        <v>45614</v>
      </c>
      <c r="B46" s="13">
        <v>0.65150462962962963</v>
      </c>
      <c r="C46" s="7">
        <v>31376</v>
      </c>
      <c r="D46" s="7">
        <v>190</v>
      </c>
      <c r="E46" s="7">
        <f t="shared" si="0"/>
        <v>0.19</v>
      </c>
      <c r="F46" s="7">
        <v>100</v>
      </c>
      <c r="G46" s="7"/>
      <c r="H46" s="20">
        <f t="shared" si="4"/>
        <v>0.23333333333333334</v>
      </c>
      <c r="I46" s="7"/>
      <c r="J46" s="7">
        <f t="shared" si="5"/>
        <v>1.5925925925925918E-3</v>
      </c>
      <c r="K46" s="7"/>
      <c r="L46" s="7"/>
      <c r="M46" s="7"/>
      <c r="N46" s="7"/>
      <c r="O46" s="7">
        <v>31044</v>
      </c>
      <c r="P46" s="1">
        <f t="shared" si="1"/>
        <v>0.16273251175880432</v>
      </c>
      <c r="Q46" s="25">
        <f t="shared" si="2"/>
        <v>4.6602326619904488E-3</v>
      </c>
      <c r="R46" s="24">
        <f t="shared" si="3"/>
        <v>0.15232429095846101</v>
      </c>
      <c r="S46" s="20"/>
      <c r="T46" s="7"/>
      <c r="U46" s="7"/>
      <c r="V46" s="7"/>
      <c r="W46" s="7"/>
      <c r="X46" s="7"/>
      <c r="Y46" s="7"/>
      <c r="Z46" s="7"/>
      <c r="AA46" s="7"/>
    </row>
    <row r="47" spans="1:30" x14ac:dyDescent="0.2">
      <c r="A47" s="12">
        <v>45614</v>
      </c>
      <c r="B47" s="13">
        <v>0.65150462962962963</v>
      </c>
      <c r="C47" s="7">
        <v>31377</v>
      </c>
      <c r="D47" s="7">
        <v>190</v>
      </c>
      <c r="E47" s="7">
        <f t="shared" si="0"/>
        <v>0.19</v>
      </c>
      <c r="F47" s="7">
        <v>100</v>
      </c>
      <c r="G47" s="7"/>
      <c r="H47" s="20">
        <f t="shared" si="4"/>
        <v>0.28111111111111109</v>
      </c>
      <c r="I47" s="7"/>
      <c r="J47" s="7">
        <f t="shared" si="5"/>
        <v>5.3086419753086394E-5</v>
      </c>
      <c r="K47" s="7"/>
      <c r="L47" s="7"/>
      <c r="M47" s="7"/>
      <c r="N47" s="7"/>
      <c r="O47" s="7">
        <v>31045</v>
      </c>
      <c r="P47" s="1">
        <f t="shared" si="1"/>
        <v>0.16273704171180725</v>
      </c>
      <c r="Q47" s="25">
        <f t="shared" si="2"/>
        <v>4.8149777285289019E-3</v>
      </c>
      <c r="R47" s="24">
        <f t="shared" si="3"/>
        <v>0.15713044820842015</v>
      </c>
      <c r="S47" s="20"/>
      <c r="T47" s="7"/>
      <c r="U47" s="7"/>
      <c r="V47" s="7"/>
      <c r="W47" s="7"/>
      <c r="X47" s="7"/>
      <c r="Y47" s="7"/>
      <c r="Z47" s="7"/>
      <c r="AA47" s="7"/>
    </row>
    <row r="48" spans="1:30" x14ac:dyDescent="0.2">
      <c r="A48" s="12">
        <v>45614</v>
      </c>
      <c r="B48" s="13">
        <v>0.65151620370370367</v>
      </c>
      <c r="C48" s="7">
        <v>32276</v>
      </c>
      <c r="D48" s="7">
        <v>443</v>
      </c>
      <c r="E48" s="7">
        <f t="shared" si="0"/>
        <v>0.443</v>
      </c>
      <c r="F48" s="7">
        <v>100</v>
      </c>
      <c r="G48" s="7"/>
      <c r="H48" s="20">
        <f t="shared" si="4"/>
        <v>0.28111111111111109</v>
      </c>
      <c r="I48" s="7"/>
      <c r="J48" s="7">
        <f t="shared" si="5"/>
        <v>1.1776184786937477E-4</v>
      </c>
      <c r="K48" s="7"/>
      <c r="L48" s="7"/>
      <c r="M48" s="7"/>
      <c r="N48" s="7"/>
      <c r="O48" s="7">
        <v>31046</v>
      </c>
      <c r="P48" s="1">
        <f t="shared" si="1"/>
        <v>0.16274228692054749</v>
      </c>
      <c r="Q48" s="25">
        <f t="shared" si="2"/>
        <v>4.9744376156013459E-3</v>
      </c>
      <c r="R48" s="24">
        <f t="shared" si="3"/>
        <v>0.16190726359610608</v>
      </c>
      <c r="S48" s="20"/>
      <c r="T48" s="7"/>
      <c r="U48" s="7"/>
      <c r="V48" s="7"/>
      <c r="W48" s="7"/>
      <c r="X48" s="7"/>
      <c r="Y48" s="7"/>
      <c r="Z48" s="7"/>
      <c r="AA48" s="7"/>
    </row>
    <row r="49" spans="1:27" x14ac:dyDescent="0.2">
      <c r="A49" s="12">
        <v>45614</v>
      </c>
      <c r="B49" s="13">
        <v>0.65151620370370367</v>
      </c>
      <c r="C49" s="7">
        <v>32277</v>
      </c>
      <c r="D49" s="7">
        <v>443</v>
      </c>
      <c r="E49" s="7">
        <f t="shared" si="0"/>
        <v>0.443</v>
      </c>
      <c r="F49" s="7">
        <v>100</v>
      </c>
      <c r="G49" s="7"/>
      <c r="H49" s="20">
        <f t="shared" si="4"/>
        <v>0.38709677419354838</v>
      </c>
      <c r="I49" s="7"/>
      <c r="J49" s="7">
        <f t="shared" si="5"/>
        <v>3.4188923574979772E-3</v>
      </c>
      <c r="K49" s="7"/>
      <c r="L49" s="7"/>
      <c r="M49" s="7"/>
      <c r="N49" s="7"/>
      <c r="O49" s="7">
        <v>31047</v>
      </c>
      <c r="P49" s="1">
        <f t="shared" si="1"/>
        <v>0.16274693608283997</v>
      </c>
      <c r="Q49" s="25">
        <f t="shared" si="2"/>
        <v>5.1387869461905211E-3</v>
      </c>
      <c r="R49" s="24">
        <f t="shared" si="3"/>
        <v>0.1666548188339334</v>
      </c>
      <c r="S49" s="20"/>
      <c r="T49" s="7"/>
      <c r="U49" s="7"/>
      <c r="V49" s="7"/>
      <c r="W49" s="7"/>
      <c r="X49" s="7"/>
      <c r="Y49" s="7"/>
      <c r="Z49" s="7"/>
      <c r="AA49" s="7"/>
    </row>
    <row r="50" spans="1:27" x14ac:dyDescent="0.2">
      <c r="A50" s="12">
        <v>45614</v>
      </c>
      <c r="B50" s="13">
        <v>0.65151620370370367</v>
      </c>
      <c r="C50" s="7">
        <v>32307</v>
      </c>
      <c r="D50" s="7">
        <v>455</v>
      </c>
      <c r="E50" s="7">
        <f t="shared" si="0"/>
        <v>0.45500000000000002</v>
      </c>
      <c r="F50" s="7">
        <v>100</v>
      </c>
      <c r="G50" s="7"/>
      <c r="H50" s="20">
        <f t="shared" si="4"/>
        <v>0.38709677419354838</v>
      </c>
      <c r="I50" s="7"/>
      <c r="J50" s="7">
        <f t="shared" si="5"/>
        <v>-6.0353798126951087E-3</v>
      </c>
      <c r="K50" s="7"/>
      <c r="L50" s="7"/>
      <c r="M50" s="7"/>
      <c r="N50" s="7"/>
      <c r="O50" s="7">
        <v>31048</v>
      </c>
      <c r="P50" s="1">
        <f t="shared" si="1"/>
        <v>0.1627526581287384</v>
      </c>
      <c r="Q50" s="25">
        <f t="shared" si="2"/>
        <v>5.3077928896527737E-3</v>
      </c>
      <c r="R50" s="24">
        <f t="shared" si="3"/>
        <v>0.17137319741067358</v>
      </c>
      <c r="S50" s="20"/>
      <c r="T50" s="7"/>
      <c r="U50" s="7"/>
      <c r="V50" s="7"/>
      <c r="W50" s="7"/>
      <c r="X50" s="7"/>
      <c r="Y50" s="7"/>
      <c r="Z50" s="7"/>
      <c r="AA50" s="7"/>
    </row>
    <row r="51" spans="1:27" x14ac:dyDescent="0.2">
      <c r="A51" s="12">
        <v>45614</v>
      </c>
      <c r="B51" s="13">
        <v>0.65151620370370367</v>
      </c>
      <c r="C51" s="7">
        <v>32308</v>
      </c>
      <c r="D51" s="7">
        <v>455</v>
      </c>
      <c r="E51" s="7">
        <f t="shared" si="0"/>
        <v>0.45500000000000002</v>
      </c>
      <c r="F51" s="7">
        <v>100</v>
      </c>
      <c r="G51" s="7"/>
      <c r="H51" s="20">
        <f t="shared" si="4"/>
        <v>0.2</v>
      </c>
      <c r="I51" s="7"/>
      <c r="J51" s="7">
        <f t="shared" si="5"/>
        <v>-6.2365591397849458E-3</v>
      </c>
      <c r="K51" s="7"/>
      <c r="L51" s="7"/>
      <c r="M51" s="7"/>
      <c r="N51" s="7"/>
      <c r="O51" s="7">
        <v>31049</v>
      </c>
      <c r="P51" s="1">
        <f t="shared" si="1"/>
        <v>0.16275838017463684</v>
      </c>
      <c r="Q51" s="25">
        <f t="shared" si="2"/>
        <v>5.4814845498185605E-3</v>
      </c>
      <c r="R51" s="24">
        <f t="shared" si="3"/>
        <v>0.17606248814416858</v>
      </c>
      <c r="S51" s="20"/>
      <c r="T51" s="7"/>
      <c r="U51" s="7"/>
      <c r="V51" s="7"/>
      <c r="W51" s="7"/>
      <c r="X51" s="7"/>
      <c r="Y51" s="7"/>
      <c r="Z51" s="7"/>
      <c r="AA51" s="7"/>
    </row>
    <row r="52" spans="1:27" x14ac:dyDescent="0.2">
      <c r="A52" s="12">
        <v>45614</v>
      </c>
      <c r="B52" s="13">
        <v>0.65151620370370367</v>
      </c>
      <c r="C52" s="7">
        <v>32337</v>
      </c>
      <c r="D52" s="7">
        <v>461</v>
      </c>
      <c r="E52" s="7">
        <f t="shared" si="0"/>
        <v>0.46100000000000002</v>
      </c>
      <c r="F52" s="7">
        <v>100</v>
      </c>
      <c r="G52" s="7"/>
      <c r="H52" s="20">
        <f t="shared" si="4"/>
        <v>0.2</v>
      </c>
      <c r="I52" s="7"/>
      <c r="J52" s="7">
        <f t="shared" si="5"/>
        <v>6.2365591397849458E-3</v>
      </c>
      <c r="K52" s="7"/>
      <c r="L52" s="7"/>
      <c r="M52" s="7"/>
      <c r="N52" s="7"/>
      <c r="O52" s="7">
        <v>31050</v>
      </c>
      <c r="P52" s="1">
        <f t="shared" si="1"/>
        <v>0.16276350617408752</v>
      </c>
      <c r="Q52" s="25">
        <f t="shared" si="2"/>
        <v>5.6598037190269679E-3</v>
      </c>
      <c r="R52" s="24">
        <f t="shared" si="3"/>
        <v>0.18072277097047618</v>
      </c>
      <c r="S52" s="20"/>
      <c r="T52" s="7"/>
      <c r="U52" s="7"/>
      <c r="V52" s="7"/>
      <c r="W52" s="7"/>
      <c r="X52" s="7"/>
      <c r="Y52" s="7"/>
      <c r="Z52" s="7"/>
      <c r="AA52" s="7"/>
    </row>
    <row r="53" spans="1:27" x14ac:dyDescent="0.2">
      <c r="A53" s="12">
        <v>45614</v>
      </c>
      <c r="B53" s="13">
        <v>0.65151620370370367</v>
      </c>
      <c r="C53" s="7">
        <v>32338</v>
      </c>
      <c r="D53" s="7">
        <v>461</v>
      </c>
      <c r="E53" s="7">
        <f t="shared" si="0"/>
        <v>0.46100000000000002</v>
      </c>
      <c r="F53" s="7">
        <v>100</v>
      </c>
      <c r="G53" s="7"/>
      <c r="H53" s="20">
        <f t="shared" si="4"/>
        <v>0.38709677419354838</v>
      </c>
      <c r="I53" s="7"/>
      <c r="J53" s="7">
        <f t="shared" si="5"/>
        <v>6.0353798126951087E-3</v>
      </c>
      <c r="K53" s="7"/>
      <c r="L53" s="7"/>
      <c r="M53" s="7"/>
      <c r="N53" s="7"/>
      <c r="O53" s="7">
        <v>31051</v>
      </c>
      <c r="P53" s="1">
        <f t="shared" si="1"/>
        <v>0.16276922821998596</v>
      </c>
      <c r="Q53" s="25">
        <f t="shared" si="2"/>
        <v>5.8429250202607363E-3</v>
      </c>
      <c r="R53" s="24">
        <f t="shared" si="3"/>
        <v>0.18535412937836782</v>
      </c>
      <c r="S53" s="20"/>
      <c r="T53" s="7"/>
      <c r="U53" s="7"/>
      <c r="V53" s="7"/>
      <c r="W53" s="7"/>
      <c r="X53" s="7"/>
      <c r="Y53" s="7"/>
      <c r="Z53" s="7"/>
      <c r="AA53" s="7"/>
    </row>
    <row r="54" spans="1:27" x14ac:dyDescent="0.2">
      <c r="A54" s="12">
        <v>45614</v>
      </c>
      <c r="B54" s="13">
        <v>0.65151620370370367</v>
      </c>
      <c r="C54" s="7">
        <v>32368</v>
      </c>
      <c r="D54" s="7">
        <v>473</v>
      </c>
      <c r="E54" s="7">
        <f t="shared" si="0"/>
        <v>0.47299999999999998</v>
      </c>
      <c r="F54" s="7">
        <v>100</v>
      </c>
      <c r="G54" s="7"/>
      <c r="H54" s="20">
        <f t="shared" si="4"/>
        <v>0.38709677419354838</v>
      </c>
      <c r="I54" s="7"/>
      <c r="J54" s="7">
        <f t="shared" si="5"/>
        <v>-1.2486992715920915E-2</v>
      </c>
      <c r="K54" s="7"/>
      <c r="L54" s="7"/>
      <c r="M54" s="7"/>
      <c r="N54" s="7"/>
      <c r="O54" s="7">
        <v>31052</v>
      </c>
      <c r="P54" s="1">
        <f t="shared" si="1"/>
        <v>0.1627754271030426</v>
      </c>
      <c r="Q54" s="25">
        <f t="shared" si="2"/>
        <v>6.0305574152152985E-3</v>
      </c>
      <c r="R54" s="24">
        <f t="shared" si="3"/>
        <v>0.18995664863297179</v>
      </c>
      <c r="S54" s="20"/>
      <c r="T54" s="7"/>
      <c r="U54" s="7"/>
      <c r="V54" s="7"/>
      <c r="W54" s="7"/>
      <c r="X54" s="7"/>
      <c r="Y54" s="7"/>
      <c r="Z54" s="7"/>
      <c r="AA54" s="7"/>
    </row>
    <row r="55" spans="1:27" x14ac:dyDescent="0.2">
      <c r="A55" s="12">
        <v>45614</v>
      </c>
      <c r="B55" s="13">
        <v>0.65151620370370367</v>
      </c>
      <c r="C55" s="7">
        <v>32369</v>
      </c>
      <c r="D55" s="7">
        <v>473</v>
      </c>
      <c r="E55" s="7">
        <f t="shared" si="0"/>
        <v>0.47299999999999998</v>
      </c>
      <c r="F55" s="7">
        <v>100</v>
      </c>
      <c r="G55" s="7"/>
      <c r="H55" s="20">
        <f t="shared" si="4"/>
        <v>0</v>
      </c>
      <c r="I55" s="7"/>
      <c r="J55" s="7">
        <f t="shared" si="5"/>
        <v>-2.3325062034739451E-2</v>
      </c>
      <c r="K55" s="7"/>
      <c r="L55" s="7"/>
      <c r="M55" s="7"/>
      <c r="N55" s="7"/>
      <c r="O55" s="7">
        <v>31053</v>
      </c>
      <c r="P55" s="1">
        <f t="shared" si="1"/>
        <v>0.16278126835823059</v>
      </c>
      <c r="Q55" s="25">
        <f t="shared" si="2"/>
        <v>6.2228173192124814E-3</v>
      </c>
      <c r="R55" s="24">
        <f t="shared" si="3"/>
        <v>0.19453041222305956</v>
      </c>
      <c r="S55" s="20"/>
      <c r="T55" s="7"/>
      <c r="U55" s="7"/>
      <c r="V55" s="7"/>
      <c r="W55" s="7"/>
      <c r="X55" s="7"/>
      <c r="Y55" s="7"/>
      <c r="Z55" s="7"/>
      <c r="AA55" s="7"/>
    </row>
    <row r="56" spans="1:27" x14ac:dyDescent="0.2">
      <c r="A56" s="12">
        <v>45614</v>
      </c>
      <c r="B56" s="13">
        <v>0.65151620370370367</v>
      </c>
      <c r="C56" s="7">
        <v>32378</v>
      </c>
      <c r="D56" s="7">
        <v>473</v>
      </c>
      <c r="E56" s="7">
        <f t="shared" si="0"/>
        <v>0.47299999999999998</v>
      </c>
      <c r="F56" s="7">
        <v>100</v>
      </c>
      <c r="G56" s="7"/>
      <c r="H56" s="20">
        <f t="shared" si="4"/>
        <v>0.15384615384615385</v>
      </c>
      <c r="I56" s="7"/>
      <c r="J56" s="7">
        <f t="shared" si="5"/>
        <v>4.9627791563275434E-3</v>
      </c>
      <c r="K56" s="7"/>
      <c r="L56" s="7"/>
      <c r="M56" s="7"/>
      <c r="N56" s="7"/>
      <c r="O56" s="7">
        <v>31054</v>
      </c>
      <c r="P56" s="1">
        <f t="shared" si="1"/>
        <v>0.16278722882270813</v>
      </c>
      <c r="Q56" s="25">
        <f t="shared" si="2"/>
        <v>6.4196174207609147E-3</v>
      </c>
      <c r="R56" s="24">
        <f t="shared" si="3"/>
        <v>0.1990755054137594</v>
      </c>
      <c r="S56" s="20"/>
      <c r="T56" s="7"/>
      <c r="U56" s="7"/>
      <c r="V56" s="7"/>
      <c r="W56" s="7"/>
      <c r="X56" s="7"/>
      <c r="Y56" s="7"/>
      <c r="Z56" s="7"/>
      <c r="AA56" s="7"/>
    </row>
    <row r="57" spans="1:27" x14ac:dyDescent="0.2">
      <c r="A57" s="12">
        <v>45614</v>
      </c>
      <c r="B57" s="13">
        <v>0.65151620370370367</v>
      </c>
      <c r="C57" s="7">
        <v>32408</v>
      </c>
      <c r="D57" s="7">
        <v>479</v>
      </c>
      <c r="E57" s="7">
        <f t="shared" si="0"/>
        <v>0.47899999999999998</v>
      </c>
      <c r="F57" s="7">
        <v>100</v>
      </c>
      <c r="G57" s="7"/>
      <c r="H57" s="20">
        <f t="shared" si="4"/>
        <v>0.19354838709677419</v>
      </c>
      <c r="I57" s="7"/>
      <c r="J57" s="7">
        <f t="shared" si="5"/>
        <v>6.48363083326663E-3</v>
      </c>
      <c r="K57" s="7"/>
      <c r="L57" s="7"/>
      <c r="M57" s="7"/>
      <c r="N57" s="7"/>
      <c r="O57" s="7">
        <v>31055</v>
      </c>
      <c r="P57" s="1">
        <f t="shared" si="1"/>
        <v>0.16279414296150208</v>
      </c>
      <c r="Q57" s="25">
        <f t="shared" si="2"/>
        <v>6.6209868236910552E-3</v>
      </c>
      <c r="R57" s="24">
        <f t="shared" si="3"/>
        <v>0.20359200991748594</v>
      </c>
      <c r="S57" s="20"/>
      <c r="T57" s="7"/>
      <c r="U57" s="7"/>
      <c r="V57" s="7"/>
      <c r="W57" s="7"/>
      <c r="X57" s="7"/>
      <c r="Y57" s="7"/>
      <c r="Z57" s="7"/>
      <c r="AA57" s="7"/>
    </row>
    <row r="58" spans="1:27" x14ac:dyDescent="0.2">
      <c r="A58" s="12">
        <v>45614</v>
      </c>
      <c r="B58" s="13">
        <v>0.65151620370370367</v>
      </c>
      <c r="C58" s="7">
        <v>32409</v>
      </c>
      <c r="D58" s="7">
        <v>479</v>
      </c>
      <c r="E58" s="7">
        <f t="shared" si="0"/>
        <v>0.47899999999999998</v>
      </c>
      <c r="F58" s="7">
        <v>100</v>
      </c>
      <c r="G58" s="7"/>
      <c r="H58" s="20">
        <f t="shared" si="4"/>
        <v>0.35483870967741937</v>
      </c>
      <c r="I58" s="7"/>
      <c r="J58" s="7">
        <f t="shared" si="5"/>
        <v>5.2029136316337158E-3</v>
      </c>
      <c r="K58" s="7"/>
      <c r="L58" s="7"/>
      <c r="M58" s="7"/>
      <c r="N58" s="7"/>
      <c r="O58" s="7">
        <v>31056</v>
      </c>
      <c r="P58" s="1">
        <f t="shared" si="1"/>
        <v>0.16280046105384827</v>
      </c>
      <c r="Q58" s="25">
        <f t="shared" si="2"/>
        <v>6.8268673203419894E-3</v>
      </c>
      <c r="R58" s="24">
        <f t="shared" si="3"/>
        <v>0.20808000922301062</v>
      </c>
      <c r="S58" s="20"/>
      <c r="T58" s="7"/>
      <c r="U58" s="7"/>
      <c r="V58" s="7"/>
      <c r="W58" s="7"/>
      <c r="X58" s="7"/>
      <c r="Y58" s="7"/>
      <c r="Z58" s="7"/>
      <c r="AA58" s="7"/>
    </row>
    <row r="59" spans="1:27" x14ac:dyDescent="0.2">
      <c r="A59" s="12">
        <v>45614</v>
      </c>
      <c r="B59" s="13">
        <v>0.65151620370370367</v>
      </c>
      <c r="C59" s="7">
        <v>32439</v>
      </c>
      <c r="D59" s="7">
        <v>490</v>
      </c>
      <c r="E59" s="7">
        <f t="shared" si="0"/>
        <v>0.49</v>
      </c>
      <c r="F59" s="7">
        <v>50</v>
      </c>
      <c r="G59" s="7"/>
      <c r="H59" s="20">
        <f t="shared" si="4"/>
        <v>0.35483870967741937</v>
      </c>
      <c r="I59" s="7"/>
      <c r="J59" s="7">
        <f t="shared" si="5"/>
        <v>-6.0700659035726684E-3</v>
      </c>
      <c r="K59" s="7"/>
      <c r="L59" s="7"/>
      <c r="M59" s="7"/>
      <c r="N59" s="7"/>
      <c r="O59" s="7">
        <v>31057</v>
      </c>
      <c r="P59" s="1">
        <f t="shared" si="1"/>
        <v>0.16280761361122131</v>
      </c>
      <c r="Q59" s="25">
        <f t="shared" si="2"/>
        <v>7.0370842877309769E-3</v>
      </c>
      <c r="R59" s="24">
        <f t="shared" si="3"/>
        <v>0.21253958326639122</v>
      </c>
      <c r="S59" s="20"/>
      <c r="T59" s="7"/>
      <c r="U59" s="7"/>
      <c r="V59" s="7"/>
      <c r="W59" s="7"/>
      <c r="X59" s="7"/>
      <c r="Y59" s="7"/>
      <c r="Z59" s="7"/>
      <c r="AA59" s="7"/>
    </row>
    <row r="60" spans="1:27" x14ac:dyDescent="0.2">
      <c r="A60" s="12">
        <v>45614</v>
      </c>
      <c r="B60" s="13">
        <v>0.65151620370370367</v>
      </c>
      <c r="C60" s="7">
        <v>32440</v>
      </c>
      <c r="D60" s="7">
        <v>490</v>
      </c>
      <c r="E60" s="7">
        <f t="shared" si="0"/>
        <v>0.49</v>
      </c>
      <c r="F60" s="7">
        <v>50</v>
      </c>
      <c r="G60" s="7"/>
      <c r="H60" s="20">
        <f t="shared" si="4"/>
        <v>0.16666666666666666</v>
      </c>
      <c r="I60" s="7"/>
      <c r="J60" s="7">
        <f t="shared" si="5"/>
        <v>-6.2724014336917574E-3</v>
      </c>
      <c r="K60" s="7"/>
      <c r="L60" s="7"/>
      <c r="M60" s="7"/>
      <c r="N60" s="7"/>
      <c r="O60" s="7">
        <v>31058</v>
      </c>
      <c r="P60" s="1">
        <f t="shared" si="1"/>
        <v>0.16281500458717346</v>
      </c>
      <c r="Q60" s="25">
        <f t="shared" si="2"/>
        <v>7.2518705565016717E-3</v>
      </c>
      <c r="R60" s="24">
        <f t="shared" si="3"/>
        <v>0.21697081908911287</v>
      </c>
      <c r="S60" s="20"/>
      <c r="T60" s="7"/>
      <c r="U60" s="7"/>
      <c r="V60" s="7"/>
      <c r="W60" s="7"/>
      <c r="X60" s="7"/>
      <c r="Y60" s="7"/>
      <c r="Z60" s="7"/>
      <c r="AA60" s="7"/>
    </row>
    <row r="61" spans="1:27" x14ac:dyDescent="0.2">
      <c r="A61" s="12">
        <v>45614</v>
      </c>
      <c r="B61" s="13">
        <v>0.65151620370370367</v>
      </c>
      <c r="C61" s="7">
        <v>32469</v>
      </c>
      <c r="D61" s="7">
        <v>495</v>
      </c>
      <c r="E61" s="7">
        <f t="shared" si="0"/>
        <v>0.495</v>
      </c>
      <c r="F61" s="7">
        <v>50</v>
      </c>
      <c r="G61" s="7"/>
      <c r="H61" s="20">
        <f t="shared" si="4"/>
        <v>0.16666666666666666</v>
      </c>
      <c r="I61" s="7"/>
      <c r="J61" s="7">
        <f t="shared" si="5"/>
        <v>-5.5555555555555549E-3</v>
      </c>
      <c r="K61" s="7"/>
      <c r="L61" s="7"/>
      <c r="M61" s="7"/>
      <c r="N61" s="7"/>
      <c r="O61" s="7">
        <v>31059</v>
      </c>
      <c r="P61" s="1">
        <f t="shared" si="1"/>
        <v>0.16282251477241516</v>
      </c>
      <c r="Q61" s="25">
        <f t="shared" si="2"/>
        <v>7.4710515036713332E-3</v>
      </c>
      <c r="R61" s="24">
        <f t="shared" si="3"/>
        <v>0.22137379485087649</v>
      </c>
      <c r="S61" s="20"/>
      <c r="T61" s="7"/>
      <c r="U61" s="7"/>
      <c r="V61" s="7"/>
      <c r="W61" s="7"/>
      <c r="X61" s="7"/>
      <c r="Y61" s="7"/>
      <c r="Z61" s="7"/>
      <c r="AA61" s="7"/>
    </row>
    <row r="62" spans="1:27" x14ac:dyDescent="0.2">
      <c r="A62" s="12">
        <v>45614</v>
      </c>
      <c r="B62" s="13">
        <v>0.65151620370370367</v>
      </c>
      <c r="C62" s="7">
        <v>32470</v>
      </c>
      <c r="D62" s="7">
        <v>495</v>
      </c>
      <c r="E62" s="7">
        <f t="shared" si="0"/>
        <v>0.495</v>
      </c>
      <c r="F62" s="7">
        <v>50</v>
      </c>
      <c r="G62" s="7"/>
      <c r="H62" s="20">
        <f t="shared" si="4"/>
        <v>0</v>
      </c>
      <c r="I62" s="7"/>
      <c r="J62" s="7">
        <f t="shared" si="5"/>
        <v>6.4102564102564126E-3</v>
      </c>
      <c r="K62" s="7"/>
      <c r="L62" s="7"/>
      <c r="M62" s="7"/>
      <c r="N62" s="7"/>
      <c r="O62" s="7">
        <v>31060</v>
      </c>
      <c r="P62" s="1">
        <f t="shared" si="1"/>
        <v>0.16282990574836731</v>
      </c>
      <c r="Q62" s="25">
        <f t="shared" si="2"/>
        <v>7.6945980254095048E-3</v>
      </c>
      <c r="R62" s="24">
        <f t="shared" si="3"/>
        <v>0.22574860114588091</v>
      </c>
      <c r="S62" s="20"/>
      <c r="T62" s="7"/>
      <c r="U62" s="7"/>
      <c r="V62" s="7"/>
      <c r="W62" s="7"/>
      <c r="X62" s="7"/>
      <c r="Y62" s="7"/>
      <c r="Z62" s="7"/>
      <c r="AA62" s="7"/>
    </row>
    <row r="63" spans="1:27" x14ac:dyDescent="0.2">
      <c r="A63" s="12">
        <v>45614</v>
      </c>
      <c r="B63" s="13">
        <v>0.65151620370370367</v>
      </c>
      <c r="C63" s="7">
        <v>32479</v>
      </c>
      <c r="D63" s="7">
        <v>495</v>
      </c>
      <c r="E63" s="7">
        <f t="shared" si="0"/>
        <v>0.495</v>
      </c>
      <c r="F63" s="7">
        <v>50</v>
      </c>
      <c r="G63" s="7"/>
      <c r="H63" s="20">
        <f t="shared" si="4"/>
        <v>0.23076923076923078</v>
      </c>
      <c r="I63" s="7"/>
      <c r="J63" s="7">
        <f t="shared" si="5"/>
        <v>7.444168734491316E-3</v>
      </c>
      <c r="K63" s="7"/>
      <c r="L63" s="7"/>
      <c r="M63" s="7"/>
      <c r="N63" s="7"/>
      <c r="O63" s="7">
        <v>31061</v>
      </c>
      <c r="P63" s="1">
        <f t="shared" si="1"/>
        <v>0.16283777356147766</v>
      </c>
      <c r="Q63" s="25">
        <f t="shared" si="2"/>
        <v>7.9225392255466431E-3</v>
      </c>
      <c r="R63" s="24">
        <f t="shared" si="3"/>
        <v>0.23009531435747022</v>
      </c>
      <c r="S63" s="20"/>
      <c r="T63" s="7"/>
      <c r="U63" s="7"/>
      <c r="V63" s="7"/>
      <c r="W63" s="7"/>
      <c r="X63" s="7"/>
      <c r="Y63" s="7"/>
      <c r="Z63" s="7"/>
      <c r="AA63" s="7"/>
    </row>
    <row r="64" spans="1:27" x14ac:dyDescent="0.2">
      <c r="A64" s="12">
        <v>45614</v>
      </c>
      <c r="B64" s="13">
        <v>0.65151620370370367</v>
      </c>
      <c r="C64" s="7">
        <v>32509</v>
      </c>
      <c r="D64" s="7">
        <v>504</v>
      </c>
      <c r="E64" s="7">
        <f t="shared" si="0"/>
        <v>0.504</v>
      </c>
      <c r="F64" s="7">
        <v>50</v>
      </c>
      <c r="G64" s="7"/>
      <c r="H64" s="20">
        <f t="shared" si="4"/>
        <v>0.29032258064516131</v>
      </c>
      <c r="I64" s="7"/>
      <c r="J64" s="7">
        <f t="shared" si="5"/>
        <v>-9.9255583126550868E-4</v>
      </c>
      <c r="K64" s="7"/>
      <c r="L64" s="7"/>
      <c r="M64" s="7"/>
      <c r="N64" s="7"/>
      <c r="O64" s="7">
        <v>31062</v>
      </c>
      <c r="P64" s="1">
        <f t="shared" si="1"/>
        <v>0.16284576058387756</v>
      </c>
      <c r="Q64" s="25">
        <f t="shared" si="2"/>
        <v>8.1547586887609214E-3</v>
      </c>
      <c r="R64" s="24">
        <f t="shared" si="3"/>
        <v>0.23441401797441586</v>
      </c>
      <c r="S64" s="20"/>
      <c r="T64" s="7"/>
      <c r="U64" s="7"/>
      <c r="V64" s="7"/>
      <c r="W64" s="7"/>
      <c r="X64" s="7"/>
      <c r="Y64" s="7"/>
      <c r="Z64" s="7"/>
      <c r="AA64" s="7"/>
    </row>
    <row r="65" spans="1:27" x14ac:dyDescent="0.2">
      <c r="A65" s="12">
        <v>45614</v>
      </c>
      <c r="B65" s="13">
        <v>0.65151620370370367</v>
      </c>
      <c r="C65" s="7">
        <v>32510</v>
      </c>
      <c r="D65" s="7">
        <v>504</v>
      </c>
      <c r="E65" s="7">
        <f t="shared" si="0"/>
        <v>0.504</v>
      </c>
      <c r="F65" s="7">
        <v>50</v>
      </c>
      <c r="G65" s="7"/>
      <c r="H65" s="20">
        <f t="shared" si="4"/>
        <v>0.2</v>
      </c>
      <c r="I65" s="7"/>
      <c r="J65" s="7">
        <f t="shared" si="5"/>
        <v>-3.0107526881720434E-3</v>
      </c>
      <c r="K65" s="7"/>
      <c r="L65" s="7"/>
      <c r="M65" s="7"/>
      <c r="N65" s="7"/>
      <c r="O65" s="7">
        <v>31063</v>
      </c>
      <c r="P65" s="1">
        <f t="shared" si="1"/>
        <v>0.16285386681556702</v>
      </c>
      <c r="Q65" s="25">
        <f t="shared" si="2"/>
        <v>8.3913146227132529E-3</v>
      </c>
      <c r="R65" s="24">
        <f t="shared" si="3"/>
        <v>0.23870479903820296</v>
      </c>
      <c r="S65" s="20"/>
      <c r="T65" s="7"/>
      <c r="U65" s="7"/>
      <c r="V65" s="7"/>
      <c r="W65" s="7"/>
      <c r="X65" s="7"/>
      <c r="Y65" s="7"/>
      <c r="Z65" s="7"/>
      <c r="AA65" s="7"/>
    </row>
    <row r="66" spans="1:27" x14ac:dyDescent="0.2">
      <c r="A66" s="12">
        <v>45614</v>
      </c>
      <c r="B66" s="13">
        <v>0.65151620370370367</v>
      </c>
      <c r="C66" s="7">
        <v>32539</v>
      </c>
      <c r="D66" s="7">
        <v>510</v>
      </c>
      <c r="E66" s="7">
        <f t="shared" si="0"/>
        <v>0.51</v>
      </c>
      <c r="F66" s="7">
        <v>50</v>
      </c>
      <c r="G66" s="7"/>
      <c r="H66" s="20">
        <f t="shared" si="4"/>
        <v>0.2</v>
      </c>
      <c r="I66" s="7"/>
      <c r="J66" s="7">
        <f t="shared" si="5"/>
        <v>3.0107526881720434E-3</v>
      </c>
      <c r="K66" s="7"/>
      <c r="L66" s="7"/>
      <c r="M66" s="7"/>
      <c r="N66" s="7"/>
      <c r="O66" s="7">
        <v>31064</v>
      </c>
      <c r="P66" s="1">
        <f t="shared" si="1"/>
        <v>0.16286268830299377</v>
      </c>
      <c r="Q66" s="25">
        <f t="shared" si="2"/>
        <v>8.6322361312340945E-3</v>
      </c>
      <c r="R66" s="24">
        <f t="shared" si="3"/>
        <v>0.24296773748488931</v>
      </c>
      <c r="S66" s="20"/>
      <c r="T66" s="7"/>
      <c r="U66" s="7"/>
      <c r="V66" s="7"/>
      <c r="W66" s="7"/>
      <c r="X66" s="7"/>
      <c r="Y66" s="7"/>
      <c r="Z66" s="7"/>
      <c r="AA66" s="7"/>
    </row>
    <row r="67" spans="1:27" x14ac:dyDescent="0.2">
      <c r="A67" s="12">
        <v>45614</v>
      </c>
      <c r="B67" s="13">
        <v>0.65151620370370367</v>
      </c>
      <c r="C67" s="7">
        <v>32540</v>
      </c>
      <c r="D67" s="7">
        <v>510</v>
      </c>
      <c r="E67" s="7">
        <f t="shared" ref="E67:E125" si="6">D67/1000</f>
        <v>0.51</v>
      </c>
      <c r="F67" s="7">
        <v>50</v>
      </c>
      <c r="G67" s="7"/>
      <c r="H67" s="20">
        <f t="shared" si="4"/>
        <v>0.29032258064516131</v>
      </c>
      <c r="I67" s="7"/>
      <c r="J67" s="7">
        <f t="shared" si="5"/>
        <v>2.9136316337148808E-3</v>
      </c>
      <c r="K67" s="7"/>
      <c r="L67" s="7"/>
      <c r="M67" s="7"/>
      <c r="N67" s="7"/>
      <c r="O67" s="7">
        <v>31065</v>
      </c>
      <c r="P67" s="1">
        <f t="shared" si="1"/>
        <v>0.16287115216255188</v>
      </c>
      <c r="Q67" s="25">
        <f t="shared" si="2"/>
        <v>8.8772903836797923E-3</v>
      </c>
      <c r="R67" s="24">
        <f t="shared" si="3"/>
        <v>0.24720291325053267</v>
      </c>
      <c r="S67" s="20"/>
      <c r="T67" s="7"/>
      <c r="U67" s="7"/>
      <c r="V67" s="7"/>
      <c r="W67" s="7"/>
      <c r="X67" s="7"/>
      <c r="Y67" s="7"/>
      <c r="Z67" s="7"/>
      <c r="AA67" s="7"/>
    </row>
    <row r="68" spans="1:27" x14ac:dyDescent="0.2">
      <c r="A68" s="12">
        <v>45614</v>
      </c>
      <c r="B68" s="13">
        <v>0.65151620370370367</v>
      </c>
      <c r="C68" s="7">
        <v>32570</v>
      </c>
      <c r="D68" s="7">
        <v>519</v>
      </c>
      <c r="E68" s="7">
        <f t="shared" si="6"/>
        <v>0.51900000000000002</v>
      </c>
      <c r="F68" s="7">
        <v>50</v>
      </c>
      <c r="G68" s="7"/>
      <c r="H68" s="20">
        <f t="shared" si="4"/>
        <v>0.29032258064516131</v>
      </c>
      <c r="I68" s="7"/>
      <c r="J68" s="7">
        <f t="shared" si="5"/>
        <v>-2.9136316337148808E-3</v>
      </c>
      <c r="K68" s="7"/>
      <c r="L68" s="7"/>
      <c r="M68" s="7"/>
      <c r="N68" s="7"/>
      <c r="O68" s="7">
        <v>31066</v>
      </c>
      <c r="P68" s="1">
        <f t="shared" si="1"/>
        <v>0.16288045048713684</v>
      </c>
      <c r="Q68" s="25">
        <f t="shared" si="2"/>
        <v>9.1265646915417165E-3</v>
      </c>
      <c r="R68" s="24">
        <f t="shared" si="3"/>
        <v>0.2514104098239045</v>
      </c>
      <c r="S68" s="20"/>
      <c r="T68" s="7"/>
      <c r="U68" s="7"/>
      <c r="V68" s="7"/>
      <c r="W68" s="7"/>
      <c r="X68" s="7"/>
      <c r="Y68" s="7"/>
      <c r="Z68" s="7"/>
      <c r="AA68" s="7"/>
    </row>
    <row r="69" spans="1:27" x14ac:dyDescent="0.2">
      <c r="A69" s="12">
        <v>45614</v>
      </c>
      <c r="B69" s="13">
        <v>0.65151620370370367</v>
      </c>
      <c r="C69" s="7">
        <v>32571</v>
      </c>
      <c r="D69" s="7">
        <v>519</v>
      </c>
      <c r="E69" s="7">
        <f t="shared" si="6"/>
        <v>0.51900000000000002</v>
      </c>
      <c r="F69" s="7">
        <v>50</v>
      </c>
      <c r="G69" s="7"/>
      <c r="H69" s="20">
        <f t="shared" si="4"/>
        <v>0.2</v>
      </c>
      <c r="I69" s="7"/>
      <c r="J69" s="7">
        <f t="shared" si="5"/>
        <v>-3.0107526881720434E-3</v>
      </c>
      <c r="K69" s="7"/>
      <c r="L69" s="7"/>
      <c r="M69" s="7"/>
      <c r="N69" s="7"/>
      <c r="O69" s="7">
        <v>31067</v>
      </c>
      <c r="P69" s="1">
        <f t="shared" si="1"/>
        <v>0.1628892719745636</v>
      </c>
      <c r="Q69" s="25">
        <f t="shared" si="2"/>
        <v>9.3800881586503237E-3</v>
      </c>
      <c r="R69" s="24">
        <f t="shared" si="3"/>
        <v>0.25559031069377625</v>
      </c>
      <c r="S69" s="20"/>
      <c r="T69" s="7"/>
      <c r="U69" s="7"/>
      <c r="V69" s="7"/>
      <c r="W69" s="7"/>
      <c r="X69" s="7"/>
      <c r="Y69" s="7"/>
      <c r="Z69" s="7"/>
      <c r="AA69" s="7"/>
    </row>
    <row r="70" spans="1:27" x14ac:dyDescent="0.2">
      <c r="A70" s="12">
        <v>45614</v>
      </c>
      <c r="B70" s="13">
        <v>0.65151620370370367</v>
      </c>
      <c r="C70" s="7">
        <v>32600</v>
      </c>
      <c r="D70" s="7">
        <v>525</v>
      </c>
      <c r="E70" s="7">
        <f t="shared" si="6"/>
        <v>0.52500000000000002</v>
      </c>
      <c r="F70" s="7">
        <v>50</v>
      </c>
      <c r="G70" s="7"/>
      <c r="H70" s="20">
        <f t="shared" si="4"/>
        <v>0.2</v>
      </c>
      <c r="I70" s="7"/>
      <c r="J70" s="7">
        <f t="shared" si="5"/>
        <v>-6.6666666666666671E-3</v>
      </c>
      <c r="K70" s="7"/>
      <c r="L70" s="7"/>
      <c r="M70" s="7"/>
      <c r="N70" s="7"/>
      <c r="O70" s="7">
        <v>31068</v>
      </c>
      <c r="P70" s="1">
        <f t="shared" si="1"/>
        <v>0.16289868950843811</v>
      </c>
      <c r="Q70" s="25">
        <f t="shared" si="2"/>
        <v>9.637773473514244E-3</v>
      </c>
      <c r="R70" s="24">
        <f t="shared" si="3"/>
        <v>0.25974269579620568</v>
      </c>
      <c r="S70" s="20"/>
      <c r="T70" s="7"/>
      <c r="U70" s="7"/>
      <c r="V70" s="7"/>
      <c r="W70" s="7"/>
      <c r="X70" s="7"/>
      <c r="Y70" s="7"/>
      <c r="Z70" s="7"/>
      <c r="AA70" s="7"/>
    </row>
    <row r="71" spans="1:27" x14ac:dyDescent="0.2">
      <c r="A71" s="12">
        <v>45614</v>
      </c>
      <c r="B71" s="13">
        <v>0.65151620370370367</v>
      </c>
      <c r="C71" s="7">
        <v>32601</v>
      </c>
      <c r="D71" s="7">
        <v>525</v>
      </c>
      <c r="E71" s="7">
        <f t="shared" si="6"/>
        <v>0.52500000000000002</v>
      </c>
      <c r="F71" s="7">
        <v>50</v>
      </c>
      <c r="G71" s="7"/>
      <c r="H71" s="20">
        <f t="shared" si="4"/>
        <v>0</v>
      </c>
      <c r="I71" s="7"/>
      <c r="J71" s="7">
        <f t="shared" si="5"/>
        <v>-2.2727272727272748E-3</v>
      </c>
      <c r="K71" s="7"/>
      <c r="L71" s="7"/>
      <c r="M71" s="7"/>
      <c r="N71" s="7"/>
      <c r="O71" s="7">
        <v>31069</v>
      </c>
      <c r="P71" s="1">
        <f t="shared" si="1"/>
        <v>0.16290917992591858</v>
      </c>
      <c r="Q71" s="25">
        <f t="shared" si="2"/>
        <v>9.8995915323030204E-3</v>
      </c>
      <c r="R71" s="24">
        <f t="shared" si="3"/>
        <v>0.26386765217267794</v>
      </c>
      <c r="S71" s="20"/>
      <c r="T71" s="7"/>
      <c r="U71" s="7"/>
      <c r="V71" s="7"/>
      <c r="W71" s="7"/>
      <c r="X71" s="7"/>
      <c r="Y71" s="7"/>
      <c r="Z71" s="7"/>
      <c r="AA71" s="7"/>
    </row>
    <row r="72" spans="1:27" x14ac:dyDescent="0.2">
      <c r="A72" s="12">
        <v>45614</v>
      </c>
      <c r="B72" s="13">
        <v>0.65151620370370367</v>
      </c>
      <c r="C72" s="7">
        <v>32611</v>
      </c>
      <c r="D72" s="7">
        <v>525</v>
      </c>
      <c r="E72" s="7">
        <f t="shared" si="6"/>
        <v>0.52500000000000002</v>
      </c>
      <c r="F72" s="7">
        <v>50</v>
      </c>
      <c r="G72" s="7"/>
      <c r="H72" s="20">
        <f t="shared" si="4"/>
        <v>0.17499999999999999</v>
      </c>
      <c r="I72" s="7"/>
      <c r="J72" s="7">
        <f t="shared" si="5"/>
        <v>5.6451612903225803E-3</v>
      </c>
      <c r="K72" s="7"/>
      <c r="L72" s="7"/>
      <c r="M72" s="7"/>
      <c r="N72" s="7"/>
      <c r="O72" s="7">
        <v>31070</v>
      </c>
      <c r="P72" s="1">
        <f t="shared" si="1"/>
        <v>0.16291919350624084</v>
      </c>
      <c r="Q72" s="25">
        <f t="shared" si="2"/>
        <v>1.0165484127355739E-2</v>
      </c>
      <c r="R72" s="24">
        <f t="shared" si="3"/>
        <v>0.26796525265382343</v>
      </c>
      <c r="S72" s="20"/>
      <c r="T72" s="7"/>
      <c r="U72" s="7"/>
      <c r="V72" s="7"/>
      <c r="W72" s="7"/>
      <c r="X72" s="7"/>
      <c r="Y72" s="7"/>
      <c r="Z72" s="7"/>
      <c r="AA72" s="7"/>
    </row>
    <row r="73" spans="1:27" x14ac:dyDescent="0.2">
      <c r="A73" s="12">
        <v>45614</v>
      </c>
      <c r="B73" s="13">
        <v>0.65151620370370367</v>
      </c>
      <c r="C73" s="7">
        <v>32641</v>
      </c>
      <c r="D73" s="7">
        <v>532</v>
      </c>
      <c r="E73" s="7">
        <f t="shared" si="6"/>
        <v>0.53200000000000003</v>
      </c>
      <c r="F73" s="7">
        <v>50</v>
      </c>
      <c r="G73" s="7"/>
      <c r="H73" s="20">
        <f t="shared" si="4"/>
        <v>0.22580645161290322</v>
      </c>
      <c r="I73" s="7"/>
      <c r="J73" s="7">
        <f t="shared" si="5"/>
        <v>-2.6881720430107521E-4</v>
      </c>
      <c r="K73" s="7"/>
      <c r="L73" s="7"/>
      <c r="M73" s="7"/>
      <c r="N73" s="7"/>
      <c r="O73" s="7">
        <v>31071</v>
      </c>
      <c r="P73" s="1">
        <f t="shared" si="1"/>
        <v>0.16292908787727356</v>
      </c>
      <c r="Q73" s="25">
        <f t="shared" si="2"/>
        <v>1.0435451258672401E-2</v>
      </c>
      <c r="R73" s="24">
        <f t="shared" si="3"/>
        <v>0.27203558783384096</v>
      </c>
      <c r="S73" s="20"/>
      <c r="T73" s="7"/>
      <c r="U73" s="7"/>
      <c r="V73" s="7"/>
      <c r="W73" s="7"/>
      <c r="X73" s="7"/>
      <c r="Y73" s="7"/>
      <c r="Z73" s="7"/>
      <c r="AA73" s="7"/>
    </row>
    <row r="74" spans="1:27" x14ac:dyDescent="0.2">
      <c r="A74" s="12">
        <v>45614</v>
      </c>
      <c r="B74" s="13">
        <v>0.65151620370370367</v>
      </c>
      <c r="C74" s="7">
        <v>32642</v>
      </c>
      <c r="D74" s="7">
        <v>532</v>
      </c>
      <c r="E74" s="7">
        <f t="shared" si="6"/>
        <v>0.53200000000000003</v>
      </c>
      <c r="F74" s="7">
        <v>50</v>
      </c>
      <c r="G74" s="7"/>
      <c r="H74" s="20">
        <f t="shared" si="4"/>
        <v>0.16666666666666666</v>
      </c>
      <c r="I74" s="7"/>
      <c r="J74" s="7">
        <f t="shared" si="5"/>
        <v>-1.9713261648745522E-3</v>
      </c>
      <c r="K74" s="7"/>
      <c r="L74" s="7"/>
      <c r="M74" s="7"/>
      <c r="N74" s="7"/>
      <c r="O74" s="7">
        <v>31072</v>
      </c>
      <c r="P74" s="1">
        <f t="shared" ref="P74:P137" si="7" xml:space="preserve"> -1.4681315616E-19*$O74^6 + 2.80493263066289E-14*$O74^5 - 2.23271907955907E-09*$O74^4 + 0.0000947783879077569*$O74^3 - 2.26293121558813*$O74^2 + 28813.4861268598*$O74 - 152852350.445896</f>
        <v>0.16293957829475403</v>
      </c>
      <c r="Q74" s="25">
        <f t="shared" ref="Q74:Q137" si="8" xml:space="preserve"> (6*-1.4681315616E-19*$O74^5 + 5*2.80493263066289E-14*$O74^4 - 4*2.23271907955907E-09*$O74^3 + 3*0.0000947783879077569*$O74^2 - 2*2.26293121558813*$O74^1 + 28813.4861268598)*1000</f>
        <v>1.0709580237744376E-2</v>
      </c>
      <c r="R74" s="24">
        <f t="shared" ref="R74:R137" si="9" xml:space="preserve"> (5*6*-1.4681315616E-19*$O74^4 + 4*5*2.80493263066289E-14*$O74^3 - 3*4*2.23271907955907E-09*$O74^2 + 2*3*0.0000947783879077569*$O74^1 - 2*2.26293121558813)*1000*1000</f>
        <v>0.27607873409607464</v>
      </c>
      <c r="S74" s="20"/>
      <c r="T74" s="7"/>
      <c r="U74" s="7"/>
      <c r="V74" s="7"/>
      <c r="W74" s="7"/>
      <c r="X74" s="7"/>
      <c r="Y74" s="7"/>
      <c r="Z74" s="7"/>
      <c r="AA74" s="7"/>
    </row>
    <row r="75" spans="1:27" x14ac:dyDescent="0.2">
      <c r="A75" s="12">
        <v>45614</v>
      </c>
      <c r="B75" s="13">
        <v>0.65151620370370367</v>
      </c>
      <c r="C75" s="7">
        <v>32671</v>
      </c>
      <c r="D75" s="7">
        <v>537</v>
      </c>
      <c r="E75" s="7">
        <f t="shared" si="6"/>
        <v>0.53700000000000003</v>
      </c>
      <c r="F75" s="7">
        <v>50</v>
      </c>
      <c r="G75" s="7"/>
      <c r="H75" s="20">
        <f t="shared" si="4"/>
        <v>0.16666666666666666</v>
      </c>
      <c r="I75" s="7"/>
      <c r="J75" s="7"/>
      <c r="K75" s="7"/>
      <c r="L75" s="7"/>
      <c r="M75" s="7"/>
      <c r="N75" s="7"/>
      <c r="O75" s="7">
        <v>31073</v>
      </c>
      <c r="P75" s="1">
        <f t="shared" si="7"/>
        <v>0.1629507839679718</v>
      </c>
      <c r="Q75" s="25">
        <f t="shared" si="8"/>
        <v>1.0987667337758467E-2</v>
      </c>
      <c r="R75" s="24">
        <f t="shared" si="9"/>
        <v>0.28009478203472327</v>
      </c>
      <c r="S75" s="20"/>
      <c r="T75" s="7"/>
      <c r="U75" s="7"/>
      <c r="V75" s="7"/>
      <c r="W75" s="7"/>
      <c r="X75" s="7"/>
      <c r="Y75" s="7"/>
      <c r="Z75" s="7"/>
      <c r="AA75" s="7"/>
    </row>
    <row r="76" spans="1:27" x14ac:dyDescent="0.2">
      <c r="A76" s="12">
        <v>45614</v>
      </c>
      <c r="B76" s="13">
        <v>0.65151620370370367</v>
      </c>
      <c r="C76" s="7">
        <v>32672</v>
      </c>
      <c r="D76" s="7">
        <v>537</v>
      </c>
      <c r="E76" s="7">
        <f t="shared" si="6"/>
        <v>0.53700000000000003</v>
      </c>
      <c r="F76" s="7">
        <v>50</v>
      </c>
      <c r="G76" s="7"/>
      <c r="H76" s="20"/>
      <c r="I76" s="7"/>
      <c r="J76" s="7"/>
      <c r="K76" s="7"/>
      <c r="L76" s="7"/>
      <c r="M76" s="7"/>
      <c r="N76" s="7"/>
      <c r="O76" s="7">
        <v>31074</v>
      </c>
      <c r="P76" s="1">
        <f t="shared" si="7"/>
        <v>0.16296187043190002</v>
      </c>
      <c r="Q76" s="25">
        <f t="shared" si="8"/>
        <v>1.1269683454884216E-2</v>
      </c>
      <c r="R76" s="24">
        <f t="shared" si="9"/>
        <v>0.28408379559863306</v>
      </c>
      <c r="S76" s="20"/>
      <c r="T76" s="7"/>
      <c r="U76" s="7"/>
      <c r="V76" s="7"/>
      <c r="W76" s="7"/>
      <c r="X76" s="7"/>
      <c r="Y76" s="7"/>
      <c r="Z76" s="7"/>
      <c r="AA76" s="7"/>
    </row>
    <row r="77" spans="1:27" x14ac:dyDescent="0.2">
      <c r="A77" s="12">
        <v>45614</v>
      </c>
      <c r="B77" s="13">
        <v>0.65151620370370367</v>
      </c>
      <c r="C77" s="16">
        <v>32701</v>
      </c>
      <c r="D77" s="7">
        <v>541</v>
      </c>
      <c r="E77" s="7">
        <f t="shared" si="6"/>
        <v>0.54100000000000004</v>
      </c>
      <c r="F77" s="7">
        <v>50</v>
      </c>
      <c r="G77" s="7"/>
      <c r="H77" s="20"/>
      <c r="I77" s="7"/>
      <c r="J77" s="7"/>
      <c r="K77" s="7"/>
      <c r="L77" s="7"/>
      <c r="M77" s="7"/>
      <c r="N77" s="7"/>
      <c r="O77" s="7">
        <v>31075</v>
      </c>
      <c r="P77" s="1">
        <f t="shared" si="7"/>
        <v>0.1629730761051178</v>
      </c>
      <c r="Q77" s="25">
        <f t="shared" si="8"/>
        <v>1.1555803212104365E-2</v>
      </c>
      <c r="R77" s="24">
        <f t="shared" si="9"/>
        <v>0.28804586715835967</v>
      </c>
      <c r="S77" s="20"/>
      <c r="T77" s="7"/>
      <c r="U77" s="7"/>
      <c r="V77" s="7"/>
      <c r="W77" s="7"/>
      <c r="X77" s="7"/>
      <c r="Y77" s="7"/>
      <c r="Z77" s="7"/>
      <c r="AA77" s="7"/>
    </row>
    <row r="78" spans="1:27" x14ac:dyDescent="0.2">
      <c r="A78" s="12">
        <v>45614</v>
      </c>
      <c r="B78" s="13">
        <v>0.65151620370370367</v>
      </c>
      <c r="C78" s="7">
        <v>32702</v>
      </c>
      <c r="D78" s="7">
        <v>541</v>
      </c>
      <c r="E78" s="7">
        <f t="shared" si="6"/>
        <v>0.54100000000000004</v>
      </c>
      <c r="F78" s="7">
        <v>50</v>
      </c>
      <c r="G78" s="7"/>
      <c r="H78" s="7"/>
      <c r="I78" s="7"/>
      <c r="J78" s="7"/>
      <c r="K78" s="7"/>
      <c r="L78" s="7"/>
      <c r="M78" s="7"/>
      <c r="N78" s="7"/>
      <c r="O78" s="7">
        <v>31076</v>
      </c>
      <c r="P78" s="1">
        <f t="shared" si="7"/>
        <v>0.16298452019691467</v>
      </c>
      <c r="Q78" s="25">
        <f t="shared" si="8"/>
        <v>1.184579377877526E-2</v>
      </c>
      <c r="R78" s="24">
        <f t="shared" si="9"/>
        <v>0.29198107842631771</v>
      </c>
      <c r="S78" s="20"/>
      <c r="T78" s="7"/>
      <c r="U78" s="7"/>
      <c r="V78" s="7"/>
      <c r="W78" s="7"/>
      <c r="X78" s="7"/>
      <c r="Y78" s="7"/>
      <c r="Z78" s="7"/>
      <c r="AA78" s="7"/>
    </row>
    <row r="79" spans="1:27" x14ac:dyDescent="0.2">
      <c r="A79" s="12">
        <v>45614</v>
      </c>
      <c r="B79" s="13">
        <v>0.65151620370370367</v>
      </c>
      <c r="C79" s="7">
        <v>32711</v>
      </c>
      <c r="D79" s="7">
        <v>541</v>
      </c>
      <c r="E79" s="7">
        <f t="shared" si="6"/>
        <v>0.54100000000000004</v>
      </c>
      <c r="F79" s="7">
        <v>50</v>
      </c>
      <c r="G79" s="7"/>
      <c r="H79" s="7"/>
      <c r="I79" s="7"/>
      <c r="J79" s="7"/>
      <c r="K79" s="7"/>
      <c r="L79" s="7"/>
      <c r="M79" s="7"/>
      <c r="N79" s="7"/>
      <c r="O79" s="7">
        <v>31077</v>
      </c>
      <c r="P79" s="1">
        <f t="shared" si="7"/>
        <v>0.1629970371723175</v>
      </c>
      <c r="Q79" s="25">
        <f t="shared" si="8"/>
        <v>1.2139771570218727E-2</v>
      </c>
      <c r="R79" s="24">
        <f t="shared" si="9"/>
        <v>0.29588950578585127</v>
      </c>
      <c r="S79" s="20"/>
      <c r="T79" s="7"/>
      <c r="U79" s="7"/>
      <c r="V79" s="7"/>
      <c r="W79" s="7"/>
      <c r="X79" s="7"/>
      <c r="Y79" s="7"/>
      <c r="Z79" s="7"/>
      <c r="AA79" s="7"/>
    </row>
    <row r="80" spans="1:27" x14ac:dyDescent="0.2">
      <c r="A80" s="12">
        <v>45614</v>
      </c>
      <c r="B80" s="13">
        <v>0.65151620370370367</v>
      </c>
      <c r="C80" s="7">
        <v>32741</v>
      </c>
      <c r="D80" s="7">
        <v>540</v>
      </c>
      <c r="E80" s="7">
        <f t="shared" si="6"/>
        <v>0.54</v>
      </c>
      <c r="F80" s="7">
        <v>50</v>
      </c>
      <c r="G80" s="7"/>
      <c r="H80" s="7"/>
      <c r="I80" s="7"/>
      <c r="J80" s="7"/>
      <c r="K80" s="7"/>
      <c r="L80" s="7"/>
      <c r="M80" s="7"/>
      <c r="N80" s="7"/>
      <c r="O80" s="7">
        <v>31078</v>
      </c>
      <c r="P80" s="1">
        <f t="shared" si="7"/>
        <v>0.16300943493843079</v>
      </c>
      <c r="Q80" s="25">
        <f t="shared" si="8"/>
        <v>1.2437591067282483E-2</v>
      </c>
      <c r="R80" s="24">
        <f t="shared" si="9"/>
        <v>0.29977123450208865</v>
      </c>
      <c r="S80" s="20"/>
      <c r="T80" s="7"/>
      <c r="U80" s="7"/>
      <c r="V80" s="7"/>
      <c r="W80" s="7"/>
      <c r="X80" s="7"/>
      <c r="Y80" s="7"/>
      <c r="Z80" s="7"/>
      <c r="AA80" s="7"/>
    </row>
    <row r="81" spans="1:27" x14ac:dyDescent="0.2">
      <c r="A81" s="12">
        <v>45614</v>
      </c>
      <c r="B81" s="13">
        <v>0.65151620370370367</v>
      </c>
      <c r="C81" s="7">
        <v>32742</v>
      </c>
      <c r="D81" s="7">
        <v>540</v>
      </c>
      <c r="E81" s="7">
        <f t="shared" si="6"/>
        <v>0.54</v>
      </c>
      <c r="F81" s="7">
        <v>50</v>
      </c>
      <c r="G81" s="7"/>
      <c r="H81" s="7"/>
      <c r="I81" s="7"/>
      <c r="J81" s="7"/>
      <c r="K81" s="7"/>
      <c r="L81" s="7"/>
      <c r="M81" s="7"/>
      <c r="N81" s="7"/>
      <c r="O81" s="7">
        <v>31079</v>
      </c>
      <c r="P81" s="1">
        <f t="shared" si="7"/>
        <v>0.16302183270454407</v>
      </c>
      <c r="Q81" s="25">
        <f t="shared" si="8"/>
        <v>1.2739281373796985E-2</v>
      </c>
      <c r="R81" s="24">
        <f t="shared" si="9"/>
        <v>0.30362634451108761</v>
      </c>
      <c r="S81" s="20"/>
      <c r="T81" s="7"/>
      <c r="U81" s="7"/>
      <c r="V81" s="7"/>
      <c r="W81" s="7"/>
      <c r="X81" s="7"/>
      <c r="Y81" s="7"/>
      <c r="Z81" s="7"/>
      <c r="AA81" s="7"/>
    </row>
    <row r="82" spans="1:27" x14ac:dyDescent="0.2">
      <c r="A82" s="12">
        <v>45614</v>
      </c>
      <c r="B82" s="13">
        <v>0.65151620370370367</v>
      </c>
      <c r="C82" s="7">
        <v>32771</v>
      </c>
      <c r="D82" s="7">
        <v>540</v>
      </c>
      <c r="E82" s="7">
        <f t="shared" si="6"/>
        <v>0.54</v>
      </c>
      <c r="F82" s="7">
        <v>50</v>
      </c>
      <c r="G82" s="7"/>
      <c r="H82" s="7"/>
      <c r="I82" s="7"/>
      <c r="J82" s="7"/>
      <c r="K82" s="7"/>
      <c r="L82" s="7"/>
      <c r="M82" s="7"/>
      <c r="N82" s="7"/>
      <c r="O82" s="7">
        <v>31080</v>
      </c>
      <c r="P82" s="1">
        <f t="shared" si="7"/>
        <v>0.1630343496799469</v>
      </c>
      <c r="Q82" s="25">
        <f t="shared" si="8"/>
        <v>1.3044871593592688E-2</v>
      </c>
      <c r="R82" s="24">
        <f t="shared" si="9"/>
        <v>0.30745491574890593</v>
      </c>
      <c r="S82" s="20"/>
      <c r="T82" s="7"/>
      <c r="U82" s="7"/>
      <c r="V82" s="7"/>
      <c r="W82" s="7"/>
      <c r="X82" s="7"/>
      <c r="Y82" s="7"/>
      <c r="Z82" s="7"/>
      <c r="AA82" s="7"/>
    </row>
    <row r="83" spans="1:27" x14ac:dyDescent="0.2">
      <c r="A83" s="12">
        <v>45614</v>
      </c>
      <c r="B83" s="13">
        <v>0.65151620370370367</v>
      </c>
      <c r="C83" s="7">
        <v>32772</v>
      </c>
      <c r="D83" s="7">
        <v>540</v>
      </c>
      <c r="E83" s="7">
        <f t="shared" si="6"/>
        <v>0.54</v>
      </c>
      <c r="F83" s="7">
        <v>50</v>
      </c>
      <c r="G83" s="7"/>
      <c r="H83" s="7"/>
      <c r="I83" s="7"/>
      <c r="J83" s="7"/>
      <c r="K83" s="7"/>
      <c r="L83" s="7"/>
      <c r="M83" s="7"/>
      <c r="N83" s="7"/>
      <c r="O83" s="7">
        <v>31081</v>
      </c>
      <c r="P83" s="1">
        <f t="shared" si="7"/>
        <v>0.16304746270179749</v>
      </c>
      <c r="Q83" s="25">
        <f t="shared" si="8"/>
        <v>1.3354157999856398E-2</v>
      </c>
      <c r="R83" s="24">
        <f t="shared" si="9"/>
        <v>0.31125702992795823</v>
      </c>
      <c r="S83" s="20"/>
      <c r="T83" s="7"/>
      <c r="U83" s="7"/>
      <c r="V83" s="7"/>
      <c r="W83" s="7"/>
      <c r="X83" s="7"/>
      <c r="Y83" s="7"/>
      <c r="Z83" s="7"/>
      <c r="AA83" s="7"/>
    </row>
    <row r="84" spans="1:27" x14ac:dyDescent="0.2">
      <c r="A84" s="12">
        <v>45614</v>
      </c>
      <c r="B84" s="13">
        <v>0.65151620370370367</v>
      </c>
      <c r="C84" s="7">
        <v>32801</v>
      </c>
      <c r="D84" s="7">
        <v>536</v>
      </c>
      <c r="E84" s="7">
        <f t="shared" si="6"/>
        <v>0.53600000000000003</v>
      </c>
      <c r="F84" s="7">
        <v>50</v>
      </c>
      <c r="G84" s="7"/>
      <c r="H84" s="7"/>
      <c r="I84" s="7"/>
      <c r="J84" s="7"/>
      <c r="K84" s="7"/>
      <c r="L84" s="7"/>
      <c r="M84" s="7"/>
      <c r="N84" s="7"/>
      <c r="O84" s="7">
        <v>31082</v>
      </c>
      <c r="P84" s="1">
        <f t="shared" si="7"/>
        <v>0.16306176781654358</v>
      </c>
      <c r="Q84" s="25">
        <f t="shared" si="8"/>
        <v>1.3667373423231766E-2</v>
      </c>
      <c r="R84" s="24">
        <f t="shared" si="9"/>
        <v>0.31503276876065911</v>
      </c>
      <c r="S84" s="20"/>
      <c r="T84" s="7"/>
      <c r="U84" s="7"/>
      <c r="V84" s="7"/>
      <c r="W84" s="7"/>
      <c r="X84" s="7"/>
      <c r="Y84" s="7"/>
      <c r="Z84" s="7"/>
      <c r="AA84" s="7"/>
    </row>
    <row r="85" spans="1:27" x14ac:dyDescent="0.2">
      <c r="A85" s="12">
        <v>45614</v>
      </c>
      <c r="B85" s="13">
        <v>0.65151620370370367</v>
      </c>
      <c r="C85" s="7">
        <v>32802</v>
      </c>
      <c r="D85" s="7">
        <v>536</v>
      </c>
      <c r="E85" s="7">
        <f t="shared" si="6"/>
        <v>0.53600000000000003</v>
      </c>
      <c r="F85" s="7">
        <v>50</v>
      </c>
      <c r="G85" s="7"/>
      <c r="H85" s="7"/>
      <c r="I85" s="7"/>
      <c r="J85" s="7"/>
      <c r="K85" s="7"/>
      <c r="L85" s="7"/>
      <c r="M85" s="7"/>
      <c r="N85" s="7"/>
      <c r="O85" s="7">
        <v>31083</v>
      </c>
      <c r="P85" s="1">
        <f t="shared" si="7"/>
        <v>0.16307547688484192</v>
      </c>
      <c r="Q85" s="25">
        <f t="shared" si="8"/>
        <v>1.3984226825414225E-2</v>
      </c>
      <c r="R85" s="24">
        <f t="shared" si="9"/>
        <v>0.31878220685399583</v>
      </c>
      <c r="S85" s="20"/>
      <c r="T85" s="7"/>
      <c r="U85" s="7"/>
      <c r="V85" s="7"/>
      <c r="W85" s="7"/>
      <c r="X85" s="7"/>
      <c r="Y85" s="7"/>
      <c r="Z85" s="7"/>
      <c r="AA85" s="7"/>
    </row>
    <row r="86" spans="1:27" x14ac:dyDescent="0.2">
      <c r="A86" s="12">
        <v>45614</v>
      </c>
      <c r="B86" s="13">
        <v>0.65151620370370367</v>
      </c>
      <c r="C86" s="7">
        <v>32831</v>
      </c>
      <c r="D86" s="7">
        <v>528</v>
      </c>
      <c r="E86" s="7">
        <f t="shared" si="6"/>
        <v>0.52800000000000002</v>
      </c>
      <c r="F86" s="7">
        <v>50</v>
      </c>
      <c r="G86" s="7"/>
      <c r="H86" s="7"/>
      <c r="I86" s="7"/>
      <c r="J86" s="7"/>
      <c r="K86" s="7"/>
      <c r="L86" s="7"/>
      <c r="M86" s="7"/>
      <c r="N86" s="7"/>
      <c r="O86" s="7">
        <v>31084</v>
      </c>
      <c r="P86" s="1">
        <f t="shared" si="7"/>
        <v>0.16308906674385071</v>
      </c>
      <c r="Q86" s="25">
        <f t="shared" si="8"/>
        <v>1.4304892829386517E-2</v>
      </c>
      <c r="R86" s="24">
        <f t="shared" si="9"/>
        <v>0.32250542947309668</v>
      </c>
      <c r="S86" s="20"/>
      <c r="T86" s="7"/>
      <c r="U86" s="7"/>
      <c r="V86" s="7"/>
      <c r="W86" s="7"/>
      <c r="X86" s="7"/>
      <c r="Y86" s="7"/>
      <c r="Z86" s="7"/>
      <c r="AA86" s="7"/>
    </row>
    <row r="87" spans="1:27" x14ac:dyDescent="0.2">
      <c r="A87" s="12">
        <v>45614</v>
      </c>
      <c r="B87" s="13">
        <v>0.65151620370370367</v>
      </c>
      <c r="C87" s="7">
        <v>32832</v>
      </c>
      <c r="D87" s="7">
        <v>528</v>
      </c>
      <c r="E87" s="7">
        <f t="shared" si="6"/>
        <v>0.52800000000000002</v>
      </c>
      <c r="F87" s="7">
        <v>50</v>
      </c>
      <c r="G87" s="7"/>
      <c r="H87" s="7"/>
      <c r="I87" s="7"/>
      <c r="J87" s="7"/>
      <c r="K87" s="7"/>
      <c r="L87" s="7"/>
      <c r="M87" s="7"/>
      <c r="N87" s="7"/>
      <c r="O87" s="7">
        <v>31085</v>
      </c>
      <c r="P87" s="1">
        <f t="shared" si="7"/>
        <v>0.1631036102771759</v>
      </c>
      <c r="Q87" s="25">
        <f t="shared" si="8"/>
        <v>1.4629196812165901E-2</v>
      </c>
      <c r="R87" s="24">
        <f t="shared" si="9"/>
        <v>0.32620251833037628</v>
      </c>
      <c r="S87" s="20"/>
      <c r="T87" s="7"/>
      <c r="U87" s="7"/>
      <c r="V87" s="7"/>
      <c r="W87" s="7"/>
      <c r="X87" s="7"/>
      <c r="Y87" s="7"/>
      <c r="Z87" s="7"/>
      <c r="AA87" s="7"/>
    </row>
    <row r="88" spans="1:27" x14ac:dyDescent="0.2">
      <c r="A88" s="12">
        <v>45614</v>
      </c>
      <c r="B88" s="13">
        <v>0.65151620370370367</v>
      </c>
      <c r="C88" s="7">
        <v>32841</v>
      </c>
      <c r="D88" s="7">
        <v>528</v>
      </c>
      <c r="E88" s="7">
        <f t="shared" si="6"/>
        <v>0.52800000000000002</v>
      </c>
      <c r="F88" s="7">
        <v>50</v>
      </c>
      <c r="G88" s="7"/>
      <c r="H88" s="7"/>
      <c r="I88" s="7"/>
      <c r="J88" s="7"/>
      <c r="K88" s="7"/>
      <c r="L88" s="7"/>
      <c r="M88" s="7"/>
      <c r="N88" s="7"/>
      <c r="O88" s="7">
        <v>31086</v>
      </c>
      <c r="P88" s="1">
        <f t="shared" si="7"/>
        <v>0.16311851143836975</v>
      </c>
      <c r="Q88" s="25">
        <f t="shared" si="8"/>
        <v>1.495728429290466E-2</v>
      </c>
      <c r="R88" s="24">
        <f t="shared" si="9"/>
        <v>0.32987354448010819</v>
      </c>
      <c r="S88" s="20"/>
      <c r="T88" s="7"/>
      <c r="U88" s="7"/>
      <c r="V88" s="7"/>
      <c r="W88" s="7"/>
      <c r="X88" s="7"/>
      <c r="Y88" s="7"/>
      <c r="Z88" s="7"/>
      <c r="AA88" s="7"/>
    </row>
    <row r="89" spans="1:27" x14ac:dyDescent="0.2">
      <c r="A89" s="12">
        <v>45614</v>
      </c>
      <c r="B89" s="13">
        <v>0.65151620370370367</v>
      </c>
      <c r="C89" s="7">
        <v>32871</v>
      </c>
      <c r="D89" s="7">
        <v>520</v>
      </c>
      <c r="E89" s="7">
        <f t="shared" si="6"/>
        <v>0.52</v>
      </c>
      <c r="F89" s="7">
        <v>50</v>
      </c>
      <c r="G89" s="7"/>
      <c r="H89" s="7"/>
      <c r="I89" s="7"/>
      <c r="J89" s="7"/>
      <c r="K89" s="7"/>
      <c r="L89" s="7"/>
      <c r="M89" s="7"/>
      <c r="N89" s="7"/>
      <c r="O89" s="7">
        <v>31087</v>
      </c>
      <c r="P89" s="1">
        <f t="shared" si="7"/>
        <v>0.16313329339027405</v>
      </c>
      <c r="Q89" s="25">
        <f t="shared" si="8"/>
        <v>1.5289009752450511E-2</v>
      </c>
      <c r="R89" s="24">
        <f t="shared" si="9"/>
        <v>0.33351860029284808</v>
      </c>
      <c r="S89" s="20"/>
      <c r="T89" s="7"/>
      <c r="U89" s="7"/>
      <c r="V89" s="7"/>
      <c r="W89" s="7"/>
      <c r="X89" s="7"/>
      <c r="Y89" s="7"/>
      <c r="Z89" s="7"/>
      <c r="AA89" s="7"/>
    </row>
    <row r="90" spans="1:27" x14ac:dyDescent="0.2">
      <c r="A90" s="12">
        <v>45614</v>
      </c>
      <c r="B90" s="13">
        <v>0.65151620370370367</v>
      </c>
      <c r="C90" s="7">
        <v>32872</v>
      </c>
      <c r="D90" s="7">
        <v>520</v>
      </c>
      <c r="E90" s="7">
        <f t="shared" si="6"/>
        <v>0.52</v>
      </c>
      <c r="F90" s="7">
        <v>50</v>
      </c>
      <c r="G90" s="7"/>
      <c r="H90" s="7"/>
      <c r="I90" s="7"/>
      <c r="J90" s="7"/>
      <c r="K90" s="7"/>
      <c r="L90" s="7"/>
      <c r="M90" s="7"/>
      <c r="N90" s="7"/>
      <c r="O90" s="7">
        <v>31088</v>
      </c>
      <c r="P90" s="1">
        <f t="shared" si="7"/>
        <v>0.16314902901649475</v>
      </c>
      <c r="Q90" s="25">
        <f t="shared" si="8"/>
        <v>1.5624285879312083E-2</v>
      </c>
      <c r="R90" s="24">
        <f t="shared" si="9"/>
        <v>0.33713775682286951</v>
      </c>
      <c r="S90" s="20"/>
      <c r="T90" s="7"/>
      <c r="U90" s="7"/>
      <c r="V90" s="7"/>
      <c r="W90" s="7"/>
      <c r="X90" s="7"/>
      <c r="Y90" s="7"/>
      <c r="Z90" s="7"/>
      <c r="AA90" s="7"/>
    </row>
    <row r="91" spans="1:27" x14ac:dyDescent="0.2">
      <c r="A91" s="12">
        <v>45614</v>
      </c>
      <c r="B91" s="13">
        <v>0.65152777777777782</v>
      </c>
      <c r="C91" s="7">
        <v>32901</v>
      </c>
      <c r="D91" s="7">
        <v>505</v>
      </c>
      <c r="E91" s="7">
        <f t="shared" si="6"/>
        <v>0.505</v>
      </c>
      <c r="F91" s="7">
        <v>50</v>
      </c>
      <c r="G91" s="7"/>
      <c r="H91" s="7"/>
      <c r="I91" s="7"/>
      <c r="J91" s="7"/>
      <c r="K91" s="7"/>
      <c r="L91" s="7"/>
      <c r="M91" s="7"/>
      <c r="N91" s="7"/>
      <c r="O91" s="7">
        <v>31089</v>
      </c>
      <c r="P91" s="1">
        <f t="shared" si="7"/>
        <v>0.163164883852005</v>
      </c>
      <c r="Q91" s="25">
        <f t="shared" si="8"/>
        <v>1.5963229088811204E-2</v>
      </c>
      <c r="R91" s="24">
        <f t="shared" si="9"/>
        <v>0.34073109578258709</v>
      </c>
      <c r="S91" s="20"/>
      <c r="T91" s="7"/>
      <c r="U91" s="7"/>
      <c r="V91" s="7"/>
      <c r="W91" s="7"/>
      <c r="X91" s="7"/>
      <c r="Y91" s="7"/>
      <c r="Z91" s="7"/>
      <c r="AA91" s="7"/>
    </row>
    <row r="92" spans="1:27" x14ac:dyDescent="0.2">
      <c r="A92" s="12">
        <v>45614</v>
      </c>
      <c r="B92" s="13">
        <v>0.65152777777777782</v>
      </c>
      <c r="C92" s="7">
        <v>32902</v>
      </c>
      <c r="D92" s="7">
        <v>505</v>
      </c>
      <c r="E92" s="7">
        <f t="shared" si="6"/>
        <v>0.505</v>
      </c>
      <c r="F92" s="7">
        <v>50</v>
      </c>
      <c r="G92" s="7"/>
      <c r="H92" s="7"/>
      <c r="I92" s="7"/>
      <c r="J92" s="7"/>
      <c r="K92" s="7"/>
      <c r="L92" s="7"/>
      <c r="M92" s="7"/>
      <c r="N92" s="7"/>
      <c r="O92" s="7">
        <v>31090</v>
      </c>
      <c r="P92" s="1">
        <f t="shared" si="7"/>
        <v>0.16318109631538391</v>
      </c>
      <c r="Q92" s="25">
        <f t="shared" si="8"/>
        <v>1.630578117328696E-2</v>
      </c>
      <c r="R92" s="24">
        <f t="shared" si="9"/>
        <v>0.34429870066077228</v>
      </c>
      <c r="S92" s="20"/>
      <c r="T92" s="7"/>
      <c r="U92" s="7"/>
      <c r="V92" s="7"/>
      <c r="W92" s="7"/>
      <c r="X92" s="7"/>
      <c r="Y92" s="7"/>
      <c r="Z92" s="7"/>
      <c r="AA92" s="7"/>
    </row>
    <row r="93" spans="1:27" x14ac:dyDescent="0.2">
      <c r="A93" s="12">
        <v>45614</v>
      </c>
      <c r="B93" s="13">
        <v>0.65152777777777782</v>
      </c>
      <c r="C93" s="7">
        <v>32931</v>
      </c>
      <c r="D93" s="7">
        <v>492</v>
      </c>
      <c r="E93" s="7">
        <f t="shared" si="6"/>
        <v>0.49199999999999999</v>
      </c>
      <c r="F93" s="7">
        <v>50</v>
      </c>
      <c r="G93" s="7"/>
      <c r="H93" s="7"/>
      <c r="I93" s="7"/>
      <c r="J93" s="7"/>
      <c r="K93" s="7"/>
      <c r="L93" s="7"/>
      <c r="M93" s="7"/>
      <c r="N93" s="7"/>
      <c r="O93" s="7">
        <v>31091</v>
      </c>
      <c r="P93" s="1">
        <f t="shared" si="7"/>
        <v>0.16319730877876282</v>
      </c>
      <c r="Q93" s="25">
        <f t="shared" si="8"/>
        <v>1.6651883925078437E-2</v>
      </c>
      <c r="R93" s="24">
        <f t="shared" si="9"/>
        <v>0.34784065139348286</v>
      </c>
      <c r="S93" s="20"/>
      <c r="T93" s="7"/>
      <c r="U93" s="7"/>
      <c r="V93" s="7"/>
      <c r="W93" s="7"/>
      <c r="X93" s="7"/>
      <c r="Y93" s="7"/>
      <c r="Z93" s="7"/>
      <c r="AA93" s="7"/>
    </row>
    <row r="94" spans="1:27" x14ac:dyDescent="0.2">
      <c r="A94" s="12">
        <v>45614</v>
      </c>
      <c r="B94" s="13">
        <v>0.65152777777777782</v>
      </c>
      <c r="C94" s="7">
        <v>32932</v>
      </c>
      <c r="D94" s="7">
        <v>492</v>
      </c>
      <c r="E94" s="7">
        <f t="shared" si="6"/>
        <v>0.49199999999999999</v>
      </c>
      <c r="F94" s="7">
        <v>50</v>
      </c>
      <c r="G94" s="7"/>
      <c r="H94" s="7"/>
      <c r="I94" s="7"/>
      <c r="J94" s="7"/>
      <c r="K94" s="7"/>
      <c r="L94" s="7"/>
      <c r="M94" s="7"/>
      <c r="N94" s="7"/>
      <c r="O94" s="7">
        <v>31092</v>
      </c>
      <c r="P94" s="1">
        <f t="shared" si="7"/>
        <v>0.16321435570716858</v>
      </c>
      <c r="Q94" s="25">
        <f t="shared" si="8"/>
        <v>1.7001391825033352E-2</v>
      </c>
      <c r="R94" s="24">
        <f t="shared" si="9"/>
        <v>0.35135702081134923</v>
      </c>
      <c r="S94" s="20"/>
      <c r="T94" s="7"/>
      <c r="U94" s="7"/>
      <c r="V94" s="7"/>
      <c r="W94" s="7"/>
      <c r="X94" s="7"/>
      <c r="Y94" s="7"/>
      <c r="Z94" s="7"/>
      <c r="AA94" s="7"/>
    </row>
    <row r="95" spans="1:27" x14ac:dyDescent="0.2">
      <c r="A95" s="12">
        <v>45614</v>
      </c>
      <c r="B95" s="13">
        <v>0.65152777777777782</v>
      </c>
      <c r="C95" s="7">
        <v>32941</v>
      </c>
      <c r="D95" s="7">
        <v>492</v>
      </c>
      <c r="E95" s="7">
        <f t="shared" si="6"/>
        <v>0.49199999999999999</v>
      </c>
      <c r="F95" s="7">
        <v>50</v>
      </c>
      <c r="G95" s="7"/>
      <c r="H95" s="7"/>
      <c r="I95" s="7"/>
      <c r="J95" s="7"/>
      <c r="K95" s="7"/>
      <c r="L95" s="7"/>
      <c r="M95" s="7"/>
      <c r="N95" s="7"/>
      <c r="O95" s="7">
        <v>31093</v>
      </c>
      <c r="P95" s="1">
        <f t="shared" si="7"/>
        <v>0.16323152184486389</v>
      </c>
      <c r="Q95" s="25">
        <f t="shared" si="8"/>
        <v>1.7354508599964902E-2</v>
      </c>
      <c r="R95" s="24">
        <f t="shared" si="9"/>
        <v>0.35484789417949969</v>
      </c>
      <c r="S95" s="20"/>
      <c r="T95" s="7"/>
      <c r="U95" s="7"/>
      <c r="V95" s="7"/>
      <c r="W95" s="7"/>
      <c r="X95" s="7"/>
      <c r="Y95" s="7"/>
      <c r="Z95" s="7"/>
      <c r="AA95" s="7"/>
    </row>
    <row r="96" spans="1:27" x14ac:dyDescent="0.2">
      <c r="A96" s="12">
        <v>45614</v>
      </c>
      <c r="B96" s="13">
        <v>0.65152777777777782</v>
      </c>
      <c r="C96" s="7">
        <v>32971</v>
      </c>
      <c r="D96" s="7">
        <v>470</v>
      </c>
      <c r="E96" s="7">
        <f t="shared" si="6"/>
        <v>0.47</v>
      </c>
      <c r="F96" s="7">
        <v>100</v>
      </c>
      <c r="G96" s="7"/>
      <c r="H96" s="7"/>
      <c r="I96" s="7"/>
      <c r="J96" s="7"/>
      <c r="K96" s="7"/>
      <c r="L96" s="7"/>
      <c r="M96" s="7"/>
      <c r="N96" s="7"/>
      <c r="O96" s="7">
        <v>31094</v>
      </c>
      <c r="P96" s="1">
        <f t="shared" si="7"/>
        <v>0.16324916481971741</v>
      </c>
      <c r="Q96" s="25">
        <f t="shared" si="8"/>
        <v>1.7711176042212173E-2</v>
      </c>
      <c r="R96" s="24">
        <f t="shared" si="9"/>
        <v>0.35831334788127833</v>
      </c>
      <c r="S96" s="20"/>
      <c r="T96" s="7"/>
      <c r="U96" s="7"/>
      <c r="V96" s="7"/>
      <c r="W96" s="7"/>
      <c r="X96" s="7"/>
      <c r="Y96" s="7"/>
      <c r="Z96" s="7"/>
      <c r="AA96" s="7"/>
    </row>
    <row r="97" spans="1:27" x14ac:dyDescent="0.2">
      <c r="A97" s="12">
        <v>45614</v>
      </c>
      <c r="B97" s="13">
        <v>0.65152777777777782</v>
      </c>
      <c r="C97" s="7">
        <v>32972</v>
      </c>
      <c r="D97" s="7">
        <v>470</v>
      </c>
      <c r="E97" s="7">
        <f t="shared" si="6"/>
        <v>0.47</v>
      </c>
      <c r="F97" s="7">
        <v>100</v>
      </c>
      <c r="G97" s="7"/>
      <c r="H97" s="7"/>
      <c r="I97" s="7"/>
      <c r="J97" s="7"/>
      <c r="K97" s="7"/>
      <c r="L97" s="7"/>
      <c r="M97" s="7"/>
      <c r="N97" s="7"/>
      <c r="O97" s="7">
        <v>31095</v>
      </c>
      <c r="P97" s="1">
        <f t="shared" si="7"/>
        <v>0.16326692700386047</v>
      </c>
      <c r="Q97" s="25">
        <f t="shared" si="8"/>
        <v>1.8071161321131513E-2</v>
      </c>
      <c r="R97" s="24">
        <f t="shared" si="9"/>
        <v>0.36175345830002925</v>
      </c>
      <c r="S97" s="20"/>
      <c r="T97" s="7"/>
      <c r="U97" s="7"/>
      <c r="V97" s="7"/>
      <c r="W97" s="7"/>
      <c r="X97" s="7"/>
      <c r="Y97" s="7"/>
      <c r="Z97" s="7"/>
      <c r="AA97" s="7"/>
    </row>
    <row r="98" spans="1:27" x14ac:dyDescent="0.2">
      <c r="A98" s="12">
        <v>45614</v>
      </c>
      <c r="B98" s="13">
        <v>0.65152777777777782</v>
      </c>
      <c r="C98" s="7">
        <v>33001</v>
      </c>
      <c r="D98" s="7">
        <v>453</v>
      </c>
      <c r="E98" s="7">
        <f t="shared" si="6"/>
        <v>0.45300000000000001</v>
      </c>
      <c r="F98" s="7">
        <v>100</v>
      </c>
      <c r="G98" s="7"/>
      <c r="H98" s="7"/>
      <c r="I98" s="7"/>
      <c r="J98" s="7"/>
      <c r="K98" s="7"/>
      <c r="L98" s="7"/>
      <c r="M98" s="7"/>
      <c r="N98" s="7"/>
      <c r="O98" s="7">
        <v>31096</v>
      </c>
      <c r="P98" s="1">
        <f t="shared" si="7"/>
        <v>0.16328528523445129</v>
      </c>
      <c r="Q98" s="25">
        <f t="shared" si="8"/>
        <v>1.843463905970566E-2</v>
      </c>
      <c r="R98" s="24">
        <f t="shared" si="9"/>
        <v>0.3651683089245239</v>
      </c>
      <c r="S98" s="20"/>
      <c r="T98" s="7"/>
      <c r="U98" s="7"/>
      <c r="V98" s="7"/>
      <c r="W98" s="7"/>
      <c r="X98" s="7"/>
      <c r="Y98" s="7"/>
      <c r="Z98" s="7"/>
      <c r="AA98" s="7"/>
    </row>
    <row r="99" spans="1:27" x14ac:dyDescent="0.2">
      <c r="A99" s="12">
        <v>45614</v>
      </c>
      <c r="B99" s="13">
        <v>0.65152777777777782</v>
      </c>
      <c r="C99" s="7">
        <v>33002</v>
      </c>
      <c r="D99" s="7">
        <v>453</v>
      </c>
      <c r="E99" s="7">
        <f t="shared" si="6"/>
        <v>0.45300000000000001</v>
      </c>
      <c r="F99" s="7">
        <v>100</v>
      </c>
      <c r="G99" s="7"/>
      <c r="H99" s="7"/>
      <c r="I99" s="7"/>
      <c r="J99" s="7"/>
      <c r="K99" s="7"/>
      <c r="L99" s="7"/>
      <c r="M99" s="7"/>
      <c r="N99" s="7"/>
      <c r="O99" s="7">
        <v>31097</v>
      </c>
      <c r="P99" s="1">
        <f t="shared" si="7"/>
        <v>0.16330412030220032</v>
      </c>
      <c r="Q99" s="25">
        <f t="shared" si="8"/>
        <v>1.8801492842612788E-2</v>
      </c>
      <c r="R99" s="24">
        <f t="shared" si="9"/>
        <v>0.36855797791446321</v>
      </c>
      <c r="S99" s="20"/>
      <c r="T99" s="7"/>
      <c r="U99" s="7"/>
      <c r="V99" s="7"/>
      <c r="W99" s="7"/>
      <c r="X99" s="7"/>
      <c r="Y99" s="7"/>
      <c r="Z99" s="7"/>
      <c r="AA99" s="7"/>
    </row>
    <row r="100" spans="1:27" x14ac:dyDescent="0.2">
      <c r="A100" s="12">
        <v>45614</v>
      </c>
      <c r="B100" s="13">
        <v>0.65152777777777782</v>
      </c>
      <c r="C100" s="7">
        <v>33031</v>
      </c>
      <c r="D100" s="7">
        <v>431</v>
      </c>
      <c r="E100" s="7">
        <f t="shared" si="6"/>
        <v>0.43099999999999999</v>
      </c>
      <c r="F100" s="7">
        <v>100</v>
      </c>
      <c r="G100" s="7"/>
      <c r="H100" s="7"/>
      <c r="I100" s="7"/>
      <c r="J100" s="7"/>
      <c r="K100" s="7"/>
      <c r="L100" s="7"/>
      <c r="M100" s="7"/>
      <c r="N100" s="7"/>
      <c r="O100" s="7">
        <v>31098</v>
      </c>
      <c r="P100" s="1">
        <f t="shared" si="7"/>
        <v>0.16332283616065979</v>
      </c>
      <c r="Q100" s="25">
        <f t="shared" si="8"/>
        <v>1.9171751773683354E-2</v>
      </c>
      <c r="R100" s="24">
        <f t="shared" si="9"/>
        <v>0.37192254698226179</v>
      </c>
      <c r="S100" s="20"/>
      <c r="T100" s="7"/>
      <c r="U100" s="7"/>
      <c r="V100" s="7"/>
      <c r="W100" s="7"/>
      <c r="X100" s="7"/>
      <c r="Y100" s="7"/>
      <c r="Z100" s="7"/>
      <c r="AA100" s="7"/>
    </row>
    <row r="101" spans="1:27" x14ac:dyDescent="0.2">
      <c r="A101" s="12">
        <v>45614</v>
      </c>
      <c r="B101" s="13">
        <v>0.65152777777777782</v>
      </c>
      <c r="C101" s="7">
        <v>33032</v>
      </c>
      <c r="D101" s="7">
        <v>431</v>
      </c>
      <c r="E101" s="7">
        <f t="shared" si="6"/>
        <v>0.43099999999999999</v>
      </c>
      <c r="F101" s="7">
        <v>100</v>
      </c>
      <c r="G101" s="7"/>
      <c r="H101" s="7"/>
      <c r="I101" s="7"/>
      <c r="J101" s="7"/>
      <c r="K101" s="7"/>
      <c r="L101" s="7"/>
      <c r="M101" s="7"/>
      <c r="N101" s="7"/>
      <c r="O101" s="7">
        <v>31099</v>
      </c>
      <c r="P101" s="1">
        <f t="shared" si="7"/>
        <v>0.16334238648414612</v>
      </c>
      <c r="Q101" s="25">
        <f t="shared" si="8"/>
        <v>1.9545299437595531E-2</v>
      </c>
      <c r="R101" s="24">
        <f t="shared" si="9"/>
        <v>0.37526208718219323</v>
      </c>
      <c r="S101" s="20"/>
      <c r="T101" s="7"/>
      <c r="U101" s="7"/>
      <c r="V101" s="7"/>
      <c r="W101" s="7"/>
      <c r="X101" s="7"/>
      <c r="Y101" s="7"/>
      <c r="Z101" s="7"/>
      <c r="AA101" s="7"/>
    </row>
    <row r="102" spans="1:27" x14ac:dyDescent="0.2">
      <c r="A102" s="12">
        <v>45614</v>
      </c>
      <c r="B102" s="13">
        <v>0.65152777777777782</v>
      </c>
      <c r="C102" s="7">
        <v>33041</v>
      </c>
      <c r="D102" s="7">
        <v>431</v>
      </c>
      <c r="E102" s="7">
        <f t="shared" si="6"/>
        <v>0.43099999999999999</v>
      </c>
      <c r="F102" s="7">
        <v>100</v>
      </c>
      <c r="G102" s="7"/>
      <c r="H102" s="7"/>
      <c r="I102" s="7"/>
      <c r="J102" s="7"/>
      <c r="K102" s="7"/>
      <c r="L102" s="7"/>
      <c r="M102" s="7"/>
      <c r="N102" s="7"/>
      <c r="O102" s="7">
        <v>31100</v>
      </c>
      <c r="P102" s="1">
        <f t="shared" si="7"/>
        <v>0.16336241364479065</v>
      </c>
      <c r="Q102" s="25">
        <f t="shared" si="8"/>
        <v>1.9922252249671146E-2</v>
      </c>
      <c r="R102" s="24">
        <f t="shared" si="9"/>
        <v>0.3785766837793858</v>
      </c>
      <c r="S102" s="20"/>
      <c r="T102" s="7"/>
      <c r="U102" s="7"/>
      <c r="V102" s="7"/>
      <c r="W102" s="7"/>
      <c r="X102" s="7"/>
      <c r="Y102" s="7"/>
      <c r="Z102" s="7"/>
      <c r="AA102" s="7"/>
    </row>
    <row r="103" spans="1:27" x14ac:dyDescent="0.2">
      <c r="A103" s="12">
        <v>45614</v>
      </c>
      <c r="B103" s="13">
        <v>0.65152777777777782</v>
      </c>
      <c r="C103" s="7">
        <v>33071</v>
      </c>
      <c r="D103" s="7">
        <v>415</v>
      </c>
      <c r="E103" s="7">
        <f t="shared" si="6"/>
        <v>0.41499999999999998</v>
      </c>
      <c r="F103" s="7">
        <v>100</v>
      </c>
      <c r="G103" s="7"/>
      <c r="H103" s="7"/>
      <c r="I103" s="7"/>
      <c r="J103" s="7"/>
      <c r="K103" s="7"/>
      <c r="L103" s="7"/>
      <c r="M103" s="7"/>
      <c r="N103" s="7"/>
      <c r="O103" s="7">
        <v>31101</v>
      </c>
      <c r="P103" s="1">
        <f t="shared" si="7"/>
        <v>0.16338184475898743</v>
      </c>
      <c r="Q103" s="25">
        <f t="shared" si="8"/>
        <v>2.0302464690757915E-2</v>
      </c>
      <c r="R103" s="24">
        <f t="shared" si="9"/>
        <v>0.38186641493354045</v>
      </c>
      <c r="S103" s="20"/>
      <c r="T103" s="7"/>
      <c r="U103" s="7"/>
      <c r="V103" s="7"/>
      <c r="W103" s="7"/>
      <c r="X103" s="7"/>
      <c r="Y103" s="7"/>
      <c r="Z103" s="7"/>
      <c r="AA103" s="7"/>
    </row>
    <row r="104" spans="1:27" x14ac:dyDescent="0.2">
      <c r="A104" s="12">
        <v>45614</v>
      </c>
      <c r="B104" s="13">
        <v>0.65152777777777782</v>
      </c>
      <c r="C104" s="7">
        <v>33072</v>
      </c>
      <c r="D104" s="7">
        <v>415</v>
      </c>
      <c r="E104" s="7">
        <f t="shared" si="6"/>
        <v>0.41499999999999998</v>
      </c>
      <c r="F104" s="7">
        <v>100</v>
      </c>
      <c r="G104" s="7"/>
      <c r="H104" s="7"/>
      <c r="I104" s="7"/>
      <c r="J104" s="7"/>
      <c r="K104" s="7"/>
      <c r="L104" s="7"/>
      <c r="M104" s="7"/>
      <c r="N104" s="7"/>
      <c r="O104" s="7">
        <v>31102</v>
      </c>
      <c r="P104" s="1">
        <f t="shared" si="7"/>
        <v>0.16340282559394836</v>
      </c>
      <c r="Q104" s="25">
        <f t="shared" si="8"/>
        <v>2.0685965864686295E-2</v>
      </c>
      <c r="R104" s="24">
        <f t="shared" si="9"/>
        <v>0.3851313534752876</v>
      </c>
      <c r="S104" s="20"/>
      <c r="T104" s="7"/>
      <c r="U104" s="7"/>
      <c r="V104" s="7"/>
      <c r="W104" s="7"/>
      <c r="X104" s="7"/>
      <c r="Y104" s="7"/>
      <c r="Z104" s="7"/>
      <c r="AA104" s="7"/>
    </row>
    <row r="105" spans="1:27" x14ac:dyDescent="0.2">
      <c r="A105" s="12">
        <v>45614</v>
      </c>
      <c r="B105" s="13">
        <v>0.65152777777777782</v>
      </c>
      <c r="C105" s="7">
        <v>33101</v>
      </c>
      <c r="D105" s="7">
        <v>397</v>
      </c>
      <c r="E105" s="7">
        <f t="shared" si="6"/>
        <v>0.39700000000000002</v>
      </c>
      <c r="F105" s="7">
        <v>100</v>
      </c>
      <c r="G105" s="7"/>
      <c r="H105" s="7"/>
      <c r="I105" s="7"/>
      <c r="J105" s="7"/>
      <c r="K105" s="7"/>
      <c r="L105" s="7"/>
      <c r="M105" s="7"/>
      <c r="N105" s="7"/>
      <c r="O105" s="7">
        <v>31103</v>
      </c>
      <c r="P105" s="1">
        <f t="shared" si="7"/>
        <v>0.1634233295917511</v>
      </c>
      <c r="Q105" s="25">
        <f t="shared" si="8"/>
        <v>2.1072697563795373E-2</v>
      </c>
      <c r="R105" s="24">
        <f t="shared" si="9"/>
        <v>0.38837158289339868</v>
      </c>
      <c r="S105" s="20"/>
      <c r="T105" s="7"/>
      <c r="U105" s="7"/>
      <c r="V105" s="7"/>
      <c r="W105" s="7"/>
      <c r="X105" s="7"/>
      <c r="Y105" s="7"/>
      <c r="Z105" s="7"/>
      <c r="AA105" s="7"/>
    </row>
    <row r="106" spans="1:27" x14ac:dyDescent="0.2">
      <c r="A106" s="12">
        <v>45614</v>
      </c>
      <c r="B106" s="13">
        <v>0.65152777777777782</v>
      </c>
      <c r="C106" s="7">
        <v>33102</v>
      </c>
      <c r="D106" s="7">
        <v>397</v>
      </c>
      <c r="E106" s="7">
        <f t="shared" si="6"/>
        <v>0.39700000000000002</v>
      </c>
      <c r="F106" s="7">
        <v>100</v>
      </c>
      <c r="G106" s="7"/>
      <c r="H106" s="7"/>
      <c r="I106" s="7"/>
      <c r="J106" s="7"/>
      <c r="K106" s="7"/>
      <c r="L106" s="7"/>
      <c r="M106" s="7"/>
      <c r="N106" s="7"/>
      <c r="O106" s="7">
        <v>31104</v>
      </c>
      <c r="P106" s="1">
        <f t="shared" si="7"/>
        <v>0.16344466805458069</v>
      </c>
      <c r="Q106" s="25">
        <f t="shared" si="8"/>
        <v>2.1462659788085148E-2</v>
      </c>
      <c r="R106" s="24">
        <f t="shared" si="9"/>
        <v>0.39158718312393148</v>
      </c>
      <c r="S106" s="20"/>
      <c r="T106" s="7"/>
      <c r="U106" s="7"/>
      <c r="V106" s="7"/>
      <c r="W106" s="7"/>
      <c r="X106" s="7"/>
      <c r="Y106" s="7"/>
      <c r="Z106" s="7"/>
      <c r="AA106" s="7"/>
    </row>
    <row r="107" spans="1:27" x14ac:dyDescent="0.2">
      <c r="A107" s="12">
        <v>45614</v>
      </c>
      <c r="B107" s="13">
        <v>0.65152777777777782</v>
      </c>
      <c r="C107" s="7">
        <v>33131</v>
      </c>
      <c r="D107" s="7">
        <v>385</v>
      </c>
      <c r="E107" s="7">
        <f t="shared" si="6"/>
        <v>0.38500000000000001</v>
      </c>
      <c r="F107" s="7">
        <v>100</v>
      </c>
      <c r="G107" s="7"/>
      <c r="H107" s="7"/>
      <c r="I107" s="7"/>
      <c r="J107" s="7"/>
      <c r="K107" s="7"/>
      <c r="L107" s="7"/>
      <c r="M107" s="7"/>
      <c r="N107" s="7"/>
      <c r="O107" s="7">
        <v>31105</v>
      </c>
      <c r="P107" s="1">
        <f t="shared" si="7"/>
        <v>0.16346660256385803</v>
      </c>
      <c r="Q107" s="25">
        <f t="shared" si="8"/>
        <v>2.1855910745216534E-2</v>
      </c>
      <c r="R107" s="24">
        <f t="shared" si="9"/>
        <v>0.39477822699751641</v>
      </c>
      <c r="S107" s="20"/>
      <c r="T107" s="7"/>
      <c r="U107" s="7"/>
      <c r="V107" s="7"/>
      <c r="W107" s="7"/>
      <c r="X107" s="7"/>
      <c r="Y107" s="7"/>
      <c r="Z107" s="7"/>
      <c r="AA107" s="7"/>
    </row>
    <row r="108" spans="1:27" x14ac:dyDescent="0.2">
      <c r="A108" s="12">
        <v>45614</v>
      </c>
      <c r="B108" s="13">
        <v>0.65152777777777782</v>
      </c>
      <c r="C108" s="7">
        <v>33132</v>
      </c>
      <c r="D108" s="7">
        <v>385</v>
      </c>
      <c r="E108" s="7">
        <f t="shared" si="6"/>
        <v>0.38500000000000001</v>
      </c>
      <c r="F108" s="7">
        <v>100</v>
      </c>
      <c r="G108" s="7"/>
      <c r="H108" s="7"/>
      <c r="I108" s="7"/>
      <c r="J108" s="7"/>
      <c r="K108" s="7"/>
      <c r="L108" s="7"/>
      <c r="M108" s="7"/>
      <c r="N108" s="7"/>
      <c r="O108" s="7">
        <v>31106</v>
      </c>
      <c r="P108" s="1">
        <f t="shared" si="7"/>
        <v>0.16348829865455627</v>
      </c>
      <c r="Q108" s="25">
        <f t="shared" si="8"/>
        <v>2.2252246708376333E-2</v>
      </c>
      <c r="R108" s="24">
        <f t="shared" si="9"/>
        <v>0.39794479622656809</v>
      </c>
      <c r="S108" s="20"/>
      <c r="T108" s="7"/>
      <c r="U108" s="7"/>
      <c r="V108" s="7"/>
      <c r="W108" s="7"/>
      <c r="X108" s="7"/>
      <c r="Y108" s="7"/>
      <c r="Z108" s="7"/>
      <c r="AA108" s="7"/>
    </row>
    <row r="109" spans="1:27" x14ac:dyDescent="0.2">
      <c r="A109" s="12">
        <v>45614</v>
      </c>
      <c r="B109" s="13">
        <v>0.65152777777777782</v>
      </c>
      <c r="C109" s="7">
        <v>33141</v>
      </c>
      <c r="D109" s="7">
        <v>385</v>
      </c>
      <c r="E109" s="7">
        <f t="shared" si="6"/>
        <v>0.38500000000000001</v>
      </c>
      <c r="F109" s="7">
        <v>100</v>
      </c>
      <c r="G109" s="7"/>
      <c r="H109" s="7"/>
      <c r="I109" s="7"/>
      <c r="J109" s="7"/>
      <c r="K109" s="7"/>
      <c r="L109" s="7"/>
      <c r="M109" s="7"/>
      <c r="N109" s="7"/>
      <c r="O109" s="7">
        <v>31107</v>
      </c>
      <c r="P109" s="1">
        <f t="shared" si="7"/>
        <v>0.16351082921028137</v>
      </c>
      <c r="Q109" s="25">
        <f t="shared" si="8"/>
        <v>2.2651784092886373E-2</v>
      </c>
      <c r="R109" s="24">
        <f t="shared" si="9"/>
        <v>0.40108696541807376</v>
      </c>
      <c r="S109" s="20"/>
      <c r="T109" s="7"/>
      <c r="U109" s="7"/>
      <c r="V109" s="7"/>
      <c r="W109" s="7"/>
      <c r="X109" s="7"/>
      <c r="Y109" s="7"/>
      <c r="Z109" s="7"/>
      <c r="AA109" s="7"/>
    </row>
    <row r="110" spans="1:27" x14ac:dyDescent="0.2">
      <c r="A110" s="12">
        <v>45614</v>
      </c>
      <c r="B110" s="13">
        <v>0.65152777777777782</v>
      </c>
      <c r="C110" s="7">
        <v>33171</v>
      </c>
      <c r="D110" s="7">
        <v>372</v>
      </c>
      <c r="E110" s="7">
        <f t="shared" si="6"/>
        <v>0.372</v>
      </c>
      <c r="F110" s="7">
        <v>100</v>
      </c>
      <c r="G110" s="7"/>
      <c r="H110" s="7"/>
      <c r="I110" s="7"/>
      <c r="J110" s="7"/>
      <c r="K110" s="7"/>
      <c r="L110" s="7"/>
      <c r="M110" s="7"/>
      <c r="N110" s="7"/>
      <c r="O110" s="7">
        <v>31108</v>
      </c>
      <c r="P110" s="1">
        <f t="shared" si="7"/>
        <v>0.16353395581245422</v>
      </c>
      <c r="Q110" s="25">
        <f t="shared" si="8"/>
        <v>2.3054377379594371E-2</v>
      </c>
      <c r="R110" s="24">
        <f t="shared" si="9"/>
        <v>0.40420481628444804</v>
      </c>
      <c r="S110" s="20"/>
      <c r="T110" s="7"/>
      <c r="U110" s="7"/>
      <c r="V110" s="7"/>
      <c r="W110" s="7"/>
      <c r="X110" s="7"/>
      <c r="Y110" s="7"/>
      <c r="Z110" s="7"/>
      <c r="AA110" s="7"/>
    </row>
    <row r="111" spans="1:27" x14ac:dyDescent="0.2">
      <c r="A111" s="12">
        <v>45614</v>
      </c>
      <c r="B111" s="13">
        <v>0.65152777777777782</v>
      </c>
      <c r="C111" s="7">
        <v>33172</v>
      </c>
      <c r="D111" s="7">
        <v>372</v>
      </c>
      <c r="E111" s="7">
        <f t="shared" si="6"/>
        <v>0.372</v>
      </c>
      <c r="F111" s="7">
        <v>100</v>
      </c>
      <c r="G111" s="7"/>
      <c r="H111" s="7"/>
      <c r="I111" s="7"/>
      <c r="J111" s="7"/>
      <c r="K111" s="7"/>
      <c r="L111" s="7"/>
      <c r="M111" s="7"/>
      <c r="N111" s="7"/>
      <c r="O111" s="7">
        <v>31109</v>
      </c>
      <c r="P111" s="1">
        <f t="shared" si="7"/>
        <v>0.16355660557746887</v>
      </c>
      <c r="Q111" s="25">
        <f t="shared" si="8"/>
        <v>2.3460142983822152E-2</v>
      </c>
      <c r="R111" s="24">
        <f t="shared" si="9"/>
        <v>0.40729841987996451</v>
      </c>
      <c r="S111" s="20"/>
      <c r="T111" s="7"/>
      <c r="U111" s="7"/>
      <c r="V111" s="7"/>
      <c r="W111" s="7"/>
      <c r="X111" s="7"/>
      <c r="Y111" s="7"/>
      <c r="Z111" s="7"/>
      <c r="AA111" s="7"/>
    </row>
    <row r="112" spans="1:27" x14ac:dyDescent="0.2">
      <c r="A112" s="12">
        <v>45614</v>
      </c>
      <c r="B112" s="13">
        <v>0.65152777777777782</v>
      </c>
      <c r="C112" s="7">
        <v>33201</v>
      </c>
      <c r="D112" s="7">
        <v>363</v>
      </c>
      <c r="E112" s="7">
        <f t="shared" si="6"/>
        <v>0.36299999999999999</v>
      </c>
      <c r="F112" s="7">
        <v>100</v>
      </c>
      <c r="G112" s="7"/>
      <c r="H112" s="7"/>
      <c r="I112" s="7"/>
      <c r="J112" s="7"/>
      <c r="K112" s="7"/>
      <c r="L112" s="7"/>
      <c r="M112" s="7"/>
      <c r="N112" s="7"/>
      <c r="O112" s="7">
        <v>31110</v>
      </c>
      <c r="P112" s="1">
        <f t="shared" si="7"/>
        <v>0.16358080506324768</v>
      </c>
      <c r="Q112" s="25">
        <f t="shared" si="8"/>
        <v>2.3869022697908804E-2</v>
      </c>
      <c r="R112" s="24">
        <f t="shared" si="9"/>
        <v>0.41036786502246514</v>
      </c>
      <c r="S112" s="20"/>
      <c r="T112" s="7"/>
      <c r="U112" s="7"/>
      <c r="V112" s="7"/>
      <c r="W112" s="7"/>
      <c r="X112" s="7"/>
      <c r="Y112" s="7"/>
      <c r="Z112" s="7"/>
      <c r="AA112" s="7"/>
    </row>
    <row r="113" spans="1:27" x14ac:dyDescent="0.2">
      <c r="A113" s="12">
        <v>45614</v>
      </c>
      <c r="B113" s="13">
        <v>0.65152777777777782</v>
      </c>
      <c r="C113" s="7">
        <v>33202</v>
      </c>
      <c r="D113" s="7">
        <v>363</v>
      </c>
      <c r="E113" s="7">
        <f t="shared" si="6"/>
        <v>0.36299999999999999</v>
      </c>
      <c r="F113" s="7">
        <v>100</v>
      </c>
      <c r="G113" s="7"/>
      <c r="H113" s="7"/>
      <c r="I113" s="7"/>
      <c r="J113" s="7"/>
      <c r="K113" s="7"/>
      <c r="L113" s="7"/>
      <c r="M113" s="7"/>
      <c r="N113" s="7"/>
      <c r="O113" s="7">
        <v>31111</v>
      </c>
      <c r="P113" s="1">
        <f t="shared" si="7"/>
        <v>0.16360464692115784</v>
      </c>
      <c r="Q113" s="25">
        <f t="shared" si="8"/>
        <v>2.4280900106532499E-2</v>
      </c>
      <c r="R113" s="24">
        <f t="shared" si="9"/>
        <v>0.41341321743715298</v>
      </c>
      <c r="S113" s="20"/>
      <c r="T113" s="7"/>
      <c r="U113" s="7"/>
      <c r="V113" s="7"/>
      <c r="W113" s="7"/>
      <c r="X113" s="7"/>
      <c r="Y113" s="7"/>
      <c r="Z113" s="7"/>
      <c r="AA113" s="7"/>
    </row>
    <row r="114" spans="1:27" x14ac:dyDescent="0.2">
      <c r="A114" s="12">
        <v>45614</v>
      </c>
      <c r="B114" s="13">
        <v>0.65152777777777782</v>
      </c>
      <c r="C114" s="7">
        <v>33231</v>
      </c>
      <c r="D114" s="7">
        <v>356</v>
      </c>
      <c r="E114" s="7">
        <f t="shared" si="6"/>
        <v>0.35599999999999998</v>
      </c>
      <c r="F114" s="7">
        <v>100</v>
      </c>
      <c r="G114" s="7"/>
      <c r="H114" s="7"/>
      <c r="I114" s="7"/>
      <c r="J114" s="7"/>
      <c r="K114" s="7"/>
      <c r="L114" s="7"/>
      <c r="M114" s="7"/>
      <c r="N114" s="7"/>
      <c r="O114" s="7">
        <v>31112</v>
      </c>
      <c r="P114" s="1">
        <f t="shared" si="7"/>
        <v>0.1636294424533844</v>
      </c>
      <c r="Q114" s="25">
        <f t="shared" si="8"/>
        <v>2.4695862521184608E-2</v>
      </c>
      <c r="R114" s="24">
        <f t="shared" si="9"/>
        <v>0.41643456238915633</v>
      </c>
      <c r="S114" s="20"/>
      <c r="T114" s="7"/>
      <c r="U114" s="7"/>
      <c r="V114" s="7"/>
      <c r="W114" s="7"/>
      <c r="X114" s="7"/>
      <c r="Y114" s="7"/>
      <c r="Z114" s="7"/>
      <c r="AA114" s="7"/>
    </row>
    <row r="115" spans="1:27" x14ac:dyDescent="0.2">
      <c r="A115" s="12">
        <v>45614</v>
      </c>
      <c r="B115" s="13">
        <v>0.65152777777777782</v>
      </c>
      <c r="C115" s="7">
        <v>33232</v>
      </c>
      <c r="D115" s="7">
        <v>356</v>
      </c>
      <c r="E115" s="7">
        <f t="shared" si="6"/>
        <v>0.35599999999999998</v>
      </c>
      <c r="F115" s="7">
        <v>100</v>
      </c>
      <c r="G115" s="7"/>
      <c r="H115" s="7"/>
      <c r="I115" s="7"/>
      <c r="J115" s="7"/>
      <c r="K115" s="7"/>
      <c r="L115" s="7"/>
      <c r="M115" s="7"/>
      <c r="N115" s="7"/>
      <c r="O115" s="7">
        <v>31113</v>
      </c>
      <c r="P115" s="1">
        <f t="shared" si="7"/>
        <v>0.16365411877632141</v>
      </c>
      <c r="Q115" s="25">
        <f t="shared" si="8"/>
        <v>2.5113764422712848E-2</v>
      </c>
      <c r="R115" s="24">
        <f t="shared" si="9"/>
        <v>0.41943197270910559</v>
      </c>
      <c r="S115" s="20"/>
      <c r="T115" s="7"/>
      <c r="U115" s="7"/>
      <c r="V115" s="7"/>
      <c r="W115" s="7"/>
      <c r="X115" s="7"/>
      <c r="Y115" s="7"/>
      <c r="Z115" s="7"/>
      <c r="AA115" s="7"/>
    </row>
    <row r="116" spans="1:27" x14ac:dyDescent="0.2">
      <c r="A116" s="12">
        <v>45614</v>
      </c>
      <c r="B116" s="13">
        <v>0.65152777777777782</v>
      </c>
      <c r="C116" s="7">
        <v>33261</v>
      </c>
      <c r="D116" s="7">
        <v>351</v>
      </c>
      <c r="E116" s="7">
        <f t="shared" si="6"/>
        <v>0.35099999999999998</v>
      </c>
      <c r="F116" s="7">
        <v>100</v>
      </c>
      <c r="G116" s="7"/>
      <c r="H116" s="7"/>
      <c r="I116" s="7"/>
      <c r="J116" s="7"/>
      <c r="K116" s="7"/>
      <c r="L116" s="7"/>
      <c r="M116" s="7"/>
      <c r="N116" s="7"/>
      <c r="O116" s="7">
        <v>31114</v>
      </c>
      <c r="P116" s="1">
        <f t="shared" si="7"/>
        <v>0.16367939114570618</v>
      </c>
      <c r="Q116" s="25">
        <f t="shared" si="8"/>
        <v>2.5534693122608587E-2</v>
      </c>
      <c r="R116" s="24">
        <f t="shared" si="9"/>
        <v>0.42240552655670172</v>
      </c>
      <c r="S116" s="20"/>
      <c r="T116" s="7"/>
      <c r="U116" s="7"/>
      <c r="V116" s="7"/>
      <c r="W116" s="7"/>
      <c r="X116" s="7"/>
      <c r="Y116" s="7"/>
      <c r="Z116" s="7"/>
      <c r="AA116" s="7"/>
    </row>
    <row r="117" spans="1:27" x14ac:dyDescent="0.2">
      <c r="A117" s="12">
        <v>45614</v>
      </c>
      <c r="B117" s="13">
        <v>0.65152777777777782</v>
      </c>
      <c r="C117" s="7">
        <v>33262</v>
      </c>
      <c r="D117" s="7">
        <v>351</v>
      </c>
      <c r="E117" s="7">
        <f t="shared" si="6"/>
        <v>0.35099999999999998</v>
      </c>
      <c r="F117" s="7">
        <v>100</v>
      </c>
      <c r="G117" s="7"/>
      <c r="H117" s="7"/>
      <c r="I117" s="7"/>
      <c r="J117" s="7"/>
      <c r="K117" s="7"/>
      <c r="L117" s="7"/>
      <c r="M117" s="7"/>
      <c r="N117" s="7"/>
      <c r="O117" s="7">
        <v>31115</v>
      </c>
      <c r="P117" s="1">
        <f t="shared" si="7"/>
        <v>0.16370561718940735</v>
      </c>
      <c r="Q117" s="25">
        <f t="shared" si="8"/>
        <v>2.5958503101719543E-2</v>
      </c>
      <c r="R117" s="24">
        <f t="shared" si="9"/>
        <v>0.42535530386800247</v>
      </c>
      <c r="S117" s="20"/>
      <c r="T117" s="7"/>
      <c r="U117" s="7"/>
      <c r="V117" s="7"/>
      <c r="W117" s="7"/>
      <c r="X117" s="7"/>
      <c r="Y117" s="7"/>
      <c r="Z117" s="7"/>
      <c r="AA117" s="7"/>
    </row>
    <row r="118" spans="1:27" x14ac:dyDescent="0.2">
      <c r="A118" s="12">
        <v>45614</v>
      </c>
      <c r="B118" s="13">
        <v>0.65152777777777782</v>
      </c>
      <c r="C118" s="7">
        <v>33271</v>
      </c>
      <c r="D118" s="7">
        <v>351</v>
      </c>
      <c r="E118" s="7">
        <f t="shared" si="6"/>
        <v>0.35099999999999998</v>
      </c>
      <c r="F118" s="7">
        <v>100</v>
      </c>
      <c r="G118" s="7"/>
      <c r="H118" s="7"/>
      <c r="I118" s="7"/>
      <c r="J118" s="7"/>
      <c r="K118" s="7"/>
      <c r="L118" s="7"/>
      <c r="M118" s="7"/>
      <c r="N118" s="7"/>
      <c r="O118" s="7">
        <v>31116</v>
      </c>
      <c r="P118" s="1">
        <f t="shared" si="7"/>
        <v>0.16373124718666077</v>
      </c>
      <c r="Q118" s="25">
        <f t="shared" si="8"/>
        <v>2.6385368983028457E-2</v>
      </c>
      <c r="R118" s="24">
        <f t="shared" si="9"/>
        <v>0.42828137747363826</v>
      </c>
      <c r="S118" s="20"/>
      <c r="T118" s="7"/>
      <c r="U118" s="7"/>
      <c r="V118" s="7"/>
      <c r="W118" s="7"/>
      <c r="X118" s="7"/>
      <c r="Y118" s="7"/>
      <c r="Z118" s="7"/>
      <c r="AA118" s="7"/>
    </row>
    <row r="119" spans="1:27" x14ac:dyDescent="0.2">
      <c r="A119" s="12">
        <v>45614</v>
      </c>
      <c r="B119" s="13">
        <v>0.65152777777777782</v>
      </c>
      <c r="C119" s="7">
        <v>33301</v>
      </c>
      <c r="D119" s="7">
        <v>347</v>
      </c>
      <c r="E119" s="7">
        <f t="shared" si="6"/>
        <v>0.34699999999999998</v>
      </c>
      <c r="F119" s="7">
        <v>100</v>
      </c>
      <c r="G119" s="7"/>
      <c r="H119" s="7"/>
      <c r="I119" s="7"/>
      <c r="J119" s="7"/>
      <c r="K119" s="7"/>
      <c r="L119" s="7"/>
      <c r="M119" s="7"/>
      <c r="N119" s="7"/>
      <c r="O119" s="7">
        <v>31117</v>
      </c>
      <c r="P119" s="1">
        <f t="shared" si="7"/>
        <v>0.16375818848609924</v>
      </c>
      <c r="Q119" s="25">
        <f t="shared" si="8"/>
        <v>2.681508703972213E-2</v>
      </c>
      <c r="R119" s="24">
        <f t="shared" si="9"/>
        <v>0.43118382730966687</v>
      </c>
      <c r="S119" s="20"/>
      <c r="T119" s="7"/>
      <c r="U119" s="7"/>
      <c r="V119" s="7"/>
      <c r="W119" s="7"/>
      <c r="X119" s="7"/>
      <c r="Y119" s="7"/>
      <c r="Z119" s="7"/>
      <c r="AA119" s="7"/>
    </row>
    <row r="120" spans="1:27" x14ac:dyDescent="0.2">
      <c r="A120" s="12">
        <v>45614</v>
      </c>
      <c r="B120" s="13">
        <v>0.65152777777777782</v>
      </c>
      <c r="C120" s="7">
        <v>33302</v>
      </c>
      <c r="D120" s="7">
        <v>347</v>
      </c>
      <c r="E120" s="7">
        <f t="shared" si="6"/>
        <v>0.34699999999999998</v>
      </c>
      <c r="F120" s="7">
        <v>100</v>
      </c>
      <c r="G120" s="7"/>
      <c r="H120" s="7"/>
      <c r="I120" s="7"/>
      <c r="J120" s="7"/>
      <c r="K120" s="7"/>
      <c r="L120" s="7"/>
      <c r="M120" s="7"/>
      <c r="N120" s="7"/>
      <c r="O120" s="7">
        <v>31118</v>
      </c>
      <c r="P120" s="1">
        <f t="shared" si="7"/>
        <v>0.16378512978553772</v>
      </c>
      <c r="Q120" s="25">
        <f t="shared" si="8"/>
        <v>2.7247744583291933E-2</v>
      </c>
      <c r="R120" s="24">
        <f t="shared" si="9"/>
        <v>0.43406272443036187</v>
      </c>
      <c r="S120" s="20"/>
      <c r="T120" s="7"/>
      <c r="U120" s="7"/>
      <c r="V120" s="7"/>
      <c r="W120" s="7"/>
      <c r="X120" s="7"/>
      <c r="Y120" s="7"/>
      <c r="Z120" s="7"/>
      <c r="AA120" s="7"/>
    </row>
    <row r="121" spans="1:27" x14ac:dyDescent="0.2">
      <c r="A121" s="12">
        <v>45614</v>
      </c>
      <c r="B121" s="13">
        <v>0.65152777777777782</v>
      </c>
      <c r="C121" s="7">
        <v>33331</v>
      </c>
      <c r="D121" s="7">
        <v>345</v>
      </c>
      <c r="E121" s="7">
        <f t="shared" si="6"/>
        <v>0.34499999999999997</v>
      </c>
      <c r="F121" s="7">
        <v>100</v>
      </c>
      <c r="G121" s="7"/>
      <c r="H121" s="7"/>
      <c r="I121" s="7"/>
      <c r="J121" s="7"/>
      <c r="K121" s="7"/>
      <c r="L121" s="7"/>
      <c r="M121" s="7"/>
      <c r="N121" s="7"/>
      <c r="O121" s="7">
        <v>31119</v>
      </c>
      <c r="P121" s="1">
        <f t="shared" si="7"/>
        <v>0.16381266713142395</v>
      </c>
      <c r="Q121" s="25">
        <f t="shared" si="8"/>
        <v>2.7683283406076953E-2</v>
      </c>
      <c r="R121" s="24">
        <f t="shared" si="9"/>
        <v>0.43691815410085155</v>
      </c>
      <c r="S121" s="20"/>
      <c r="T121" s="7"/>
      <c r="U121" s="7"/>
      <c r="V121" s="7"/>
      <c r="W121" s="7"/>
      <c r="X121" s="7"/>
      <c r="Y121" s="7"/>
      <c r="Z121" s="7"/>
      <c r="AA121" s="7"/>
    </row>
    <row r="122" spans="1:27" x14ac:dyDescent="0.2">
      <c r="A122" s="12">
        <v>45614</v>
      </c>
      <c r="B122" s="13">
        <v>0.65152777777777782</v>
      </c>
      <c r="C122" s="7">
        <v>33332</v>
      </c>
      <c r="D122" s="7">
        <v>345</v>
      </c>
      <c r="E122" s="7">
        <f t="shared" si="6"/>
        <v>0.34499999999999997</v>
      </c>
      <c r="F122" s="7">
        <v>100</v>
      </c>
      <c r="G122" s="7"/>
      <c r="H122" s="7"/>
      <c r="I122" s="7"/>
      <c r="J122" s="7"/>
      <c r="K122" s="7"/>
      <c r="L122" s="7"/>
      <c r="M122" s="7"/>
      <c r="N122" s="7"/>
      <c r="O122" s="7">
        <v>31120</v>
      </c>
      <c r="P122" s="1">
        <f t="shared" si="7"/>
        <v>0.16384032368659973</v>
      </c>
      <c r="Q122" s="25">
        <f t="shared" si="8"/>
        <v>2.8121587092755362E-2</v>
      </c>
      <c r="R122" s="24">
        <f t="shared" si="9"/>
        <v>0.43975018915176634</v>
      </c>
      <c r="S122" s="20"/>
      <c r="T122" s="7"/>
      <c r="U122" s="7"/>
      <c r="V122" s="7"/>
      <c r="W122" s="7"/>
      <c r="X122" s="7"/>
      <c r="Y122" s="7"/>
      <c r="Z122" s="7"/>
      <c r="AA122" s="7"/>
    </row>
    <row r="123" spans="1:27" x14ac:dyDescent="0.2">
      <c r="A123" s="12">
        <v>45614</v>
      </c>
      <c r="B123" s="13">
        <v>0.65152777777777782</v>
      </c>
      <c r="C123" s="7">
        <v>33361</v>
      </c>
      <c r="D123" s="7">
        <v>345</v>
      </c>
      <c r="E123" s="7">
        <f t="shared" si="6"/>
        <v>0.34499999999999997</v>
      </c>
      <c r="F123" s="7">
        <v>100</v>
      </c>
      <c r="G123" s="7"/>
      <c r="H123" s="7"/>
      <c r="I123" s="7"/>
      <c r="J123" s="7"/>
      <c r="K123" s="7"/>
      <c r="L123" s="7"/>
      <c r="M123" s="7"/>
      <c r="N123" s="7"/>
      <c r="O123" s="7">
        <v>31121</v>
      </c>
      <c r="P123" s="1">
        <f t="shared" si="7"/>
        <v>0.16386845707893372</v>
      </c>
      <c r="Q123" s="25">
        <f t="shared" si="8"/>
        <v>2.8562713850988075E-2</v>
      </c>
      <c r="R123" s="24">
        <f t="shared" si="9"/>
        <v>0.44255890596645031</v>
      </c>
      <c r="S123" s="20"/>
      <c r="T123" s="7"/>
      <c r="U123" s="7"/>
      <c r="V123" s="7"/>
      <c r="W123" s="7"/>
      <c r="X123" s="7"/>
      <c r="Y123" s="7"/>
      <c r="Z123" s="7"/>
      <c r="AA123" s="7"/>
    </row>
    <row r="124" spans="1:27" x14ac:dyDescent="0.2">
      <c r="A124" s="12">
        <v>45614</v>
      </c>
      <c r="B124" s="13">
        <v>0.65152777777777782</v>
      </c>
      <c r="C124" s="7">
        <v>33362</v>
      </c>
      <c r="D124" s="7">
        <v>345</v>
      </c>
      <c r="E124" s="7">
        <f t="shared" si="6"/>
        <v>0.34499999999999997</v>
      </c>
      <c r="F124" s="7">
        <v>100</v>
      </c>
      <c r="G124" s="7"/>
      <c r="H124" s="7"/>
      <c r="I124" s="7"/>
      <c r="J124" s="7"/>
      <c r="K124" s="7"/>
      <c r="L124" s="7"/>
      <c r="M124" s="7"/>
      <c r="N124" s="7"/>
      <c r="O124" s="7">
        <v>31122</v>
      </c>
      <c r="P124" s="1">
        <f t="shared" si="7"/>
        <v>0.16389718651771545</v>
      </c>
      <c r="Q124" s="25">
        <f t="shared" si="8"/>
        <v>2.9006663680775091E-2</v>
      </c>
      <c r="R124" s="24">
        <f t="shared" si="9"/>
        <v>0.44534437915189073</v>
      </c>
      <c r="S124" s="20"/>
      <c r="T124" s="7"/>
      <c r="U124" s="7"/>
      <c r="V124" s="7"/>
      <c r="W124" s="7"/>
      <c r="X124" s="7"/>
      <c r="Y124" s="7"/>
      <c r="Z124" s="7"/>
      <c r="AA124" s="7"/>
    </row>
    <row r="125" spans="1:27" x14ac:dyDescent="0.2">
      <c r="A125" s="12">
        <v>45614</v>
      </c>
      <c r="B125" s="13">
        <v>0.65152777777777782</v>
      </c>
      <c r="C125" s="7">
        <v>33371</v>
      </c>
      <c r="D125" s="7">
        <v>345</v>
      </c>
      <c r="E125" s="7">
        <f t="shared" si="6"/>
        <v>0.34499999999999997</v>
      </c>
      <c r="F125" s="7">
        <v>100</v>
      </c>
      <c r="G125" s="7"/>
      <c r="H125" s="7"/>
      <c r="I125" s="7"/>
      <c r="J125" s="7"/>
      <c r="K125" s="7"/>
      <c r="L125" s="7"/>
      <c r="M125" s="7"/>
      <c r="N125" s="7"/>
      <c r="O125" s="7">
        <v>31123</v>
      </c>
      <c r="P125" s="1">
        <f t="shared" si="7"/>
        <v>0.16392698884010315</v>
      </c>
      <c r="Q125" s="25">
        <f t="shared" si="8"/>
        <v>2.9453465685946867E-2</v>
      </c>
      <c r="R125" s="24">
        <f t="shared" si="9"/>
        <v>0.44810668331507486</v>
      </c>
      <c r="S125" s="20"/>
      <c r="T125" s="7"/>
      <c r="U125" s="7"/>
      <c r="V125" s="7"/>
      <c r="W125" s="7"/>
      <c r="X125" s="7"/>
      <c r="Y125" s="7"/>
      <c r="Z125" s="7"/>
      <c r="AA125" s="7"/>
    </row>
    <row r="126" spans="1:27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>
        <v>31124</v>
      </c>
      <c r="P126" s="1">
        <f t="shared" si="7"/>
        <v>0.16395655274391174</v>
      </c>
      <c r="Q126" s="25">
        <f t="shared" si="8"/>
        <v>2.9902916139690205E-2</v>
      </c>
      <c r="R126" s="24">
        <f t="shared" si="9"/>
        <v>0.45084590194477414</v>
      </c>
      <c r="S126" s="20"/>
      <c r="T126" s="7"/>
      <c r="U126" s="7"/>
      <c r="V126" s="7"/>
      <c r="W126" s="7"/>
      <c r="X126" s="7"/>
      <c r="Y126" s="7"/>
      <c r="Z126" s="7"/>
      <c r="AA126" s="7"/>
    </row>
    <row r="127" spans="1:27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>
        <v>31125</v>
      </c>
      <c r="P127" s="1">
        <f t="shared" si="7"/>
        <v>0.16398671269416809</v>
      </c>
      <c r="Q127" s="25">
        <f t="shared" si="8"/>
        <v>3.0355102353496477E-2</v>
      </c>
      <c r="R127" s="24">
        <f t="shared" si="9"/>
        <v>0.45356210254254847</v>
      </c>
      <c r="S127" s="20"/>
      <c r="T127" s="7"/>
      <c r="U127" s="7"/>
      <c r="V127" s="7"/>
      <c r="W127" s="7"/>
      <c r="X127" s="7"/>
      <c r="Y127" s="7"/>
      <c r="Z127" s="7"/>
      <c r="AA127" s="7"/>
    </row>
    <row r="128" spans="1:27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>
        <v>31126</v>
      </c>
      <c r="P128" s="1">
        <f t="shared" si="7"/>
        <v>0.16401675343513489</v>
      </c>
      <c r="Q128" s="25">
        <f t="shared" si="8"/>
        <v>3.0810024327365682E-2</v>
      </c>
      <c r="R128" s="24">
        <f t="shared" si="9"/>
        <v>0.45625536859716931</v>
      </c>
      <c r="S128" s="20"/>
      <c r="T128" s="7"/>
      <c r="U128" s="7"/>
      <c r="V128" s="7"/>
      <c r="W128" s="7"/>
      <c r="X128" s="7"/>
      <c r="Y128" s="7"/>
      <c r="Z128" s="7"/>
      <c r="AA128" s="7"/>
    </row>
    <row r="129" spans="1:27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>
        <v>31127</v>
      </c>
      <c r="P129" s="1">
        <f t="shared" si="7"/>
        <v>0.16404798626899719</v>
      </c>
      <c r="Q129" s="25">
        <f t="shared" si="8"/>
        <v>3.1267594749806449E-2</v>
      </c>
      <c r="R129" s="24">
        <f t="shared" si="9"/>
        <v>0.45892577649198074</v>
      </c>
      <c r="S129" s="20"/>
      <c r="T129" s="7"/>
      <c r="U129" s="7"/>
      <c r="V129" s="7"/>
      <c r="W129" s="7"/>
      <c r="X129" s="7"/>
      <c r="Y129" s="7"/>
      <c r="Z129" s="7"/>
      <c r="AA129" s="7"/>
    </row>
    <row r="130" spans="1:27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>
        <v>31128</v>
      </c>
      <c r="P130" s="1">
        <f t="shared" si="7"/>
        <v>0.16407909989356995</v>
      </c>
      <c r="Q130" s="25">
        <f t="shared" si="8"/>
        <v>3.1727871828479692E-2</v>
      </c>
      <c r="R130" s="24">
        <f t="shared" si="9"/>
        <v>0.46157338662311531</v>
      </c>
      <c r="S130" s="20"/>
      <c r="T130" s="7"/>
      <c r="U130" s="7"/>
      <c r="V130" s="7"/>
      <c r="W130" s="7"/>
      <c r="X130" s="7"/>
      <c r="Y130" s="7"/>
      <c r="Z130" s="7"/>
      <c r="AA130" s="7"/>
    </row>
    <row r="131" spans="1:27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>
        <v>31129</v>
      </c>
      <c r="P131" s="1">
        <f t="shared" si="7"/>
        <v>0.16411176323890686</v>
      </c>
      <c r="Q131" s="25">
        <f t="shared" si="8"/>
        <v>3.2190739148063585E-2</v>
      </c>
      <c r="R131" s="24">
        <f t="shared" si="9"/>
        <v>0.46419829136112867</v>
      </c>
      <c r="S131" s="20"/>
      <c r="T131" s="7"/>
      <c r="U131" s="7"/>
      <c r="V131" s="7"/>
      <c r="W131" s="7"/>
      <c r="X131" s="7"/>
      <c r="Y131" s="7"/>
      <c r="Z131" s="7"/>
      <c r="AA131" s="7"/>
    </row>
    <row r="132" spans="1:27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>
        <v>31130</v>
      </c>
      <c r="P132" s="1">
        <f t="shared" si="7"/>
        <v>0.16414394974708557</v>
      </c>
      <c r="Q132" s="25">
        <f t="shared" si="8"/>
        <v>3.2656284020049497E-2</v>
      </c>
      <c r="R132" s="24">
        <f t="shared" si="9"/>
        <v>0.46680056176029439</v>
      </c>
      <c r="S132" s="20"/>
      <c r="T132" s="7"/>
      <c r="U132" s="7"/>
      <c r="V132" s="7"/>
      <c r="W132" s="7"/>
      <c r="X132" s="7"/>
      <c r="Y132" s="7"/>
      <c r="Z132" s="7"/>
      <c r="AA132" s="7"/>
    </row>
    <row r="133" spans="1:27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>
        <v>31131</v>
      </c>
      <c r="P133" s="1">
        <f t="shared" si="7"/>
        <v>0.16417697072029114</v>
      </c>
      <c r="Q133" s="25">
        <f t="shared" si="8"/>
        <v>3.3124302717624232E-2</v>
      </c>
      <c r="R133" s="24">
        <f t="shared" si="9"/>
        <v>0.46938026887488604</v>
      </c>
      <c r="S133" s="20"/>
      <c r="T133" s="7"/>
      <c r="U133" s="7"/>
      <c r="V133" s="7"/>
      <c r="W133" s="7"/>
      <c r="X133" s="7"/>
      <c r="Y133" s="7"/>
      <c r="Z133" s="7"/>
      <c r="AA133" s="7"/>
    </row>
    <row r="134" spans="1:27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>
        <v>31132</v>
      </c>
      <c r="P134" s="1">
        <f t="shared" si="7"/>
        <v>0.16421034932136536</v>
      </c>
      <c r="Q134" s="25">
        <f t="shared" si="8"/>
        <v>3.3595028071431443E-2</v>
      </c>
      <c r="R134" s="24">
        <f t="shared" si="9"/>
        <v>0.47193749441731825</v>
      </c>
      <c r="S134" s="20"/>
      <c r="T134" s="7"/>
      <c r="U134" s="7"/>
      <c r="V134" s="7"/>
      <c r="W134" s="7"/>
      <c r="X134" s="7"/>
      <c r="Y134" s="7"/>
      <c r="Z134" s="7"/>
      <c r="AA134" s="7"/>
    </row>
    <row r="135" spans="1:27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>
        <v>31133</v>
      </c>
      <c r="P135" s="1">
        <f t="shared" si="7"/>
        <v>0.16424444317817688</v>
      </c>
      <c r="Q135" s="25">
        <f t="shared" si="8"/>
        <v>3.406819814699702E-2</v>
      </c>
      <c r="R135" s="24">
        <f t="shared" si="9"/>
        <v>0.4744723058891509</v>
      </c>
      <c r="S135" s="20"/>
      <c r="T135" s="7"/>
      <c r="U135" s="7"/>
      <c r="V135" s="7"/>
      <c r="W135" s="7"/>
      <c r="X135" s="7"/>
      <c r="Y135" s="7"/>
      <c r="Z135" s="7"/>
      <c r="AA135" s="7"/>
    </row>
    <row r="136" spans="1:27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>
        <v>31134</v>
      </c>
      <c r="P136" s="1">
        <f t="shared" si="7"/>
        <v>0.16427841782569885</v>
      </c>
      <c r="Q136" s="25">
        <f t="shared" si="8"/>
        <v>3.4543929359642789E-2</v>
      </c>
      <c r="R136" s="24">
        <f t="shared" si="9"/>
        <v>0.47698478500279862</v>
      </c>
      <c r="S136" s="20"/>
      <c r="T136" s="7"/>
      <c r="U136" s="7"/>
      <c r="V136" s="7"/>
      <c r="W136" s="7"/>
      <c r="X136" s="7"/>
      <c r="Y136" s="7"/>
      <c r="Z136" s="7"/>
      <c r="AA136" s="7"/>
    </row>
    <row r="137" spans="1:27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>
        <v>31135</v>
      </c>
      <c r="P137" s="1">
        <f t="shared" si="7"/>
        <v>0.16431322693824768</v>
      </c>
      <c r="Q137" s="25">
        <f t="shared" si="8"/>
        <v>3.502213439787738E-2</v>
      </c>
      <c r="R137" s="24">
        <f t="shared" si="9"/>
        <v>0.47947500281253497</v>
      </c>
      <c r="S137" s="20"/>
      <c r="T137" s="7"/>
      <c r="U137" s="7"/>
      <c r="V137" s="7"/>
      <c r="W137" s="7"/>
      <c r="X137" s="7"/>
      <c r="Y137" s="7"/>
      <c r="Z137" s="7"/>
      <c r="AA137" s="7"/>
    </row>
    <row r="138" spans="1:27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>
        <v>31136</v>
      </c>
      <c r="P138" s="1">
        <f t="shared" ref="P138:P201" si="10" xml:space="preserve"> -1.4681315616E-19*$O138^6 + 2.80493263066289E-14*$O138^5 - 2.23271907955907E-09*$O138^4 + 0.0000947783879077569*$O138^3 - 2.26293121558813*$O138^2 + 28813.4861268598*$O138 - 152852350.445896</f>
        <v>0.16434851288795471</v>
      </c>
      <c r="Q138" s="25">
        <f t="shared" ref="Q138:Q201" si="11" xml:space="preserve"> (6*-1.4681315616E-19*$O138^5 + 5*2.80493263066289E-14*$O138^4 - 4*2.23271907955907E-09*$O138^3 + 3*0.0000947783879077569*$O138^2 - 2*2.26293121558813*$O138^1 + 28813.4861268598)*1000</f>
        <v>3.5502871469361708E-2</v>
      </c>
      <c r="R138" s="24">
        <f t="shared" ref="R138:R201" si="12" xml:space="preserve"> (5*6*-1.4681315616E-19*$O138^4 + 4*5*2.80493263066289E-14*$O138^3 - 3*4*2.23271907955907E-09*$O138^2 + 2*3*0.0000947783879077569*$O138^1 - 2*2.26293121558813)*1000*1000</f>
        <v>0.48194303392534721</v>
      </c>
      <c r="S138" s="20"/>
      <c r="T138" s="7"/>
      <c r="U138" s="7"/>
      <c r="V138" s="7"/>
      <c r="W138" s="7"/>
      <c r="X138" s="7"/>
      <c r="Y138" s="7"/>
      <c r="Z138" s="7"/>
      <c r="AA138" s="7"/>
    </row>
    <row r="139" spans="1:27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>
        <v>31137</v>
      </c>
      <c r="P139" s="1">
        <f t="shared" si="10"/>
        <v>0.1643841564655304</v>
      </c>
      <c r="Q139" s="25">
        <f t="shared" si="11"/>
        <v>3.5986082366434857E-2</v>
      </c>
      <c r="R139" s="24">
        <f t="shared" si="12"/>
        <v>0.48438895827729311</v>
      </c>
      <c r="S139" s="20"/>
      <c r="T139" s="7"/>
      <c r="U139" s="7"/>
      <c r="V139" s="7"/>
      <c r="W139" s="7"/>
      <c r="X139" s="7"/>
      <c r="Y139" s="7"/>
      <c r="Z139" s="7"/>
      <c r="AA139" s="7"/>
    </row>
    <row r="140" spans="1:27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>
        <v>31138</v>
      </c>
      <c r="P140" s="1">
        <f t="shared" si="10"/>
        <v>0.16442039608955383</v>
      </c>
      <c r="Q140" s="25">
        <f t="shared" si="11"/>
        <v>3.6471621569944546E-2</v>
      </c>
      <c r="R140" s="24">
        <f t="shared" si="12"/>
        <v>0.48681284514628942</v>
      </c>
      <c r="S140" s="20"/>
      <c r="T140" s="7"/>
      <c r="U140" s="7"/>
      <c r="V140" s="7"/>
      <c r="W140" s="7"/>
      <c r="X140" s="7"/>
      <c r="Y140" s="7"/>
      <c r="Z140" s="7"/>
      <c r="AA140" s="7"/>
    </row>
    <row r="141" spans="1:27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>
        <v>31139</v>
      </c>
      <c r="P141" s="1">
        <f t="shared" si="10"/>
        <v>0.16445687413215637</v>
      </c>
      <c r="Q141" s="25">
        <f t="shared" si="11"/>
        <v>3.6959634599043056E-2</v>
      </c>
      <c r="R141" s="24">
        <f t="shared" si="12"/>
        <v>0.48921476736296654</v>
      </c>
      <c r="S141" s="20"/>
      <c r="T141" s="7"/>
      <c r="U141" s="7"/>
      <c r="V141" s="7"/>
      <c r="W141" s="7"/>
      <c r="X141" s="7"/>
      <c r="Y141" s="7"/>
      <c r="Z141" s="7"/>
      <c r="AA141" s="7"/>
    </row>
    <row r="142" spans="1:27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>
        <v>31140</v>
      </c>
      <c r="P142" s="1">
        <f t="shared" si="10"/>
        <v>0.16449418663978577</v>
      </c>
      <c r="Q142" s="25">
        <f t="shared" si="11"/>
        <v>3.7450063246069476E-2</v>
      </c>
      <c r="R142" s="24">
        <f t="shared" si="12"/>
        <v>0.49159480841609593</v>
      </c>
      <c r="S142" s="20"/>
      <c r="T142" s="7"/>
      <c r="U142" s="7"/>
      <c r="V142" s="7"/>
      <c r="W142" s="7"/>
      <c r="X142" s="7"/>
      <c r="Y142" s="7"/>
      <c r="Z142" s="7"/>
      <c r="AA142" s="7"/>
    </row>
    <row r="143" spans="1:27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>
        <v>31141</v>
      </c>
      <c r="P143" s="1">
        <f t="shared" si="10"/>
        <v>0.16453233361244202</v>
      </c>
      <c r="Q143" s="25">
        <f t="shared" si="11"/>
        <v>3.7942878407193348E-2</v>
      </c>
      <c r="R143" s="24">
        <f t="shared" si="12"/>
        <v>0.49395303580723748</v>
      </c>
      <c r="S143" s="20"/>
      <c r="T143" s="7"/>
      <c r="U143" s="7"/>
      <c r="V143" s="7"/>
      <c r="W143" s="7"/>
      <c r="X143" s="7"/>
      <c r="Y143" s="7"/>
      <c r="Z143" s="7"/>
      <c r="AA143" s="7"/>
    </row>
    <row r="144" spans="1:27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>
        <v>31142</v>
      </c>
      <c r="P144" s="1">
        <f t="shared" si="10"/>
        <v>0.16457012295722961</v>
      </c>
      <c r="Q144" s="25">
        <f t="shared" si="11"/>
        <v>3.8437934563262388E-2</v>
      </c>
      <c r="R144" s="24">
        <f t="shared" si="12"/>
        <v>0.49628952059066478</v>
      </c>
      <c r="S144" s="20"/>
      <c r="T144" s="7"/>
      <c r="U144" s="7"/>
      <c r="V144" s="7"/>
      <c r="W144" s="7"/>
      <c r="X144" s="7"/>
      <c r="Y144" s="7"/>
      <c r="Z144" s="7"/>
      <c r="AA144" s="7"/>
    </row>
    <row r="145" spans="1:27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>
        <v>31143</v>
      </c>
      <c r="P145" s="1">
        <f t="shared" si="10"/>
        <v>0.16460874676704407</v>
      </c>
      <c r="Q145" s="25">
        <f t="shared" si="11"/>
        <v>3.8935406337259337E-2</v>
      </c>
      <c r="R145" s="24">
        <f t="shared" si="12"/>
        <v>0.49860434447879243</v>
      </c>
      <c r="S145" s="20"/>
      <c r="T145" s="7"/>
      <c r="U145" s="7"/>
      <c r="V145" s="7"/>
      <c r="W145" s="7"/>
      <c r="X145" s="7"/>
      <c r="Y145" s="7"/>
      <c r="Z145" s="7"/>
      <c r="AA145" s="7"/>
    </row>
    <row r="146" spans="1:27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>
        <v>31144</v>
      </c>
      <c r="P146" s="1">
        <f t="shared" si="10"/>
        <v>0.16464832425117493</v>
      </c>
      <c r="Q146" s="25">
        <f t="shared" si="11"/>
        <v>3.9435148210031912E-2</v>
      </c>
      <c r="R146" s="24">
        <f t="shared" si="12"/>
        <v>0.50089758385496452</v>
      </c>
      <c r="S146" s="20"/>
      <c r="T146" s="7"/>
      <c r="U146" s="7"/>
      <c r="V146" s="7"/>
      <c r="W146" s="7"/>
      <c r="X146" s="7"/>
      <c r="Y146" s="7"/>
      <c r="Z146" s="7"/>
      <c r="AA146" s="7"/>
    </row>
    <row r="147" spans="1:27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>
        <v>31145</v>
      </c>
      <c r="P147" s="1">
        <f t="shared" si="10"/>
        <v>0.16468754410743713</v>
      </c>
      <c r="Q147" s="25">
        <f t="shared" si="11"/>
        <v>3.9937218389241025E-2</v>
      </c>
      <c r="R147" s="24">
        <f t="shared" si="12"/>
        <v>0.50316930266802729</v>
      </c>
      <c r="S147" s="20"/>
      <c r="T147" s="7"/>
      <c r="U147" s="7"/>
      <c r="V147" s="7"/>
      <c r="W147" s="7"/>
      <c r="X147" s="7"/>
      <c r="Y147" s="7"/>
      <c r="Z147" s="7"/>
      <c r="AA147" s="7"/>
    </row>
    <row r="148" spans="1:27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>
        <v>31146</v>
      </c>
      <c r="P148" s="1">
        <f t="shared" si="10"/>
        <v>0.1647278368473053</v>
      </c>
      <c r="Q148" s="25">
        <f t="shared" si="11"/>
        <v>4.044150045956485E-2</v>
      </c>
      <c r="R148" s="24">
        <f t="shared" si="12"/>
        <v>0.50541957197225429</v>
      </c>
      <c r="S148" s="20"/>
      <c r="T148" s="7"/>
      <c r="U148" s="7"/>
      <c r="V148" s="7"/>
      <c r="W148" s="7"/>
      <c r="X148" s="7"/>
      <c r="Y148" s="7"/>
      <c r="Z148" s="7"/>
      <c r="AA148" s="7"/>
    </row>
    <row r="149" spans="1:27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>
        <v>31147</v>
      </c>
      <c r="P149" s="1">
        <f t="shared" si="10"/>
        <v>0.16476860642433167</v>
      </c>
      <c r="Q149" s="25">
        <f t="shared" si="11"/>
        <v>4.0947994421003386E-2</v>
      </c>
      <c r="R149" s="24">
        <f t="shared" si="12"/>
        <v>0.50764848236184434</v>
      </c>
      <c r="S149" s="20"/>
      <c r="T149" s="7"/>
      <c r="U149" s="7"/>
      <c r="V149" s="7"/>
      <c r="W149" s="7"/>
      <c r="X149" s="7"/>
      <c r="Y149" s="7"/>
      <c r="Z149" s="7"/>
      <c r="AA149" s="7"/>
    </row>
    <row r="150" spans="1:27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>
        <v>31148</v>
      </c>
      <c r="P150" s="1">
        <f t="shared" si="10"/>
        <v>0.16480949521064758</v>
      </c>
      <c r="Q150" s="25">
        <f t="shared" si="11"/>
        <v>4.1456787585048005E-2</v>
      </c>
      <c r="R150" s="24">
        <f t="shared" si="12"/>
        <v>0.50985609068021631</v>
      </c>
      <c r="S150" s="20"/>
      <c r="T150" s="7"/>
      <c r="U150" s="7"/>
      <c r="V150" s="7"/>
      <c r="W150" s="7"/>
      <c r="X150" s="7"/>
      <c r="Y150" s="7"/>
      <c r="Z150" s="7"/>
      <c r="AA150" s="7"/>
    </row>
    <row r="151" spans="1:27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>
        <v>31149</v>
      </c>
      <c r="P151" s="1">
        <f t="shared" si="10"/>
        <v>0.16485193371772766</v>
      </c>
      <c r="Q151" s="25">
        <f t="shared" si="11"/>
        <v>4.1967705328715965E-2</v>
      </c>
      <c r="R151" s="24">
        <f t="shared" si="12"/>
        <v>0.51204247686342796</v>
      </c>
      <c r="S151" s="20"/>
      <c r="T151" s="7"/>
      <c r="U151" s="7"/>
      <c r="V151" s="7"/>
      <c r="W151" s="7"/>
      <c r="X151" s="7"/>
      <c r="Y151" s="7"/>
      <c r="Z151" s="7"/>
      <c r="AA151" s="7"/>
    </row>
    <row r="152" spans="1:27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>
        <v>31150</v>
      </c>
      <c r="P152" s="1">
        <f t="shared" si="10"/>
        <v>0.16489365696907043</v>
      </c>
      <c r="Q152" s="25">
        <f t="shared" si="11"/>
        <v>4.2480834963498637E-2</v>
      </c>
      <c r="R152" s="24">
        <f t="shared" si="12"/>
        <v>0.51420771907118024</v>
      </c>
      <c r="S152" s="20"/>
      <c r="T152" s="7"/>
      <c r="U152" s="7"/>
      <c r="V152" s="7"/>
      <c r="W152" s="7"/>
      <c r="X152" s="7"/>
      <c r="Y152" s="7"/>
      <c r="Z152" s="7"/>
      <c r="AA152" s="7"/>
    </row>
    <row r="153" spans="1:27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>
        <v>31151</v>
      </c>
      <c r="P153" s="1">
        <f t="shared" si="10"/>
        <v>0.16493669152259827</v>
      </c>
      <c r="Q153" s="25">
        <f t="shared" si="11"/>
        <v>4.2996089177904651E-2</v>
      </c>
      <c r="R153" s="24">
        <f t="shared" si="12"/>
        <v>0.51635187947596251</v>
      </c>
      <c r="S153" s="20"/>
      <c r="T153" s="7"/>
      <c r="U153" s="7"/>
      <c r="V153" s="7"/>
      <c r="W153" s="7"/>
      <c r="X153" s="7"/>
      <c r="Y153" s="7"/>
      <c r="Z153" s="7"/>
      <c r="AA153" s="7"/>
    </row>
    <row r="154" spans="1:27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>
        <v>31152</v>
      </c>
      <c r="P154" s="1">
        <f t="shared" si="10"/>
        <v>0.16498008370399475</v>
      </c>
      <c r="Q154" s="25">
        <f t="shared" si="11"/>
        <v>4.3513555283425376E-2</v>
      </c>
      <c r="R154" s="24">
        <f t="shared" si="12"/>
        <v>0.51847504334290306</v>
      </c>
      <c r="S154" s="20"/>
      <c r="T154" s="7"/>
      <c r="U154" s="7"/>
      <c r="V154" s="7"/>
      <c r="W154" s="7"/>
      <c r="X154" s="7"/>
      <c r="Y154" s="7"/>
      <c r="Z154" s="7"/>
      <c r="AA154" s="7"/>
    </row>
    <row r="155" spans="1:27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>
        <v>31153</v>
      </c>
      <c r="P155" s="1">
        <f t="shared" si="10"/>
        <v>0.16502347588539124</v>
      </c>
      <c r="Q155" s="25">
        <f t="shared" si="11"/>
        <v>4.4033087760908529E-2</v>
      </c>
      <c r="R155" s="24">
        <f t="shared" si="12"/>
        <v>0.52057727462084813</v>
      </c>
      <c r="S155" s="20"/>
      <c r="T155" s="7"/>
      <c r="U155" s="7"/>
      <c r="V155" s="7"/>
      <c r="W155" s="7"/>
      <c r="X155" s="7"/>
      <c r="Y155" s="7"/>
      <c r="Z155" s="7"/>
      <c r="AA155" s="7"/>
    </row>
    <row r="156" spans="1:27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>
        <v>31154</v>
      </c>
      <c r="P156" s="1">
        <f t="shared" si="10"/>
        <v>0.16506817936897278</v>
      </c>
      <c r="Q156" s="25">
        <f t="shared" si="11"/>
        <v>4.4554715714184567E-2</v>
      </c>
      <c r="R156" s="24">
        <f t="shared" si="12"/>
        <v>0.52265865324585548</v>
      </c>
      <c r="S156" s="20"/>
      <c r="T156" s="7"/>
      <c r="U156" s="7"/>
      <c r="V156" s="7"/>
      <c r="W156" s="7"/>
      <c r="X156" s="7"/>
      <c r="Y156" s="7"/>
      <c r="Z156" s="7"/>
      <c r="AA156" s="7"/>
    </row>
    <row r="157" spans="1:27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>
        <v>31155</v>
      </c>
      <c r="P157" s="1">
        <f t="shared" si="10"/>
        <v>0.16511252522468567</v>
      </c>
      <c r="Q157" s="25">
        <f t="shared" si="11"/>
        <v>4.5078410039423034E-2</v>
      </c>
      <c r="R157" s="24">
        <f t="shared" si="12"/>
        <v>0.52471924494312816</v>
      </c>
      <c r="S157" s="20"/>
      <c r="T157" s="7"/>
      <c r="U157" s="7"/>
      <c r="V157" s="7"/>
      <c r="W157" s="7"/>
      <c r="X157" s="7"/>
      <c r="Y157" s="7"/>
      <c r="Z157" s="7"/>
      <c r="AA157" s="7"/>
    </row>
    <row r="158" spans="1:27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>
        <v>31156</v>
      </c>
      <c r="P158" s="1">
        <f t="shared" si="10"/>
        <v>0.16515830159187317</v>
      </c>
      <c r="Q158" s="25">
        <f t="shared" si="11"/>
        <v>4.5604141632793471E-2</v>
      </c>
      <c r="R158" s="24">
        <f t="shared" si="12"/>
        <v>0.5267591314250808</v>
      </c>
      <c r="S158" s="20"/>
      <c r="T158" s="7"/>
      <c r="U158" s="7"/>
      <c r="V158" s="7"/>
      <c r="W158" s="7"/>
      <c r="X158" s="7"/>
      <c r="Y158" s="7"/>
      <c r="Z158" s="7"/>
      <c r="AA158" s="7"/>
    </row>
    <row r="159" spans="1:27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>
        <v>31157</v>
      </c>
      <c r="P159" s="1">
        <f t="shared" si="10"/>
        <v>0.16520395874977112</v>
      </c>
      <c r="Q159" s="25">
        <f t="shared" si="11"/>
        <v>4.6131852286634967E-2</v>
      </c>
      <c r="R159" s="24">
        <f t="shared" si="12"/>
        <v>0.5287783766405596</v>
      </c>
      <c r="S159" s="20"/>
      <c r="T159" s="7"/>
      <c r="U159" s="7"/>
      <c r="V159" s="7"/>
      <c r="W159" s="7"/>
      <c r="X159" s="7"/>
      <c r="Y159" s="7"/>
      <c r="Z159" s="7"/>
      <c r="AA159" s="7"/>
    </row>
    <row r="160" spans="1:27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>
        <v>31158</v>
      </c>
      <c r="P160" s="1">
        <f t="shared" si="10"/>
        <v>0.16525021195411682</v>
      </c>
      <c r="Q160" s="25">
        <f t="shared" si="11"/>
        <v>4.6661687520099804E-2</v>
      </c>
      <c r="R160" s="24">
        <f t="shared" si="12"/>
        <v>0.53077705519655183</v>
      </c>
      <c r="S160" s="20"/>
      <c r="T160" s="7"/>
      <c r="U160" s="7"/>
      <c r="V160" s="7"/>
      <c r="W160" s="7"/>
      <c r="X160" s="7"/>
      <c r="Y160" s="7"/>
      <c r="Z160" s="7"/>
      <c r="AA160" s="7"/>
    </row>
    <row r="161" spans="1:27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>
        <v>31159</v>
      </c>
      <c r="P161" s="1">
        <f t="shared" si="10"/>
        <v>0.16529741883277893</v>
      </c>
      <c r="Q161" s="25">
        <f t="shared" si="11"/>
        <v>4.7193472710205242E-2</v>
      </c>
      <c r="R161" s="24">
        <f t="shared" si="12"/>
        <v>0.5327552399236879</v>
      </c>
      <c r="S161" s="20"/>
      <c r="T161" s="7"/>
      <c r="U161" s="7"/>
      <c r="V161" s="7"/>
      <c r="W161" s="7"/>
      <c r="X161" s="7"/>
      <c r="Y161" s="7"/>
      <c r="Z161" s="7"/>
      <c r="AA161" s="7"/>
    </row>
    <row r="162" spans="1:27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>
        <v>31160</v>
      </c>
      <c r="P162" s="1">
        <f t="shared" si="10"/>
        <v>0.16534450650215149</v>
      </c>
      <c r="Q162" s="25">
        <f t="shared" si="11"/>
        <v>4.7727149649290368E-2</v>
      </c>
      <c r="R162" s="24">
        <f t="shared" si="12"/>
        <v>0.53471300365259822</v>
      </c>
      <c r="S162" s="20"/>
      <c r="T162" s="7"/>
      <c r="U162" s="7"/>
      <c r="V162" s="7"/>
      <c r="W162" s="7"/>
      <c r="X162" s="7"/>
      <c r="Y162" s="7"/>
      <c r="Z162" s="7"/>
      <c r="AA162" s="7"/>
    </row>
    <row r="163" spans="1:27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>
        <v>31161</v>
      </c>
      <c r="P163" s="1">
        <f t="shared" si="10"/>
        <v>0.16539266705513</v>
      </c>
      <c r="Q163" s="25">
        <f t="shared" si="11"/>
        <v>4.8262892960337922E-2</v>
      </c>
      <c r="R163" s="24">
        <f t="shared" si="12"/>
        <v>0.53665042099027005</v>
      </c>
      <c r="S163" s="20"/>
      <c r="T163" s="7"/>
      <c r="U163" s="7"/>
      <c r="V163" s="7"/>
      <c r="W163" s="7"/>
      <c r="X163" s="7"/>
      <c r="Y163" s="7"/>
      <c r="Z163" s="7"/>
      <c r="AA163" s="7"/>
    </row>
    <row r="164" spans="1:27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>
        <v>31162</v>
      </c>
      <c r="P164" s="1">
        <f t="shared" si="10"/>
        <v>0.16544106602668762</v>
      </c>
      <c r="Q164" s="25">
        <f t="shared" si="11"/>
        <v>4.880046981270425E-2</v>
      </c>
      <c r="R164" s="24">
        <f t="shared" si="12"/>
        <v>0.53856756476733381</v>
      </c>
      <c r="S164" s="20"/>
      <c r="T164" s="7"/>
      <c r="U164" s="7"/>
      <c r="V164" s="7"/>
      <c r="W164" s="7"/>
      <c r="X164" s="7"/>
      <c r="Y164" s="7"/>
      <c r="Z164" s="7"/>
      <c r="AA164" s="7"/>
    </row>
    <row r="165" spans="1:27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>
        <v>31163</v>
      </c>
      <c r="P165" s="1">
        <f t="shared" si="10"/>
        <v>0.16549006104469299</v>
      </c>
      <c r="Q165" s="25">
        <f t="shared" si="11"/>
        <v>4.933999662171118E-2</v>
      </c>
      <c r="R165" s="24">
        <f t="shared" si="12"/>
        <v>0.54046449715627887</v>
      </c>
      <c r="S165" s="20"/>
      <c r="T165" s="7"/>
      <c r="U165" s="7"/>
      <c r="V165" s="7"/>
      <c r="W165" s="7"/>
      <c r="X165" s="7"/>
      <c r="Y165" s="7"/>
      <c r="Z165" s="7"/>
      <c r="AA165" s="7"/>
    </row>
    <row r="166" spans="1:27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>
        <v>31164</v>
      </c>
      <c r="P166" s="1">
        <f t="shared" si="10"/>
        <v>0.16553965210914612</v>
      </c>
      <c r="Q166" s="25">
        <f t="shared" si="11"/>
        <v>4.9881444283528253E-2</v>
      </c>
      <c r="R166" s="24">
        <f t="shared" si="12"/>
        <v>0.54234130519859036</v>
      </c>
      <c r="S166" s="20"/>
      <c r="T166" s="7"/>
      <c r="U166" s="7"/>
      <c r="V166" s="7"/>
      <c r="W166" s="7"/>
      <c r="X166" s="7"/>
      <c r="Y166" s="7"/>
      <c r="Z166" s="7"/>
      <c r="AA166" s="7"/>
    </row>
    <row r="167" spans="1:27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>
        <v>31165</v>
      </c>
      <c r="P167" s="1">
        <f t="shared" si="10"/>
        <v>0.16558972001075745</v>
      </c>
      <c r="Q167" s="25">
        <f t="shared" si="11"/>
        <v>5.0424667279003188E-2</v>
      </c>
      <c r="R167" s="24">
        <f t="shared" si="12"/>
        <v>0.54419804573768715</v>
      </c>
      <c r="S167" s="20"/>
      <c r="T167" s="7"/>
      <c r="U167" s="7"/>
      <c r="V167" s="7"/>
      <c r="W167" s="7"/>
      <c r="X167" s="7"/>
      <c r="Y167" s="7"/>
      <c r="Z167" s="7"/>
      <c r="AA167" s="7"/>
    </row>
    <row r="168" spans="1:27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>
        <v>31166</v>
      </c>
      <c r="P168" s="1">
        <f t="shared" si="10"/>
        <v>0.16564062237739563</v>
      </c>
      <c r="Q168" s="25">
        <f t="shared" si="11"/>
        <v>5.096978202345781E-2</v>
      </c>
      <c r="R168" s="24">
        <f t="shared" si="12"/>
        <v>0.54603479693327017</v>
      </c>
      <c r="S168" s="20"/>
      <c r="T168" s="7"/>
      <c r="U168" s="7"/>
      <c r="V168" s="7"/>
      <c r="W168" s="7"/>
      <c r="X168" s="7"/>
      <c r="Y168" s="7"/>
      <c r="Z168" s="7"/>
      <c r="AA168" s="7"/>
    </row>
    <row r="169" spans="1:27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>
        <v>31167</v>
      </c>
      <c r="P169" s="1">
        <f t="shared" si="10"/>
        <v>0.16569235920906067</v>
      </c>
      <c r="Q169" s="25">
        <f t="shared" si="11"/>
        <v>5.151678851689212E-2</v>
      </c>
      <c r="R169" s="24">
        <f t="shared" si="12"/>
        <v>0.54785162806325616</v>
      </c>
      <c r="S169" s="20"/>
      <c r="T169" s="7"/>
      <c r="U169" s="7"/>
      <c r="V169" s="7"/>
      <c r="W169" s="7"/>
      <c r="X169" s="7"/>
      <c r="Y169" s="7"/>
      <c r="Z169" s="7"/>
      <c r="AA169" s="7"/>
    </row>
    <row r="170" spans="1:27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>
        <v>31168</v>
      </c>
      <c r="P170" s="1">
        <f t="shared" si="10"/>
        <v>0.16574385762214661</v>
      </c>
      <c r="Q170" s="25">
        <f t="shared" si="11"/>
        <v>5.2065483032492921E-2</v>
      </c>
      <c r="R170" s="24">
        <f t="shared" si="12"/>
        <v>0.5496486155109892</v>
      </c>
      <c r="S170" s="20"/>
      <c r="T170" s="7"/>
      <c r="U170" s="7"/>
      <c r="V170" s="7"/>
      <c r="W170" s="7"/>
      <c r="X170" s="7"/>
      <c r="Y170" s="7"/>
      <c r="Z170" s="7"/>
      <c r="AA170" s="7"/>
    </row>
    <row r="171" spans="1:27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>
        <v>31169</v>
      </c>
      <c r="P171" s="1">
        <f t="shared" si="10"/>
        <v>0.1657957136631012</v>
      </c>
      <c r="Q171" s="25">
        <f t="shared" si="11"/>
        <v>5.2616040193242952E-2</v>
      </c>
      <c r="R171" s="24">
        <f t="shared" si="12"/>
        <v>0.55142583210709972</v>
      </c>
      <c r="S171" s="20"/>
      <c r="T171" s="7"/>
      <c r="U171" s="7"/>
      <c r="V171" s="7"/>
      <c r="W171" s="7"/>
      <c r="X171" s="7"/>
      <c r="Y171" s="7"/>
      <c r="Z171" s="7"/>
      <c r="AA171" s="7"/>
    </row>
    <row r="172" spans="1:27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>
        <v>31170</v>
      </c>
      <c r="P172" s="1">
        <f t="shared" si="10"/>
        <v>0.16584888100624084</v>
      </c>
      <c r="Q172" s="25">
        <f t="shared" si="11"/>
        <v>5.3168314479989931E-2</v>
      </c>
      <c r="R172" s="24">
        <f t="shared" si="12"/>
        <v>0.55318334180043394</v>
      </c>
      <c r="S172" s="20"/>
      <c r="T172" s="7"/>
      <c r="U172" s="7"/>
      <c r="V172" s="7"/>
      <c r="W172" s="7"/>
      <c r="X172" s="7"/>
      <c r="Y172" s="7"/>
      <c r="Z172" s="7"/>
      <c r="AA172" s="7"/>
    </row>
    <row r="173" spans="1:27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>
        <v>31171</v>
      </c>
      <c r="P173" s="1">
        <f t="shared" si="10"/>
        <v>0.16590228676795959</v>
      </c>
      <c r="Q173" s="25">
        <f t="shared" si="11"/>
        <v>5.3722393204225227E-2</v>
      </c>
      <c r="R173" s="24">
        <f t="shared" si="12"/>
        <v>0.55492121742162226</v>
      </c>
      <c r="S173" s="20"/>
      <c r="T173" s="7"/>
      <c r="U173" s="7"/>
      <c r="V173" s="7"/>
      <c r="W173" s="7"/>
      <c r="X173" s="7"/>
      <c r="Y173" s="7"/>
      <c r="Z173" s="7"/>
      <c r="AA173" s="7"/>
    </row>
    <row r="174" spans="1:27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>
        <v>31172</v>
      </c>
      <c r="P174" s="1">
        <f t="shared" si="10"/>
        <v>0.1659562885761261</v>
      </c>
      <c r="Q174" s="25">
        <f t="shared" si="11"/>
        <v>5.4278159950627014E-2</v>
      </c>
      <c r="R174" s="24">
        <f t="shared" si="12"/>
        <v>0.55663953180129511</v>
      </c>
      <c r="S174" s="20"/>
      <c r="T174" s="7"/>
      <c r="U174" s="7"/>
      <c r="V174" s="7"/>
      <c r="W174" s="7"/>
      <c r="X174" s="7"/>
      <c r="Y174" s="7"/>
      <c r="Z174" s="7"/>
      <c r="AA174" s="7"/>
    </row>
    <row r="175" spans="1:27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>
        <v>31173</v>
      </c>
      <c r="P175" s="1">
        <f t="shared" si="10"/>
        <v>0.16601112484931946</v>
      </c>
      <c r="Q175" s="25">
        <f t="shared" si="11"/>
        <v>5.4835702030686662E-2</v>
      </c>
      <c r="R175" s="24">
        <f t="shared" si="12"/>
        <v>0.55833835777008289</v>
      </c>
      <c r="S175" s="20"/>
      <c r="T175" s="7"/>
      <c r="U175" s="7"/>
      <c r="V175" s="7"/>
      <c r="W175" s="7"/>
      <c r="X175" s="7"/>
      <c r="Y175" s="7"/>
      <c r="Z175" s="7"/>
      <c r="AA175" s="7"/>
    </row>
    <row r="176" spans="1:27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>
        <v>31174</v>
      </c>
      <c r="P176" s="1">
        <f t="shared" si="10"/>
        <v>0.16606619954109192</v>
      </c>
      <c r="Q176" s="25">
        <f t="shared" si="11"/>
        <v>5.539484482142143E-2</v>
      </c>
      <c r="R176" s="24">
        <f t="shared" si="12"/>
        <v>0.56001776105318868</v>
      </c>
      <c r="S176" s="20"/>
      <c r="T176" s="7"/>
      <c r="U176" s="7"/>
      <c r="V176" s="7"/>
      <c r="W176" s="7"/>
      <c r="X176" s="7"/>
      <c r="Y176" s="7"/>
      <c r="Z176" s="7"/>
      <c r="AA176" s="7"/>
    </row>
    <row r="177" spans="1:27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>
        <v>31175</v>
      </c>
      <c r="P177" s="1">
        <f t="shared" si="10"/>
        <v>0.16612163186073303</v>
      </c>
      <c r="Q177" s="25">
        <f t="shared" si="11"/>
        <v>5.5955675634322688E-2</v>
      </c>
      <c r="R177" s="24">
        <f t="shared" si="12"/>
        <v>0.56167781448124288</v>
      </c>
      <c r="S177" s="20"/>
      <c r="T177" s="7"/>
      <c r="U177" s="7"/>
      <c r="V177" s="7"/>
      <c r="W177" s="7"/>
      <c r="X177" s="7"/>
      <c r="Y177" s="7"/>
      <c r="Z177" s="7"/>
      <c r="AA177" s="7"/>
    </row>
    <row r="178" spans="1:27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>
        <v>31176</v>
      </c>
      <c r="P178" s="1">
        <f t="shared" si="10"/>
        <v>0.1661783754825592</v>
      </c>
      <c r="Q178" s="25">
        <f t="shared" si="11"/>
        <v>5.6518194469390437E-2</v>
      </c>
      <c r="R178" s="24">
        <f t="shared" si="12"/>
        <v>0.56331859443758958</v>
      </c>
      <c r="S178" s="20"/>
      <c r="T178" s="7"/>
      <c r="U178" s="7"/>
      <c r="V178" s="7"/>
      <c r="W178" s="7"/>
      <c r="X178" s="7"/>
      <c r="Y178" s="7"/>
      <c r="Z178" s="7"/>
      <c r="AA178" s="7"/>
    </row>
    <row r="179" spans="1:27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>
        <v>31177</v>
      </c>
      <c r="P179" s="1">
        <f t="shared" si="10"/>
        <v>0.16623511910438538</v>
      </c>
      <c r="Q179" s="25">
        <f t="shared" si="11"/>
        <v>5.7082314015133306E-2</v>
      </c>
      <c r="R179" s="24">
        <f t="shared" si="12"/>
        <v>0.56494016664743185</v>
      </c>
      <c r="S179" s="20"/>
      <c r="T179" s="7"/>
      <c r="U179" s="7"/>
      <c r="V179" s="7"/>
      <c r="W179" s="7"/>
      <c r="X179" s="7"/>
      <c r="Y179" s="7"/>
      <c r="Z179" s="7"/>
      <c r="AA179" s="7"/>
    </row>
    <row r="180" spans="1:27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>
        <v>31178</v>
      </c>
      <c r="P180" s="1">
        <f t="shared" si="10"/>
        <v>0.1662919819355011</v>
      </c>
      <c r="Q180" s="25">
        <f t="shared" si="11"/>
        <v>5.7648063375381753E-2</v>
      </c>
      <c r="R180" s="24">
        <f t="shared" si="12"/>
        <v>0.56654259328325907</v>
      </c>
      <c r="S180" s="20"/>
      <c r="T180" s="7"/>
      <c r="U180" s="7"/>
      <c r="V180" s="7"/>
      <c r="W180" s="7"/>
      <c r="X180" s="7"/>
      <c r="Y180" s="7"/>
      <c r="Z180" s="7"/>
      <c r="AA180" s="7"/>
    </row>
    <row r="181" spans="1:27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>
        <v>31179</v>
      </c>
      <c r="P181" s="1">
        <f t="shared" si="10"/>
        <v>0.16635015606880188</v>
      </c>
      <c r="Q181" s="25">
        <f t="shared" si="11"/>
        <v>5.8215355238644406E-2</v>
      </c>
      <c r="R181" s="24">
        <f t="shared" si="12"/>
        <v>0.56812595961019952</v>
      </c>
      <c r="S181" s="20"/>
      <c r="T181" s="7"/>
      <c r="U181" s="7"/>
      <c r="V181" s="7"/>
      <c r="W181" s="7"/>
      <c r="X181" s="7"/>
      <c r="Y181" s="7"/>
      <c r="Z181" s="7"/>
      <c r="AA181" s="7"/>
    </row>
    <row r="182" spans="1:27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>
        <v>31180</v>
      </c>
      <c r="P182" s="1">
        <f t="shared" si="10"/>
        <v>0.16640880703926086</v>
      </c>
      <c r="Q182" s="25">
        <f t="shared" si="11"/>
        <v>5.8784306020243093E-2</v>
      </c>
      <c r="R182" s="24">
        <f t="shared" si="12"/>
        <v>0.56969032957709942</v>
      </c>
      <c r="S182" s="20"/>
      <c r="T182" s="7"/>
      <c r="U182" s="7"/>
      <c r="V182" s="7"/>
      <c r="W182" s="7"/>
      <c r="X182" s="7"/>
      <c r="Y182" s="7"/>
      <c r="Z182" s="7"/>
      <c r="AA182" s="7"/>
    </row>
    <row r="183" spans="1:27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>
        <v>31181</v>
      </c>
      <c r="P183" s="1">
        <f t="shared" si="10"/>
        <v>0.1664680540561676</v>
      </c>
      <c r="Q183" s="25">
        <f t="shared" si="11"/>
        <v>5.9354799304855987E-2</v>
      </c>
      <c r="R183" s="24">
        <f t="shared" si="12"/>
        <v>0.57123577068551867</v>
      </c>
      <c r="S183" s="20"/>
      <c r="T183" s="7"/>
      <c r="U183" s="7"/>
      <c r="V183" s="7"/>
      <c r="W183" s="7"/>
      <c r="X183" s="7"/>
      <c r="Y183" s="7"/>
      <c r="Z183" s="7"/>
      <c r="AA183" s="7"/>
    </row>
    <row r="184" spans="1:27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>
        <v>31182</v>
      </c>
      <c r="P184" s="1">
        <f t="shared" si="10"/>
        <v>0.16652765870094299</v>
      </c>
      <c r="Q184" s="25">
        <f t="shared" si="11"/>
        <v>5.9926835092483088E-2</v>
      </c>
      <c r="R184" s="24">
        <f t="shared" si="12"/>
        <v>0.57276235043701718</v>
      </c>
      <c r="S184" s="20"/>
      <c r="T184" s="7"/>
      <c r="U184" s="7"/>
      <c r="V184" s="7"/>
      <c r="W184" s="7"/>
      <c r="X184" s="7"/>
      <c r="Y184" s="7"/>
      <c r="Z184" s="7"/>
      <c r="AA184" s="7"/>
    </row>
    <row r="185" spans="1:27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>
        <v>31183</v>
      </c>
      <c r="P185" s="1">
        <f t="shared" si="10"/>
        <v>0.16658726334571838</v>
      </c>
      <c r="Q185" s="25">
        <f t="shared" si="11"/>
        <v>6.0500267863972113E-2</v>
      </c>
      <c r="R185" s="24">
        <f t="shared" si="12"/>
        <v>0.57427014699129586</v>
      </c>
      <c r="S185" s="20"/>
      <c r="T185" s="7"/>
      <c r="U185" s="7"/>
      <c r="V185" s="7"/>
      <c r="W185" s="7"/>
      <c r="X185" s="7"/>
      <c r="Y185" s="7"/>
      <c r="Z185" s="7"/>
      <c r="AA185" s="7"/>
    </row>
    <row r="186" spans="1:27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>
        <v>31184</v>
      </c>
      <c r="P186" s="1">
        <f t="shared" si="10"/>
        <v>0.16664841771125793</v>
      </c>
      <c r="Q186" s="25">
        <f t="shared" si="11"/>
        <v>6.10752722423058E-2</v>
      </c>
      <c r="R186" s="24">
        <f t="shared" si="12"/>
        <v>0.57575922429720094</v>
      </c>
      <c r="S186" s="20"/>
      <c r="T186" s="7"/>
      <c r="U186" s="7"/>
      <c r="V186" s="7"/>
      <c r="W186" s="7"/>
      <c r="X186" s="7"/>
      <c r="Y186" s="7"/>
      <c r="Z186" s="7"/>
      <c r="AA186" s="7"/>
    </row>
    <row r="187" spans="1:27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>
        <v>31185</v>
      </c>
      <c r="P187" s="1">
        <f t="shared" si="10"/>
        <v>0.16670969128608704</v>
      </c>
      <c r="Q187" s="25">
        <f t="shared" si="11"/>
        <v>6.1651790019823238E-2</v>
      </c>
      <c r="R187" s="24">
        <f t="shared" si="12"/>
        <v>0.577229653409006</v>
      </c>
      <c r="S187" s="20"/>
      <c r="T187" s="7"/>
      <c r="U187" s="7"/>
      <c r="V187" s="7"/>
      <c r="W187" s="7"/>
      <c r="X187" s="7"/>
      <c r="Y187" s="7"/>
      <c r="Z187" s="7"/>
      <c r="AA187" s="7"/>
    </row>
    <row r="188" spans="1:27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>
        <v>31186</v>
      </c>
      <c r="P188" s="1">
        <f t="shared" si="10"/>
        <v>0.16677191853523254</v>
      </c>
      <c r="Q188" s="25">
        <f t="shared" si="11"/>
        <v>6.2229762988863513E-2</v>
      </c>
      <c r="R188" s="24">
        <f t="shared" si="12"/>
        <v>0.5786815089336983</v>
      </c>
      <c r="S188" s="20"/>
      <c r="T188" s="7"/>
      <c r="U188" s="7"/>
      <c r="V188" s="7"/>
      <c r="W188" s="7"/>
      <c r="X188" s="7"/>
      <c r="Y188" s="7"/>
      <c r="Z188" s="7"/>
      <c r="AA188" s="7"/>
    </row>
    <row r="189" spans="1:27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>
        <v>31187</v>
      </c>
      <c r="P189" s="1">
        <f t="shared" si="10"/>
        <v>0.1668340265750885</v>
      </c>
      <c r="Q189" s="25">
        <f t="shared" si="11"/>
        <v>6.2809162045596167E-2</v>
      </c>
      <c r="R189" s="24">
        <f t="shared" si="12"/>
        <v>0.58011485126741036</v>
      </c>
      <c r="S189" s="20"/>
      <c r="T189" s="7"/>
      <c r="U189" s="7"/>
      <c r="V189" s="7"/>
      <c r="W189" s="7"/>
      <c r="X189" s="7"/>
      <c r="Y189" s="7"/>
      <c r="Z189" s="7"/>
      <c r="AA189" s="7"/>
    </row>
    <row r="190" spans="1:27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>
        <v>31188</v>
      </c>
      <c r="P190" s="1">
        <f t="shared" si="10"/>
        <v>0.16689696907997131</v>
      </c>
      <c r="Q190" s="25">
        <f t="shared" si="11"/>
        <v>6.3389958086190745E-2</v>
      </c>
      <c r="R190" s="24">
        <f t="shared" si="12"/>
        <v>0.58152975324077261</v>
      </c>
      <c r="S190" s="20"/>
      <c r="T190" s="7"/>
      <c r="U190" s="7"/>
      <c r="V190" s="7"/>
      <c r="W190" s="7"/>
      <c r="X190" s="7"/>
      <c r="Y190" s="7"/>
      <c r="Z190" s="7"/>
      <c r="AA190" s="7"/>
    </row>
    <row r="191" spans="1:27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>
        <v>31189</v>
      </c>
      <c r="P191" s="1">
        <f t="shared" si="10"/>
        <v>0.16696086525917053</v>
      </c>
      <c r="Q191" s="25">
        <f t="shared" si="11"/>
        <v>6.3972180214477703E-2</v>
      </c>
      <c r="R191" s="24">
        <f t="shared" si="12"/>
        <v>0.58292628768441546</v>
      </c>
      <c r="S191" s="20"/>
      <c r="T191" s="7"/>
      <c r="U191" s="7"/>
      <c r="V191" s="7"/>
      <c r="W191" s="7"/>
      <c r="X191" s="7"/>
      <c r="Y191" s="7"/>
      <c r="Z191" s="7"/>
      <c r="AA191" s="7"/>
    </row>
    <row r="192" spans="1:27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>
        <v>31190</v>
      </c>
      <c r="P192" s="1">
        <f t="shared" si="10"/>
        <v>0.1670253574848175</v>
      </c>
      <c r="Q192" s="25">
        <f t="shared" si="11"/>
        <v>6.4555828430457041E-2</v>
      </c>
      <c r="R192" s="24">
        <f t="shared" si="12"/>
        <v>0.58430452032354196</v>
      </c>
      <c r="S192" s="20"/>
      <c r="T192" s="7"/>
      <c r="U192" s="7"/>
      <c r="V192" s="7"/>
      <c r="W192" s="7"/>
      <c r="X192" s="7"/>
      <c r="Y192" s="7"/>
      <c r="Z192" s="7"/>
      <c r="AA192" s="7"/>
    </row>
    <row r="193" spans="1:27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>
        <v>31191</v>
      </c>
      <c r="P193" s="1">
        <f t="shared" si="10"/>
        <v>0.16709020733833313</v>
      </c>
      <c r="Q193" s="25">
        <f t="shared" si="11"/>
        <v>6.5140786318806931E-2</v>
      </c>
      <c r="R193" s="24">
        <f t="shared" si="12"/>
        <v>0.58566451688335519</v>
      </c>
      <c r="S193" s="20"/>
      <c r="T193" s="7"/>
      <c r="U193" s="7"/>
      <c r="V193" s="7"/>
      <c r="W193" s="7"/>
      <c r="X193" s="7"/>
      <c r="Y193" s="7"/>
      <c r="Z193" s="7"/>
      <c r="AA193" s="7"/>
    </row>
    <row r="194" spans="1:27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>
        <v>31192</v>
      </c>
      <c r="P194" s="1">
        <f t="shared" si="10"/>
        <v>0.16715577244758606</v>
      </c>
      <c r="Q194" s="25">
        <f t="shared" si="11"/>
        <v>6.5727199398679659E-2</v>
      </c>
      <c r="R194" s="24">
        <f t="shared" si="12"/>
        <v>0.58700635729991291</v>
      </c>
      <c r="S194" s="20"/>
      <c r="T194" s="7"/>
      <c r="U194" s="7"/>
      <c r="V194" s="7"/>
      <c r="W194" s="7"/>
      <c r="X194" s="7"/>
      <c r="Y194" s="7"/>
      <c r="Z194" s="7"/>
      <c r="AA194" s="7"/>
    </row>
    <row r="195" spans="1:27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>
        <v>31193</v>
      </c>
      <c r="P195" s="1">
        <f t="shared" si="10"/>
        <v>0.16722145676612854</v>
      </c>
      <c r="Q195" s="25">
        <f t="shared" si="11"/>
        <v>6.6314805735601112E-2</v>
      </c>
      <c r="R195" s="24">
        <f t="shared" si="12"/>
        <v>0.58833010196934765</v>
      </c>
      <c r="S195" s="20"/>
      <c r="T195" s="7"/>
      <c r="U195" s="7"/>
      <c r="V195" s="7"/>
      <c r="W195" s="7"/>
      <c r="X195" s="7"/>
      <c r="Y195" s="7"/>
      <c r="Z195" s="7"/>
      <c r="AA195" s="7"/>
    </row>
    <row r="196" spans="1:27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>
        <v>31194</v>
      </c>
      <c r="P196" s="1">
        <f t="shared" si="10"/>
        <v>0.16728797554969788</v>
      </c>
      <c r="Q196" s="25">
        <f t="shared" si="11"/>
        <v>6.6903838160214946E-2</v>
      </c>
      <c r="R196" s="24">
        <f t="shared" si="12"/>
        <v>0.58963581484050565</v>
      </c>
      <c r="S196" s="20"/>
      <c r="T196" s="7"/>
      <c r="U196" s="7"/>
      <c r="V196" s="7"/>
      <c r="W196" s="7"/>
      <c r="X196" s="7"/>
      <c r="Y196" s="7"/>
      <c r="Z196" s="7"/>
      <c r="AA196" s="7"/>
    </row>
    <row r="197" spans="1:27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>
        <v>31195</v>
      </c>
      <c r="P197" s="1">
        <f t="shared" si="10"/>
        <v>0.16735544800758362</v>
      </c>
      <c r="Q197" s="25">
        <f t="shared" si="11"/>
        <v>6.7494092945707962E-2</v>
      </c>
      <c r="R197" s="24">
        <f t="shared" si="12"/>
        <v>0.5909235776258015</v>
      </c>
      <c r="S197" s="20"/>
      <c r="T197" s="7"/>
      <c r="U197" s="7"/>
      <c r="V197" s="7"/>
      <c r="W197" s="7"/>
      <c r="X197" s="7"/>
      <c r="Y197" s="7"/>
      <c r="Z197" s="7"/>
      <c r="AA197" s="7"/>
    </row>
    <row r="198" spans="1:27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>
        <v>31196</v>
      </c>
      <c r="P198" s="1">
        <f t="shared" si="10"/>
        <v>0.16742303967475891</v>
      </c>
      <c r="Q198" s="25">
        <f t="shared" si="11"/>
        <v>6.8085628299741074E-2</v>
      </c>
      <c r="R198" s="24">
        <f t="shared" si="12"/>
        <v>0.59219344539229724</v>
      </c>
      <c r="S198" s="20"/>
      <c r="T198" s="7"/>
      <c r="U198" s="7"/>
      <c r="V198" s="7"/>
      <c r="W198" s="7"/>
      <c r="X198" s="7"/>
      <c r="Y198" s="7"/>
      <c r="Z198" s="7"/>
      <c r="AA198" s="7"/>
    </row>
    <row r="199" spans="1:27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>
        <v>31197</v>
      </c>
      <c r="P199" s="1">
        <f t="shared" si="10"/>
        <v>0.16749098896980286</v>
      </c>
      <c r="Q199" s="25">
        <f t="shared" si="11"/>
        <v>6.8678444222314283E-2</v>
      </c>
      <c r="R199" s="24">
        <f t="shared" si="12"/>
        <v>0.59344549629969379</v>
      </c>
      <c r="S199" s="20"/>
      <c r="T199" s="7"/>
      <c r="U199" s="7"/>
      <c r="V199" s="7"/>
      <c r="W199" s="7"/>
      <c r="X199" s="7"/>
      <c r="Y199" s="7"/>
      <c r="Z199" s="7"/>
      <c r="AA199" s="7"/>
    </row>
    <row r="200" spans="1:27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>
        <v>31198</v>
      </c>
      <c r="P200" s="1">
        <f t="shared" si="10"/>
        <v>0.16756036877632141</v>
      </c>
      <c r="Q200" s="25">
        <f t="shared" si="11"/>
        <v>6.9272540713427588E-2</v>
      </c>
      <c r="R200" s="24">
        <f t="shared" si="12"/>
        <v>0.59467979784955105</v>
      </c>
      <c r="S200" s="20"/>
      <c r="T200" s="7"/>
      <c r="U200" s="7"/>
      <c r="V200" s="7"/>
      <c r="W200" s="7"/>
      <c r="X200" s="7"/>
      <c r="Y200" s="7"/>
      <c r="Z200" s="7"/>
      <c r="AA200" s="7"/>
    </row>
    <row r="201" spans="1:27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>
        <v>31199</v>
      </c>
      <c r="P201" s="1">
        <f t="shared" si="10"/>
        <v>0.16762986779212952</v>
      </c>
      <c r="Q201" s="25">
        <f t="shared" si="11"/>
        <v>6.9867888669250533E-2</v>
      </c>
      <c r="R201" s="24">
        <f t="shared" si="12"/>
        <v>0.59589641221435841</v>
      </c>
      <c r="S201" s="20"/>
      <c r="T201" s="7"/>
      <c r="U201" s="7"/>
      <c r="V201" s="7"/>
      <c r="W201" s="7"/>
      <c r="X201" s="7"/>
      <c r="Y201" s="7"/>
      <c r="Z201" s="7"/>
      <c r="AA201" s="7"/>
    </row>
    <row r="202" spans="1:27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>
        <v>31200</v>
      </c>
      <c r="P202" s="1">
        <f t="shared" ref="P202:P265" si="13" xml:space="preserve"> -1.4681315616E-19*$O202^6 + 2.80493263066289E-14*$O202^5 - 2.23271907955907E-09*$O202^4 + 0.0000947783879077569*$O202^3 - 2.26293121558813*$O202^2 + 28813.4861268598*$O202 - 152852350.445896</f>
        <v>0.16769996285438538</v>
      </c>
      <c r="Q202" s="25">
        <f t="shared" ref="Q202:Q265" si="14" xml:space="preserve"> (6*-1.4681315616E-19*$O202^5 + 5*2.80493263066289E-14*$O202^4 - 4*2.23271907955907E-09*$O202^3 + 3*0.0000947783879077569*$O202^2 - 2*2.26293121558813*$O202^1 + 28813.4861268598)*1000</f>
        <v>7.0464342570630834E-2</v>
      </c>
      <c r="R202" s="24">
        <f t="shared" ref="R202:R265" si="15" xml:space="preserve"> (5*6*-1.4681315616E-19*$O202^4 + 4*5*2.80493263066289E-14*$O202^3 - 3*4*2.23271907955907E-09*$O202^2 + 2*3*0.0000947783879077569*$O202^1 - 2*2.26293121558813)*1000*1000</f>
        <v>0.59709541222474627</v>
      </c>
      <c r="S202" s="20"/>
      <c r="T202" s="7"/>
      <c r="U202" s="7"/>
      <c r="V202" s="7"/>
      <c r="W202" s="7"/>
      <c r="X202" s="7"/>
      <c r="Y202" s="7"/>
      <c r="Z202" s="7"/>
      <c r="AA202" s="7"/>
    </row>
    <row r="203" spans="1:27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>
        <v>31201</v>
      </c>
      <c r="P203" s="1">
        <f t="shared" si="13"/>
        <v>0.16777125000953674</v>
      </c>
      <c r="Q203" s="25">
        <f t="shared" si="14"/>
        <v>7.1062047936720774E-2</v>
      </c>
      <c r="R203" s="24">
        <f t="shared" si="15"/>
        <v>0.5982768636059177</v>
      </c>
      <c r="S203" s="20"/>
      <c r="T203" s="7"/>
      <c r="U203" s="7"/>
      <c r="V203" s="7"/>
      <c r="W203" s="7"/>
      <c r="X203" s="7"/>
      <c r="Y203" s="7"/>
      <c r="Z203" s="7"/>
      <c r="AA203" s="7"/>
    </row>
    <row r="204" spans="1:27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>
        <v>31202</v>
      </c>
      <c r="P204" s="1">
        <f t="shared" si="13"/>
        <v>0.16784194111824036</v>
      </c>
      <c r="Q204" s="25">
        <f t="shared" si="14"/>
        <v>7.1660830144537613E-2</v>
      </c>
      <c r="R204" s="24">
        <f t="shared" si="15"/>
        <v>0.59944083563578943</v>
      </c>
      <c r="S204" s="20"/>
      <c r="T204" s="7"/>
      <c r="U204" s="7"/>
      <c r="V204" s="7"/>
      <c r="W204" s="7"/>
      <c r="X204" s="7"/>
      <c r="Y204" s="7"/>
      <c r="Z204" s="7"/>
      <c r="AA204" s="7"/>
    </row>
    <row r="205" spans="1:27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>
        <v>31203</v>
      </c>
      <c r="P205" s="1">
        <f t="shared" si="13"/>
        <v>0.16791442036628723</v>
      </c>
      <c r="Q205" s="25">
        <f t="shared" si="14"/>
        <v>7.2260951128555462E-2</v>
      </c>
      <c r="R205" s="24">
        <f t="shared" si="15"/>
        <v>0.60058739581592135</v>
      </c>
      <c r="S205" s="20"/>
      <c r="T205" s="7"/>
      <c r="U205" s="7"/>
      <c r="V205" s="7"/>
      <c r="W205" s="7"/>
      <c r="X205" s="7"/>
      <c r="Y205" s="7"/>
      <c r="Z205" s="7"/>
      <c r="AA205" s="7"/>
    </row>
    <row r="206" spans="1:27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>
        <v>31204</v>
      </c>
      <c r="P206" s="1">
        <f t="shared" si="13"/>
        <v>0.167986661195755</v>
      </c>
      <c r="Q206" s="25">
        <f t="shared" si="14"/>
        <v>7.2862032538978383E-2</v>
      </c>
      <c r="R206" s="24">
        <f t="shared" si="15"/>
        <v>0.6017166080951597</v>
      </c>
      <c r="S206" s="20"/>
      <c r="T206" s="7"/>
      <c r="U206" s="7"/>
      <c r="V206" s="7"/>
      <c r="W206" s="7"/>
      <c r="X206" s="7"/>
      <c r="Y206" s="7"/>
      <c r="Z206" s="7"/>
      <c r="AA206" s="7"/>
    </row>
    <row r="207" spans="1:27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>
        <v>31205</v>
      </c>
      <c r="P207" s="1">
        <f t="shared" si="13"/>
        <v>0.16805973649024963</v>
      </c>
      <c r="Q207" s="25">
        <f t="shared" si="14"/>
        <v>7.3464336310280487E-2</v>
      </c>
      <c r="R207" s="24">
        <f t="shared" si="15"/>
        <v>0.6028285506332054</v>
      </c>
      <c r="S207" s="20"/>
      <c r="T207" s="7"/>
      <c r="U207" s="7"/>
      <c r="V207" s="7"/>
      <c r="W207" s="7"/>
      <c r="X207" s="7"/>
      <c r="Y207" s="7"/>
      <c r="Z207" s="7"/>
      <c r="AA207" s="7"/>
    </row>
    <row r="208" spans="1:27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>
        <v>31206</v>
      </c>
      <c r="P208" s="1">
        <f t="shared" si="13"/>
        <v>0.16813388466835022</v>
      </c>
      <c r="Q208" s="25">
        <f t="shared" si="14"/>
        <v>7.4067687819479033E-2</v>
      </c>
      <c r="R208" s="24">
        <f t="shared" si="15"/>
        <v>0.60392327672076362</v>
      </c>
      <c r="S208" s="20"/>
      <c r="T208" s="7"/>
      <c r="U208" s="7"/>
      <c r="V208" s="7"/>
      <c r="W208" s="7"/>
      <c r="X208" s="7"/>
      <c r="Y208" s="7"/>
      <c r="Z208" s="7"/>
      <c r="AA208" s="7"/>
    </row>
    <row r="209" spans="1:27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>
        <v>31207</v>
      </c>
      <c r="P209" s="1">
        <f t="shared" si="13"/>
        <v>0.16820803284645081</v>
      </c>
      <c r="Q209" s="25">
        <f t="shared" si="14"/>
        <v>7.4672174378065392E-2</v>
      </c>
      <c r="R209" s="24">
        <f t="shared" si="15"/>
        <v>0.60500086451753532</v>
      </c>
      <c r="S209" s="20"/>
      <c r="T209" s="7"/>
      <c r="U209" s="7"/>
      <c r="V209" s="7"/>
      <c r="W209" s="7"/>
      <c r="X209" s="7"/>
      <c r="Y209" s="7"/>
      <c r="Z209" s="7"/>
      <c r="AA209" s="7"/>
    </row>
    <row r="210" spans="1:27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>
        <v>31208</v>
      </c>
      <c r="P210" s="1">
        <f t="shared" si="13"/>
        <v>0.16828277707099915</v>
      </c>
      <c r="Q210" s="25">
        <f t="shared" si="14"/>
        <v>7.5277708674548194E-2</v>
      </c>
      <c r="R210" s="24">
        <f t="shared" si="15"/>
        <v>0.60606137086693934</v>
      </c>
      <c r="S210" s="20"/>
      <c r="T210" s="7"/>
      <c r="U210" s="7"/>
      <c r="V210" s="7"/>
      <c r="W210" s="7"/>
      <c r="X210" s="7"/>
      <c r="Y210" s="7"/>
      <c r="Z210" s="7"/>
      <c r="AA210" s="7"/>
    </row>
    <row r="211" spans="1:27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>
        <v>31209</v>
      </c>
      <c r="P211" s="1">
        <f t="shared" si="13"/>
        <v>0.16835907101631165</v>
      </c>
      <c r="Q211" s="25">
        <f t="shared" si="14"/>
        <v>7.5884290708927438E-2</v>
      </c>
      <c r="R211" s="24">
        <f t="shared" si="15"/>
        <v>0.6071048774813903</v>
      </c>
      <c r="S211" s="20"/>
      <c r="T211" s="7"/>
      <c r="U211" s="7"/>
      <c r="V211" s="7"/>
      <c r="W211" s="7"/>
      <c r="X211" s="7"/>
      <c r="Y211" s="7"/>
      <c r="Z211" s="7"/>
      <c r="AA211" s="7"/>
    </row>
    <row r="212" spans="1:27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>
        <v>31210</v>
      </c>
      <c r="P212" s="1">
        <f t="shared" si="13"/>
        <v>0.16843512654304504</v>
      </c>
      <c r="Q212" s="25">
        <f t="shared" si="14"/>
        <v>7.6491891377372667E-2</v>
      </c>
      <c r="R212" s="24">
        <f t="shared" si="15"/>
        <v>0.60813143942795023</v>
      </c>
      <c r="S212" s="20"/>
      <c r="T212" s="7"/>
      <c r="U212" s="7"/>
      <c r="V212" s="7"/>
      <c r="W212" s="7"/>
      <c r="X212" s="7"/>
      <c r="Y212" s="7"/>
      <c r="Z212" s="7"/>
      <c r="AA212" s="7"/>
    </row>
    <row r="213" spans="1:27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>
        <v>31211</v>
      </c>
      <c r="P213" s="1">
        <f t="shared" si="13"/>
        <v>0.16851153969764709</v>
      </c>
      <c r="Q213" s="25">
        <f t="shared" si="14"/>
        <v>7.7100481576053426E-2</v>
      </c>
      <c r="R213" s="24">
        <f t="shared" si="15"/>
        <v>0.60914112776089269</v>
      </c>
      <c r="S213" s="20"/>
      <c r="T213" s="7"/>
      <c r="U213" s="7"/>
      <c r="V213" s="7"/>
      <c r="W213" s="7"/>
      <c r="X213" s="7"/>
      <c r="Y213" s="7"/>
      <c r="Z213" s="7"/>
      <c r="AA213" s="7"/>
    </row>
    <row r="214" spans="1:27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>
        <v>31212</v>
      </c>
      <c r="P214" s="1">
        <f t="shared" si="13"/>
        <v>0.1685892641544342</v>
      </c>
      <c r="Q214" s="25">
        <f t="shared" si="14"/>
        <v>7.7710148616461083E-2</v>
      </c>
      <c r="R214" s="24">
        <f t="shared" si="15"/>
        <v>0.6101340064290639</v>
      </c>
      <c r="S214" s="20"/>
      <c r="T214" s="7"/>
      <c r="U214" s="7"/>
      <c r="V214" s="7"/>
      <c r="W214" s="7"/>
      <c r="X214" s="7"/>
      <c r="Y214" s="7"/>
      <c r="Z214" s="7"/>
      <c r="AA214" s="7"/>
    </row>
    <row r="215" spans="1:27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>
        <v>31213</v>
      </c>
      <c r="P215" s="1">
        <f t="shared" si="13"/>
        <v>0.16866746544837952</v>
      </c>
      <c r="Q215" s="25">
        <f t="shared" si="14"/>
        <v>7.8320834290934727E-2</v>
      </c>
      <c r="R215" s="24">
        <f t="shared" si="15"/>
        <v>0.61111014648673745</v>
      </c>
      <c r="S215" s="20"/>
      <c r="T215" s="7"/>
      <c r="U215" s="7"/>
      <c r="V215" s="7"/>
      <c r="W215" s="7"/>
      <c r="X215" s="7"/>
      <c r="Y215" s="7"/>
      <c r="Z215" s="7"/>
      <c r="AA215" s="7"/>
    </row>
    <row r="216" spans="1:27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>
        <v>31214</v>
      </c>
      <c r="P216" s="1">
        <f t="shared" si="13"/>
        <v>0.16874554753303528</v>
      </c>
      <c r="Q216" s="25">
        <f t="shared" si="14"/>
        <v>7.8932393080322072E-2</v>
      </c>
      <c r="R216" s="24">
        <f t="shared" si="15"/>
        <v>0.61206961721183006</v>
      </c>
      <c r="S216" s="20"/>
      <c r="T216" s="7"/>
      <c r="U216" s="7"/>
      <c r="V216" s="7"/>
      <c r="W216" s="7"/>
      <c r="X216" s="7"/>
      <c r="Y216" s="7"/>
      <c r="Z216" s="7"/>
      <c r="AA216" s="7"/>
    </row>
    <row r="217" spans="1:27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>
        <v>31215</v>
      </c>
      <c r="P217" s="1">
        <f t="shared" si="13"/>
        <v>0.1688249409198761</v>
      </c>
      <c r="Q217" s="25">
        <f t="shared" si="14"/>
        <v>7.9544941399944946E-2</v>
      </c>
      <c r="R217" s="24">
        <f t="shared" si="15"/>
        <v>0.61301247900047429</v>
      </c>
      <c r="S217" s="20"/>
      <c r="T217" s="7"/>
      <c r="U217" s="7"/>
      <c r="V217" s="7"/>
      <c r="W217" s="7"/>
      <c r="X217" s="7"/>
      <c r="Y217" s="7"/>
      <c r="Z217" s="7"/>
      <c r="AA217" s="7"/>
    </row>
    <row r="218" spans="1:27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>
        <v>31216</v>
      </c>
      <c r="P218" s="1">
        <f t="shared" si="13"/>
        <v>0.16890457272529602</v>
      </c>
      <c r="Q218" s="25">
        <f t="shared" si="14"/>
        <v>8.0158391938311979E-2</v>
      </c>
      <c r="R218" s="24">
        <f t="shared" si="15"/>
        <v>0.61393879757787317</v>
      </c>
      <c r="S218" s="20"/>
      <c r="T218" s="7"/>
      <c r="U218" s="7"/>
      <c r="V218" s="7"/>
      <c r="W218" s="7"/>
      <c r="X218" s="7"/>
      <c r="Y218" s="7"/>
      <c r="Z218" s="7"/>
      <c r="AA218" s="7"/>
    </row>
    <row r="219" spans="1:27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>
        <v>31217</v>
      </c>
      <c r="P219" s="1">
        <f t="shared" si="13"/>
        <v>0.1689852774143219</v>
      </c>
      <c r="Q219" s="25">
        <f t="shared" si="14"/>
        <v>8.0772773799253628E-2</v>
      </c>
      <c r="R219" s="24">
        <f t="shared" si="15"/>
        <v>0.61484863866922979</v>
      </c>
      <c r="S219" s="20"/>
      <c r="T219" s="7"/>
      <c r="U219" s="7"/>
      <c r="V219" s="7"/>
      <c r="W219" s="7"/>
      <c r="X219" s="7"/>
      <c r="Y219" s="7"/>
      <c r="Z219" s="7"/>
      <c r="AA219" s="7"/>
    </row>
    <row r="220" spans="1:27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>
        <v>31218</v>
      </c>
      <c r="P220" s="1">
        <f t="shared" si="13"/>
        <v>0.16906633973121643</v>
      </c>
      <c r="Q220" s="25">
        <f t="shared" si="14"/>
        <v>8.1388086982769892E-2</v>
      </c>
      <c r="R220" s="24">
        <f t="shared" si="15"/>
        <v>0.6157420733288177</v>
      </c>
      <c r="S220" s="20"/>
      <c r="T220" s="7"/>
      <c r="U220" s="7"/>
      <c r="V220" s="7"/>
      <c r="W220" s="7"/>
      <c r="X220" s="7"/>
      <c r="Y220" s="7"/>
      <c r="Z220" s="7"/>
      <c r="AA220" s="7"/>
    </row>
    <row r="221" spans="1:27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>
        <v>31219</v>
      </c>
      <c r="P221" s="1">
        <f t="shared" si="13"/>
        <v>0.16914811730384827</v>
      </c>
      <c r="Q221" s="25">
        <f t="shared" si="14"/>
        <v>8.2004273281199858E-2</v>
      </c>
      <c r="R221" s="24">
        <f t="shared" si="15"/>
        <v>0.6166191690581968</v>
      </c>
      <c r="S221" s="20"/>
      <c r="T221" s="7"/>
      <c r="U221" s="7"/>
      <c r="V221" s="7"/>
      <c r="W221" s="7"/>
      <c r="X221" s="7"/>
      <c r="Y221" s="7"/>
      <c r="Z221" s="7"/>
      <c r="AA221" s="7"/>
    </row>
    <row r="222" spans="1:27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>
        <v>31220</v>
      </c>
      <c r="P222" s="1">
        <f t="shared" si="13"/>
        <v>0.16923072934150696</v>
      </c>
      <c r="Q222" s="25">
        <f t="shared" si="14"/>
        <v>8.2621361798373982E-2</v>
      </c>
      <c r="R222" s="24">
        <f t="shared" si="15"/>
        <v>0.61747998270078597</v>
      </c>
      <c r="S222" s="20"/>
      <c r="T222" s="7"/>
      <c r="U222" s="7"/>
      <c r="V222" s="7"/>
      <c r="W222" s="7"/>
      <c r="X222" s="7"/>
      <c r="Y222" s="7"/>
      <c r="Z222" s="7"/>
      <c r="AA222" s="7"/>
    </row>
    <row r="223" spans="1:27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>
        <v>31221</v>
      </c>
      <c r="P223" s="1">
        <f t="shared" si="13"/>
        <v>0.1693132221698761</v>
      </c>
      <c r="Q223" s="25">
        <f t="shared" si="14"/>
        <v>8.3239236118970439E-2</v>
      </c>
      <c r="R223" s="24">
        <f t="shared" si="15"/>
        <v>0.61832458531085877</v>
      </c>
      <c r="S223" s="20"/>
      <c r="T223" s="7"/>
      <c r="U223" s="7"/>
      <c r="V223" s="7"/>
      <c r="W223" s="7"/>
      <c r="X223" s="7"/>
      <c r="Y223" s="7"/>
      <c r="Z223" s="7"/>
      <c r="AA223" s="7"/>
    </row>
    <row r="224" spans="1:27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>
        <v>31222</v>
      </c>
      <c r="P224" s="1">
        <f t="shared" si="13"/>
        <v>0.16939666867256165</v>
      </c>
      <c r="Q224" s="25">
        <f t="shared" si="14"/>
        <v>8.3857983554480597E-2</v>
      </c>
      <c r="R224" s="24">
        <f t="shared" si="15"/>
        <v>0.61915304971904561</v>
      </c>
      <c r="S224" s="20"/>
      <c r="T224" s="7"/>
      <c r="U224" s="7"/>
      <c r="V224" s="7"/>
      <c r="W224" s="7"/>
      <c r="X224" s="7"/>
      <c r="Y224" s="7"/>
      <c r="Z224" s="7"/>
      <c r="AA224" s="7"/>
    </row>
    <row r="225" spans="1:27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>
        <v>31223</v>
      </c>
      <c r="P225" s="1">
        <f t="shared" si="13"/>
        <v>0.16948094964027405</v>
      </c>
      <c r="Q225" s="25">
        <f t="shared" si="14"/>
        <v>8.4477487689582631E-2</v>
      </c>
      <c r="R225" s="24">
        <f t="shared" si="15"/>
        <v>0.61996542743969485</v>
      </c>
      <c r="S225" s="20"/>
      <c r="T225" s="7"/>
      <c r="U225" s="7"/>
      <c r="V225" s="7"/>
      <c r="W225" s="7"/>
      <c r="X225" s="7"/>
      <c r="Y225" s="7"/>
      <c r="Z225" s="7"/>
      <c r="AA225" s="7"/>
    </row>
    <row r="226" spans="1:27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>
        <v>31224</v>
      </c>
      <c r="P226" s="1">
        <f t="shared" si="13"/>
        <v>0.1695658266544342</v>
      </c>
      <c r="Q226" s="25">
        <f t="shared" si="14"/>
        <v>8.5097864939598367E-2</v>
      </c>
      <c r="R226" s="24">
        <f t="shared" si="15"/>
        <v>0.62076179307979373</v>
      </c>
      <c r="S226" s="20"/>
      <c r="T226" s="7"/>
      <c r="U226" s="7"/>
      <c r="V226" s="7"/>
      <c r="W226" s="7"/>
      <c r="X226" s="7"/>
      <c r="Y226" s="7"/>
      <c r="Z226" s="7"/>
      <c r="AA226" s="7"/>
    </row>
    <row r="227" spans="1:27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>
        <v>31225</v>
      </c>
      <c r="P227" s="1">
        <f t="shared" si="13"/>
        <v>0.16965141892433167</v>
      </c>
      <c r="Q227" s="25">
        <f t="shared" si="14"/>
        <v>8.5719027993036434E-2</v>
      </c>
      <c r="R227" s="24">
        <f t="shared" si="15"/>
        <v>0.62154221058818848</v>
      </c>
      <c r="S227" s="20"/>
      <c r="T227" s="7"/>
      <c r="U227" s="7"/>
      <c r="V227" s="7"/>
      <c r="W227" s="7"/>
      <c r="X227" s="7"/>
      <c r="Y227" s="7"/>
      <c r="Z227" s="7"/>
      <c r="AA227" s="7"/>
    </row>
    <row r="228" spans="1:27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>
        <v>31226</v>
      </c>
      <c r="P228" s="1">
        <f t="shared" si="13"/>
        <v>0.16973713040351868</v>
      </c>
      <c r="Q228" s="25">
        <f t="shared" si="14"/>
        <v>8.6340976849896833E-2</v>
      </c>
      <c r="R228" s="24">
        <f t="shared" si="15"/>
        <v>0.62230674924279583</v>
      </c>
      <c r="S228" s="20"/>
      <c r="T228" s="7"/>
      <c r="U228" s="7"/>
      <c r="V228" s="7"/>
      <c r="W228" s="7"/>
      <c r="X228" s="7"/>
      <c r="Y228" s="7"/>
      <c r="Z228" s="7"/>
      <c r="AA228" s="7"/>
    </row>
    <row r="229" spans="1:27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>
        <v>31227</v>
      </c>
      <c r="P229" s="1">
        <f t="shared" si="13"/>
        <v>0.16982391476631165</v>
      </c>
      <c r="Q229" s="25">
        <f t="shared" si="14"/>
        <v>8.6963653302518651E-2</v>
      </c>
      <c r="R229" s="24">
        <f t="shared" si="15"/>
        <v>0.62305546766339148</v>
      </c>
      <c r="S229" s="20"/>
      <c r="T229" s="7"/>
      <c r="U229" s="7"/>
      <c r="V229" s="7"/>
      <c r="W229" s="7"/>
      <c r="X229" s="7"/>
      <c r="Y229" s="7"/>
      <c r="Z229" s="7"/>
      <c r="AA229" s="7"/>
    </row>
    <row r="230" spans="1:27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>
        <v>31228</v>
      </c>
      <c r="P230" s="1">
        <f t="shared" si="13"/>
        <v>0.16991093754768372</v>
      </c>
      <c r="Q230" s="25">
        <f t="shared" si="14"/>
        <v>8.758702824707143E-2</v>
      </c>
      <c r="R230" s="24">
        <f t="shared" si="15"/>
        <v>0.62378843157517849</v>
      </c>
      <c r="S230" s="20"/>
      <c r="T230" s="7"/>
      <c r="U230" s="7"/>
      <c r="V230" s="7"/>
      <c r="W230" s="7"/>
      <c r="X230" s="7"/>
      <c r="Y230" s="7"/>
      <c r="Z230" s="7"/>
      <c r="AA230" s="7"/>
    </row>
    <row r="231" spans="1:27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>
        <v>31229</v>
      </c>
      <c r="P231" s="1">
        <f t="shared" si="13"/>
        <v>0.16999903321266174</v>
      </c>
      <c r="Q231" s="25">
        <f t="shared" si="14"/>
        <v>8.8211218098876998E-2</v>
      </c>
      <c r="R231" s="24">
        <f t="shared" si="15"/>
        <v>0.6245057102560736</v>
      </c>
      <c r="S231" s="20"/>
      <c r="T231" s="7"/>
      <c r="U231" s="7"/>
      <c r="V231" s="7"/>
      <c r="W231" s="7"/>
      <c r="X231" s="7"/>
      <c r="Y231" s="7"/>
      <c r="Z231" s="7"/>
      <c r="AA231" s="7"/>
    </row>
    <row r="232" spans="1:27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>
        <v>31230</v>
      </c>
      <c r="P232" s="1">
        <f t="shared" si="13"/>
        <v>0.17008724808692932</v>
      </c>
      <c r="Q232" s="25">
        <f t="shared" si="14"/>
        <v>8.8836135546443984E-2</v>
      </c>
      <c r="R232" s="24">
        <f t="shared" si="15"/>
        <v>0.6252073623258525</v>
      </c>
      <c r="S232" s="20"/>
      <c r="T232" s="7"/>
      <c r="U232" s="7"/>
      <c r="V232" s="7"/>
      <c r="W232" s="7"/>
      <c r="X232" s="7"/>
      <c r="Y232" s="7"/>
      <c r="Z232" s="7"/>
      <c r="AA232" s="7"/>
    </row>
    <row r="233" spans="1:27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>
        <v>31231</v>
      </c>
      <c r="P233" s="1">
        <f t="shared" si="13"/>
        <v>0.17017689347267151</v>
      </c>
      <c r="Q233" s="25">
        <f t="shared" si="14"/>
        <v>8.9461635070620105E-2</v>
      </c>
      <c r="R233" s="24">
        <f t="shared" si="15"/>
        <v>0.62589345883878877</v>
      </c>
      <c r="S233" s="20"/>
      <c r="T233" s="7"/>
      <c r="U233" s="7"/>
      <c r="V233" s="7"/>
      <c r="W233" s="7"/>
      <c r="X233" s="7"/>
      <c r="Y233" s="7"/>
      <c r="Z233" s="7"/>
      <c r="AA233" s="7"/>
    </row>
    <row r="234" spans="1:27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>
        <v>31232</v>
      </c>
      <c r="P234" s="1">
        <f t="shared" si="13"/>
        <v>0.17026665806770325</v>
      </c>
      <c r="Q234" s="25">
        <f t="shared" si="14"/>
        <v>9.0087891294388101E-2</v>
      </c>
      <c r="R234" s="24">
        <f t="shared" si="15"/>
        <v>0.62656406019101496</v>
      </c>
      <c r="S234" s="20"/>
      <c r="T234" s="7"/>
      <c r="U234" s="7"/>
      <c r="V234" s="7"/>
      <c r="W234" s="7"/>
      <c r="X234" s="7"/>
      <c r="Y234" s="7"/>
      <c r="Z234" s="7"/>
      <c r="AA234" s="7"/>
    </row>
    <row r="235" spans="1:27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>
        <v>31233</v>
      </c>
      <c r="P235" s="1">
        <f t="shared" si="13"/>
        <v>0.17035725712776184</v>
      </c>
      <c r="Q235" s="25">
        <f t="shared" si="14"/>
        <v>9.0714700490934774E-2</v>
      </c>
      <c r="R235" s="24">
        <f t="shared" si="15"/>
        <v>0.62721923743680463</v>
      </c>
      <c r="S235" s="20"/>
      <c r="T235" s="7"/>
      <c r="U235" s="7"/>
      <c r="V235" s="7"/>
      <c r="W235" s="7"/>
      <c r="X235" s="7"/>
      <c r="Y235" s="7"/>
      <c r="Z235" s="7"/>
      <c r="AA235" s="7"/>
    </row>
    <row r="236" spans="1:27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>
        <v>31234</v>
      </c>
      <c r="P236" s="1">
        <f t="shared" si="13"/>
        <v>0.17044785618782043</v>
      </c>
      <c r="Q236" s="25">
        <f t="shared" si="14"/>
        <v>9.1342324594734237E-2</v>
      </c>
      <c r="R236" s="24">
        <f t="shared" si="15"/>
        <v>0.62785904564321982</v>
      </c>
      <c r="S236" s="20"/>
      <c r="T236" s="7"/>
      <c r="U236" s="7"/>
      <c r="V236" s="7"/>
      <c r="W236" s="7"/>
      <c r="X236" s="7"/>
      <c r="Y236" s="7"/>
      <c r="Z236" s="7"/>
      <c r="AA236" s="7"/>
    </row>
    <row r="237" spans="1:27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>
        <v>31235</v>
      </c>
      <c r="P237" s="1">
        <f t="shared" si="13"/>
        <v>0.17053952813148499</v>
      </c>
      <c r="Q237" s="25">
        <f t="shared" si="14"/>
        <v>9.1970501671312377E-2</v>
      </c>
      <c r="R237" s="24">
        <f t="shared" si="15"/>
        <v>0.62848355586453408</v>
      </c>
      <c r="S237" s="20"/>
      <c r="T237" s="7"/>
      <c r="U237" s="7"/>
      <c r="V237" s="7"/>
      <c r="W237" s="7"/>
      <c r="X237" s="7"/>
      <c r="Y237" s="7"/>
      <c r="Z237" s="7"/>
      <c r="AA237" s="7"/>
    </row>
    <row r="238" spans="1:27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>
        <v>31236</v>
      </c>
      <c r="P238" s="1">
        <f t="shared" si="13"/>
        <v>0.17063203454017639</v>
      </c>
      <c r="Q238" s="25">
        <f t="shared" si="14"/>
        <v>9.2599289928330109E-2</v>
      </c>
      <c r="R238" s="24">
        <f t="shared" si="15"/>
        <v>0.62909283027323681</v>
      </c>
      <c r="S238" s="20"/>
      <c r="T238" s="7"/>
      <c r="U238" s="7"/>
      <c r="V238" s="7"/>
      <c r="W238" s="7"/>
      <c r="X238" s="7"/>
      <c r="Y238" s="7"/>
      <c r="Z238" s="7"/>
      <c r="AA238" s="7"/>
    </row>
    <row r="239" spans="1:27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>
        <v>31237</v>
      </c>
      <c r="P239" s="1">
        <f t="shared" si="13"/>
        <v>0.1707252562046051</v>
      </c>
      <c r="Q239" s="25">
        <f t="shared" si="14"/>
        <v>9.3228660261956975E-2</v>
      </c>
      <c r="R239" s="24">
        <f t="shared" si="15"/>
        <v>0.62968693459453107</v>
      </c>
      <c r="S239" s="20"/>
      <c r="T239" s="7"/>
      <c r="U239" s="7"/>
      <c r="V239" s="7"/>
      <c r="W239" s="7"/>
      <c r="X239" s="7"/>
      <c r="Y239" s="7"/>
      <c r="Z239" s="7"/>
      <c r="AA239" s="7"/>
    </row>
    <row r="240" spans="1:27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>
        <v>31238</v>
      </c>
      <c r="P240" s="1">
        <f t="shared" si="13"/>
        <v>0.17081788182258606</v>
      </c>
      <c r="Q240" s="25">
        <f t="shared" si="14"/>
        <v>9.3858612672192976E-2</v>
      </c>
      <c r="R240" s="24">
        <f t="shared" si="15"/>
        <v>0.63026592744819254</v>
      </c>
      <c r="S240" s="20"/>
      <c r="T240" s="7"/>
      <c r="U240" s="7"/>
      <c r="V240" s="7"/>
      <c r="W240" s="7"/>
      <c r="X240" s="7"/>
      <c r="Y240" s="7"/>
      <c r="Z240" s="7"/>
      <c r="AA240" s="7"/>
    </row>
    <row r="241" spans="1:27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>
        <v>31239</v>
      </c>
      <c r="P241" s="1">
        <f t="shared" si="13"/>
        <v>0.17091253399848938</v>
      </c>
      <c r="Q241" s="25">
        <f t="shared" si="14"/>
        <v>9.4489176262868568E-2</v>
      </c>
      <c r="R241" s="24">
        <f t="shared" si="15"/>
        <v>0.63082987988849482</v>
      </c>
      <c r="S241" s="20"/>
      <c r="T241" s="7"/>
      <c r="U241" s="7"/>
      <c r="V241" s="7"/>
      <c r="W241" s="7"/>
      <c r="X241" s="7"/>
      <c r="Y241" s="7"/>
      <c r="Z241" s="7"/>
      <c r="AA241" s="7"/>
    </row>
    <row r="242" spans="1:27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>
        <v>31240</v>
      </c>
      <c r="P242" s="1">
        <f t="shared" si="13"/>
        <v>0.1710076630115509</v>
      </c>
      <c r="Q242" s="25">
        <f t="shared" si="14"/>
        <v>9.5120292826322839E-2</v>
      </c>
      <c r="R242" s="24">
        <f t="shared" si="15"/>
        <v>0.63137884698249991</v>
      </c>
      <c r="S242" s="20"/>
      <c r="T242" s="7"/>
      <c r="U242" s="7"/>
      <c r="V242" s="7"/>
      <c r="W242" s="7"/>
      <c r="X242" s="7"/>
      <c r="Y242" s="7"/>
      <c r="Z242" s="7"/>
      <c r="AA242" s="7"/>
    </row>
    <row r="243" spans="1:27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>
        <v>31241</v>
      </c>
      <c r="P243" s="1">
        <f t="shared" si="13"/>
        <v>0.17110291123390198</v>
      </c>
      <c r="Q243" s="25">
        <f t="shared" si="14"/>
        <v>9.5751904154894873E-2</v>
      </c>
      <c r="R243" s="24">
        <f t="shared" si="15"/>
        <v>0.63191290511355191</v>
      </c>
      <c r="S243" s="20"/>
      <c r="T243" s="7"/>
      <c r="U243" s="7"/>
      <c r="V243" s="7"/>
      <c r="W243" s="7"/>
      <c r="X243" s="7"/>
      <c r="Y243" s="7"/>
      <c r="Z243" s="7"/>
      <c r="AA243" s="7"/>
    </row>
    <row r="244" spans="1:27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>
        <v>31242</v>
      </c>
      <c r="P244" s="1">
        <f t="shared" si="13"/>
        <v>0.17119875550270081</v>
      </c>
      <c r="Q244" s="25">
        <f t="shared" si="14"/>
        <v>9.6384097560076043E-2</v>
      </c>
      <c r="R244" s="24">
        <f t="shared" si="15"/>
        <v>0.63243210934871286</v>
      </c>
      <c r="S244" s="20"/>
      <c r="T244" s="7"/>
      <c r="U244" s="7"/>
      <c r="V244" s="7"/>
      <c r="W244" s="7"/>
      <c r="X244" s="7"/>
      <c r="Y244" s="7"/>
      <c r="Z244" s="7"/>
      <c r="AA244" s="7"/>
    </row>
    <row r="245" spans="1:27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>
        <v>31243</v>
      </c>
      <c r="P245" s="1">
        <f t="shared" si="13"/>
        <v>0.17129555344581604</v>
      </c>
      <c r="Q245" s="25">
        <f t="shared" si="14"/>
        <v>9.701675662654452E-2</v>
      </c>
      <c r="R245" s="24">
        <f t="shared" si="15"/>
        <v>0.63293652363682895</v>
      </c>
      <c r="S245" s="20"/>
      <c r="T245" s="7"/>
      <c r="U245" s="7"/>
      <c r="V245" s="7"/>
      <c r="W245" s="7"/>
      <c r="X245" s="7"/>
      <c r="Y245" s="7"/>
      <c r="Z245" s="7"/>
      <c r="AA245" s="7"/>
    </row>
    <row r="246" spans="1:27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>
        <v>31244</v>
      </c>
      <c r="P246" s="1">
        <f t="shared" si="13"/>
        <v>0.17139270901679993</v>
      </c>
      <c r="Q246" s="25">
        <f t="shared" si="14"/>
        <v>9.7650026873452589E-2</v>
      </c>
      <c r="R246" s="24">
        <f t="shared" si="15"/>
        <v>0.63342621015038958</v>
      </c>
      <c r="S246" s="20"/>
      <c r="T246" s="7"/>
      <c r="U246" s="7"/>
      <c r="V246" s="7"/>
      <c r="W246" s="7"/>
      <c r="X246" s="7"/>
      <c r="Y246" s="7"/>
      <c r="Z246" s="7"/>
      <c r="AA246" s="7"/>
    </row>
    <row r="247" spans="1:27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>
        <v>31245</v>
      </c>
      <c r="P247" s="1">
        <f t="shared" si="13"/>
        <v>0.17149093747138977</v>
      </c>
      <c r="Q247" s="25">
        <f t="shared" si="14"/>
        <v>9.8283646366326138E-2</v>
      </c>
      <c r="R247" s="24">
        <f t="shared" si="15"/>
        <v>0.63390123639095464</v>
      </c>
      <c r="S247" s="20"/>
      <c r="T247" s="7"/>
      <c r="U247" s="7"/>
      <c r="V247" s="7"/>
      <c r="W247" s="7"/>
      <c r="X247" s="7"/>
      <c r="Y247" s="7"/>
      <c r="Z247" s="7"/>
      <c r="AA247" s="7"/>
    </row>
    <row r="248" spans="1:27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>
        <v>31246</v>
      </c>
      <c r="P248" s="1">
        <f t="shared" si="13"/>
        <v>0.17158916592597961</v>
      </c>
      <c r="Q248" s="25">
        <f t="shared" si="14"/>
        <v>9.8917731520486996E-2</v>
      </c>
      <c r="R248" s="24">
        <f t="shared" si="15"/>
        <v>0.63436166630737034</v>
      </c>
      <c r="S248" s="20"/>
      <c r="T248" s="7"/>
      <c r="U248" s="7"/>
      <c r="V248" s="7"/>
      <c r="W248" s="7"/>
      <c r="X248" s="7"/>
      <c r="Y248" s="7"/>
      <c r="Z248" s="7"/>
      <c r="AA248" s="7"/>
    </row>
    <row r="249" spans="1:27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>
        <v>31247</v>
      </c>
      <c r="P249" s="1">
        <f t="shared" si="13"/>
        <v>0.17168846726417542</v>
      </c>
      <c r="Q249" s="25">
        <f t="shared" si="14"/>
        <v>9.9552398751256987E-2</v>
      </c>
      <c r="R249" s="24">
        <f t="shared" si="15"/>
        <v>0.63480755319034188</v>
      </c>
      <c r="S249" s="20"/>
      <c r="T249" s="7"/>
      <c r="U249" s="7"/>
      <c r="V249" s="7"/>
      <c r="W249" s="7"/>
      <c r="X249" s="7"/>
      <c r="Y249" s="7"/>
      <c r="Z249" s="7"/>
      <c r="AA249" s="7"/>
    </row>
    <row r="250" spans="1:27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>
        <v>31248</v>
      </c>
      <c r="P250" s="1">
        <f t="shared" si="13"/>
        <v>0.17178860306739807</v>
      </c>
      <c r="Q250" s="25">
        <f t="shared" si="14"/>
        <v>0.10018741522799246</v>
      </c>
      <c r="R250" s="24">
        <f t="shared" si="15"/>
        <v>0.63523897697592702</v>
      </c>
      <c r="S250" s="20"/>
      <c r="T250" s="7"/>
      <c r="U250" s="7"/>
      <c r="V250" s="7"/>
      <c r="W250" s="7"/>
      <c r="X250" s="7"/>
      <c r="Y250" s="7"/>
      <c r="Z250" s="7"/>
      <c r="AA250" s="7"/>
    </row>
    <row r="251" spans="1:27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>
        <v>31249</v>
      </c>
      <c r="P251" s="1">
        <f t="shared" si="13"/>
        <v>0.17188897728919983</v>
      </c>
      <c r="Q251" s="25">
        <f t="shared" si="14"/>
        <v>0.10082283915835433</v>
      </c>
      <c r="R251" s="24">
        <f t="shared" si="15"/>
        <v>0.63565598740211726</v>
      </c>
      <c r="S251" s="20"/>
      <c r="T251" s="7"/>
      <c r="U251" s="7"/>
      <c r="V251" s="7"/>
      <c r="W251" s="7"/>
      <c r="X251" s="7"/>
      <c r="Y251" s="7"/>
      <c r="Z251" s="7"/>
      <c r="AA251" s="7"/>
    </row>
    <row r="252" spans="1:27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>
        <v>31250</v>
      </c>
      <c r="P252" s="1">
        <f t="shared" si="13"/>
        <v>0.17199042439460754</v>
      </c>
      <c r="Q252" s="25">
        <f t="shared" si="14"/>
        <v>0.10145867054234259</v>
      </c>
      <c r="R252" s="24">
        <f t="shared" si="15"/>
        <v>0.63605864841775883</v>
      </c>
      <c r="S252" s="20"/>
      <c r="T252" s="7"/>
      <c r="U252" s="7"/>
      <c r="V252" s="7"/>
      <c r="W252" s="7"/>
      <c r="X252" s="7"/>
      <c r="Y252" s="7"/>
      <c r="Z252" s="7"/>
      <c r="AA252" s="7"/>
    </row>
    <row r="253" spans="1:27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>
        <v>31251</v>
      </c>
      <c r="P253" s="1">
        <f t="shared" si="13"/>
        <v>0.17209151387214661</v>
      </c>
      <c r="Q253" s="25">
        <f t="shared" si="14"/>
        <v>0.1020949384837877</v>
      </c>
      <c r="R253" s="24">
        <f t="shared" si="15"/>
        <v>0.63644702752441162</v>
      </c>
      <c r="S253" s="20"/>
      <c r="T253" s="7"/>
      <c r="U253" s="7"/>
      <c r="V253" s="7"/>
      <c r="W253" s="7"/>
      <c r="X253" s="7"/>
      <c r="Y253" s="7"/>
      <c r="Z253" s="7"/>
      <c r="AA253" s="7"/>
    </row>
    <row r="254" spans="1:27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>
        <v>31252</v>
      </c>
      <c r="P254" s="1">
        <f t="shared" si="13"/>
        <v>0.17219451069831848</v>
      </c>
      <c r="Q254" s="25">
        <f t="shared" si="14"/>
        <v>0.10273152656736784</v>
      </c>
      <c r="R254" s="24">
        <f t="shared" si="15"/>
        <v>0.63682118511820818</v>
      </c>
      <c r="S254" s="20"/>
      <c r="T254" s="7"/>
      <c r="U254" s="7"/>
      <c r="V254" s="7"/>
      <c r="W254" s="7"/>
      <c r="X254" s="7"/>
      <c r="Y254" s="7"/>
      <c r="Z254" s="7"/>
      <c r="AA254" s="7"/>
    </row>
    <row r="255" spans="1:27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>
        <v>31253</v>
      </c>
      <c r="P255" s="1">
        <f t="shared" si="13"/>
        <v>0.17229738831520081</v>
      </c>
      <c r="Q255" s="25">
        <f t="shared" si="14"/>
        <v>0.10336860941606574</v>
      </c>
      <c r="R255" s="24">
        <f t="shared" si="15"/>
        <v>0.63718117981892419</v>
      </c>
      <c r="S255" s="20"/>
      <c r="T255" s="7"/>
      <c r="U255" s="7"/>
      <c r="V255" s="7"/>
      <c r="W255" s="7"/>
      <c r="X255" s="7"/>
      <c r="Y255" s="7"/>
      <c r="Z255" s="7"/>
      <c r="AA255" s="7"/>
    </row>
    <row r="256" spans="1:27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>
        <v>31254</v>
      </c>
      <c r="P256" s="1">
        <f t="shared" si="13"/>
        <v>0.17240133881568909</v>
      </c>
      <c r="Q256" s="25">
        <f t="shared" si="14"/>
        <v>0.10400598330306821</v>
      </c>
      <c r="R256" s="24">
        <f t="shared" si="15"/>
        <v>0.63752707735176273</v>
      </c>
      <c r="S256" s="20"/>
      <c r="T256" s="7"/>
      <c r="U256" s="7"/>
      <c r="V256" s="7"/>
      <c r="W256" s="7"/>
      <c r="X256" s="7"/>
      <c r="Y256" s="7"/>
      <c r="Z256" s="7"/>
      <c r="AA256" s="7"/>
    </row>
    <row r="257" spans="1:27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>
        <v>31255</v>
      </c>
      <c r="P257" s="1">
        <f t="shared" si="13"/>
        <v>0.17250576615333557</v>
      </c>
      <c r="Q257" s="25">
        <f t="shared" si="14"/>
        <v>0.10464364822837524</v>
      </c>
      <c r="R257" s="24">
        <f t="shared" si="15"/>
        <v>0.63785893988921316</v>
      </c>
      <c r="S257" s="20"/>
      <c r="T257" s="7"/>
      <c r="U257" s="7"/>
      <c r="V257" s="7"/>
      <c r="W257" s="7"/>
      <c r="X257" s="7"/>
      <c r="Y257" s="7"/>
      <c r="Z257" s="7"/>
      <c r="AA257" s="7"/>
    </row>
    <row r="258" spans="1:27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>
        <v>31256</v>
      </c>
      <c r="P258" s="1">
        <f t="shared" si="13"/>
        <v>0.1726100742816925</v>
      </c>
      <c r="Q258" s="25">
        <f t="shared" si="14"/>
        <v>0.10528160419198684</v>
      </c>
      <c r="R258" s="24">
        <f t="shared" si="15"/>
        <v>0.63817683138012171</v>
      </c>
      <c r="S258" s="20"/>
      <c r="T258" s="7"/>
      <c r="U258" s="7"/>
      <c r="V258" s="7"/>
      <c r="W258" s="7"/>
      <c r="X258" s="7"/>
      <c r="Y258" s="7"/>
      <c r="Z258" s="7"/>
      <c r="AA258" s="7"/>
    </row>
    <row r="259" spans="1:27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>
        <v>31257</v>
      </c>
      <c r="P259" s="1">
        <f t="shared" si="13"/>
        <v>0.1727159321308136</v>
      </c>
      <c r="Q259" s="25">
        <f t="shared" si="14"/>
        <v>0.10592002581688575</v>
      </c>
      <c r="R259" s="24">
        <f t="shared" si="15"/>
        <v>0.63848081222062092</v>
      </c>
      <c r="S259" s="20"/>
      <c r="T259" s="7"/>
      <c r="U259" s="7"/>
      <c r="V259" s="7"/>
      <c r="W259" s="7"/>
      <c r="X259" s="7"/>
      <c r="Y259" s="7"/>
      <c r="Z259" s="7"/>
      <c r="AA259" s="7"/>
    </row>
    <row r="260" spans="1:27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>
        <v>31258</v>
      </c>
      <c r="P260" s="1">
        <f t="shared" si="13"/>
        <v>0.1728222668170929</v>
      </c>
      <c r="Q260" s="25">
        <f t="shared" si="14"/>
        <v>0.10655862206476741</v>
      </c>
      <c r="R260" s="24">
        <f t="shared" si="15"/>
        <v>0.638770946359557</v>
      </c>
      <c r="S260" s="20"/>
      <c r="T260" s="7"/>
      <c r="U260" s="7"/>
      <c r="V260" s="7"/>
      <c r="W260" s="7"/>
      <c r="X260" s="7"/>
      <c r="Y260" s="7"/>
      <c r="Z260" s="7"/>
      <c r="AA260" s="7"/>
    </row>
    <row r="261" spans="1:27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>
        <v>31259</v>
      </c>
      <c r="P261" s="1">
        <f t="shared" si="13"/>
        <v>0.17292895913124084</v>
      </c>
      <c r="Q261" s="25">
        <f t="shared" si="14"/>
        <v>0.10719753845478408</v>
      </c>
      <c r="R261" s="24">
        <f t="shared" si="15"/>
        <v>0.63904729064034882</v>
      </c>
      <c r="S261" s="20"/>
      <c r="T261" s="7"/>
      <c r="U261" s="7"/>
      <c r="V261" s="7"/>
      <c r="W261" s="7"/>
      <c r="X261" s="7"/>
      <c r="Y261" s="7"/>
      <c r="Z261" s="7"/>
      <c r="AA261" s="7"/>
    </row>
    <row r="262" spans="1:27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>
        <v>31260</v>
      </c>
      <c r="P262" s="1">
        <f t="shared" si="13"/>
        <v>0.17303672432899475</v>
      </c>
      <c r="Q262" s="25">
        <f t="shared" si="14"/>
        <v>0.10783665857161395</v>
      </c>
      <c r="R262" s="24">
        <f t="shared" si="15"/>
        <v>0.63930991078819943</v>
      </c>
      <c r="S262" s="20"/>
      <c r="T262" s="7"/>
      <c r="U262" s="7"/>
      <c r="V262" s="7"/>
      <c r="W262" s="7"/>
      <c r="X262" s="7"/>
      <c r="Y262" s="7"/>
      <c r="Z262" s="7"/>
      <c r="AA262" s="7"/>
    </row>
    <row r="263" spans="1:27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>
        <v>31261</v>
      </c>
      <c r="P263" s="1">
        <f t="shared" si="13"/>
        <v>0.17314496636390686</v>
      </c>
      <c r="Q263" s="25">
        <f t="shared" si="14"/>
        <v>0.10847609883057885</v>
      </c>
      <c r="R263" s="24">
        <f t="shared" si="15"/>
        <v>0.63955886719924138</v>
      </c>
      <c r="S263" s="20"/>
      <c r="T263" s="7"/>
      <c r="U263" s="7"/>
      <c r="V263" s="7"/>
      <c r="W263" s="7"/>
      <c r="X263" s="7"/>
      <c r="Y263" s="7"/>
      <c r="Z263" s="7"/>
      <c r="AA263" s="7"/>
    </row>
    <row r="264" spans="1:27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>
        <v>31262</v>
      </c>
      <c r="P264" s="1">
        <f t="shared" si="13"/>
        <v>0.17325356602668762</v>
      </c>
      <c r="Q264" s="25">
        <f t="shared" si="14"/>
        <v>0.10911583012784831</v>
      </c>
      <c r="R264" s="24">
        <f t="shared" si="15"/>
        <v>0.63979422382232087</v>
      </c>
      <c r="S264" s="20"/>
      <c r="T264" s="7"/>
      <c r="U264" s="7"/>
      <c r="V264" s="7"/>
      <c r="W264" s="7"/>
      <c r="X264" s="7"/>
      <c r="Y264" s="7"/>
      <c r="Z264" s="7"/>
      <c r="AA264" s="7"/>
    </row>
    <row r="265" spans="1:27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>
        <v>31263</v>
      </c>
      <c r="P265" s="1">
        <f t="shared" si="13"/>
        <v>0.17336347699165344</v>
      </c>
      <c r="Q265" s="25">
        <f t="shared" si="14"/>
        <v>0.10975573604810052</v>
      </c>
      <c r="R265" s="24">
        <f t="shared" si="15"/>
        <v>0.6400160339481431</v>
      </c>
      <c r="S265" s="20"/>
      <c r="T265" s="7"/>
      <c r="U265" s="7"/>
      <c r="V265" s="7"/>
      <c r="W265" s="7"/>
      <c r="X265" s="7"/>
      <c r="Y265" s="7"/>
      <c r="Z265" s="7"/>
      <c r="AA265" s="7"/>
    </row>
    <row r="266" spans="1:27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>
        <v>31264</v>
      </c>
      <c r="P266" s="1">
        <f t="shared" ref="P266:P329" si="16" xml:space="preserve"> -1.4681315616E-19*$O266^6 + 2.80493263066289E-14*$O266^5 - 2.23271907955907E-09*$O266^4 + 0.0000947783879077569*$O266^3 - 2.26293121558813*$O266^2 + 28813.4861268598*$O266 - 152852350.445896</f>
        <v>0.17347338795661926</v>
      </c>
      <c r="Q266" s="25">
        <f t="shared" ref="Q266:Q329" si="17" xml:space="preserve"> (6*-1.4681315616E-19*$O266^5 + 5*2.80493263066289E-14*$O266^4 - 4*2.23271907955907E-09*$O266^3 + 3*0.0000947783879077569*$O266^2 - 2*2.26293121558813*$O266^1 + 28813.4861268598)*1000</f>
        <v>0.11039584569516592</v>
      </c>
      <c r="R266" s="24">
        <f t="shared" ref="R266:R329" si="18" xml:space="preserve"> (5*6*-1.4681315616E-19*$O266^4 + 4*5*2.80493263066289E-14*$O266^3 - 3*4*2.23271907955907E-09*$O266^2 + 2*3*0.0000947783879077569*$O266^1 - 2*2.26293121558813)*1000*1000</f>
        <v>0.64022437218369532</v>
      </c>
      <c r="S266" s="20"/>
      <c r="T266" s="7"/>
      <c r="U266" s="7"/>
      <c r="V266" s="7"/>
      <c r="W266" s="7"/>
      <c r="X266" s="7"/>
      <c r="Y266" s="7"/>
      <c r="Z266" s="7"/>
      <c r="AA266" s="7"/>
    </row>
    <row r="267" spans="1:27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>
        <v>31265</v>
      </c>
      <c r="P267" s="1">
        <f t="shared" si="16"/>
        <v>0.17358389496803284</v>
      </c>
      <c r="Q267" s="25">
        <f t="shared" si="17"/>
        <v>0.11103615906904452</v>
      </c>
      <c r="R267" s="24">
        <f t="shared" si="18"/>
        <v>0.64041929004332587</v>
      </c>
      <c r="S267" s="20"/>
      <c r="T267" s="7"/>
      <c r="U267" s="7"/>
      <c r="V267" s="7"/>
      <c r="W267" s="7"/>
      <c r="X267" s="7"/>
      <c r="Y267" s="7"/>
      <c r="Z267" s="7"/>
      <c r="AA267" s="7"/>
    </row>
    <row r="268" spans="1:27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>
        <v>31266</v>
      </c>
      <c r="P268" s="1">
        <f t="shared" si="16"/>
        <v>0.17369523644447327</v>
      </c>
      <c r="Q268" s="25">
        <f t="shared" si="17"/>
        <v>0.11167670527356677</v>
      </c>
      <c r="R268" s="24">
        <f t="shared" si="18"/>
        <v>0.64060084969952413</v>
      </c>
      <c r="S268" s="20"/>
      <c r="T268" s="7"/>
      <c r="U268" s="7"/>
      <c r="V268" s="7"/>
      <c r="W268" s="7"/>
      <c r="X268" s="7"/>
      <c r="Y268" s="7"/>
      <c r="Z268" s="7"/>
      <c r="AA268" s="7"/>
    </row>
    <row r="269" spans="1:27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>
        <v>31267</v>
      </c>
      <c r="P269" s="1">
        <f t="shared" si="16"/>
        <v>0.1738070547580719</v>
      </c>
      <c r="Q269" s="25">
        <f t="shared" si="17"/>
        <v>0.11231742610107176</v>
      </c>
      <c r="R269" s="24">
        <f t="shared" si="18"/>
        <v>0.6407691097720658</v>
      </c>
      <c r="S269" s="20"/>
      <c r="T269" s="7"/>
      <c r="U269" s="7"/>
      <c r="V269" s="7"/>
      <c r="W269" s="7"/>
      <c r="X269" s="7"/>
      <c r="Y269" s="7"/>
      <c r="Z269" s="7"/>
      <c r="AA269" s="7"/>
    </row>
    <row r="270" spans="1:27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>
        <v>31268</v>
      </c>
      <c r="P270" s="1">
        <f t="shared" si="16"/>
        <v>0.17391994595527649</v>
      </c>
      <c r="Q270" s="25">
        <f t="shared" si="17"/>
        <v>0.11295817603240721</v>
      </c>
      <c r="R270" s="24">
        <f t="shared" si="18"/>
        <v>0.64092413598615394</v>
      </c>
      <c r="S270" s="20"/>
      <c r="T270" s="7"/>
      <c r="U270" s="7"/>
      <c r="V270" s="7"/>
      <c r="W270" s="7"/>
      <c r="X270" s="7"/>
      <c r="Y270" s="7"/>
      <c r="Z270" s="7"/>
      <c r="AA270" s="7"/>
    </row>
    <row r="271" spans="1:27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>
        <v>31269</v>
      </c>
      <c r="P271" s="1">
        <f t="shared" si="16"/>
        <v>0.17403295636177063</v>
      </c>
      <c r="Q271" s="25">
        <f t="shared" si="17"/>
        <v>0.11359921700204723</v>
      </c>
      <c r="R271" s="24">
        <f t="shared" si="18"/>
        <v>0.64106599761970529</v>
      </c>
      <c r="S271" s="20"/>
      <c r="T271" s="7"/>
      <c r="U271" s="7"/>
      <c r="V271" s="7"/>
      <c r="W271" s="7"/>
      <c r="X271" s="7"/>
      <c r="Y271" s="7"/>
      <c r="Z271" s="7"/>
      <c r="AA271" s="7"/>
    </row>
    <row r="272" spans="1:27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>
        <v>31270</v>
      </c>
      <c r="P272" s="1">
        <f t="shared" si="16"/>
        <v>0.17414692044258118</v>
      </c>
      <c r="Q272" s="25">
        <f t="shared" si="17"/>
        <v>0.11424031617934816</v>
      </c>
      <c r="R272" s="24">
        <f t="shared" si="18"/>
        <v>0.64119473552892714</v>
      </c>
      <c r="S272" s="20"/>
      <c r="T272" s="7"/>
      <c r="U272" s="7"/>
      <c r="V272" s="7"/>
      <c r="W272" s="7"/>
      <c r="X272" s="7"/>
      <c r="Y272" s="7"/>
      <c r="Z272" s="7"/>
      <c r="AA272" s="7"/>
    </row>
    <row r="273" spans="1:27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>
        <v>31271</v>
      </c>
      <c r="P273" s="1">
        <f t="shared" si="16"/>
        <v>0.17426124215126038</v>
      </c>
      <c r="Q273" s="25">
        <f t="shared" si="17"/>
        <v>0.11488158997963183</v>
      </c>
      <c r="R273" s="24">
        <f t="shared" si="18"/>
        <v>0.64131042076809308</v>
      </c>
      <c r="S273" s="20"/>
      <c r="T273" s="7"/>
      <c r="U273" s="7"/>
      <c r="V273" s="7"/>
      <c r="W273" s="7"/>
      <c r="X273" s="7"/>
      <c r="Y273" s="7"/>
      <c r="Z273" s="7"/>
      <c r="AA273" s="7"/>
    </row>
    <row r="274" spans="1:27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>
        <v>31272</v>
      </c>
      <c r="P274" s="1">
        <f t="shared" si="16"/>
        <v>0.17437639832496643</v>
      </c>
      <c r="Q274" s="25">
        <f t="shared" si="17"/>
        <v>0.11552292198757641</v>
      </c>
      <c r="R274" s="24">
        <f t="shared" si="18"/>
        <v>0.64141311728604933</v>
      </c>
      <c r="S274" s="20"/>
      <c r="T274" s="7"/>
      <c r="U274" s="7"/>
      <c r="V274" s="7"/>
      <c r="W274" s="7"/>
      <c r="X274" s="7"/>
      <c r="Y274" s="7"/>
      <c r="Z274" s="7"/>
      <c r="AA274" s="7"/>
    </row>
    <row r="275" spans="1:27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>
        <v>31273</v>
      </c>
      <c r="P275" s="1">
        <f t="shared" si="16"/>
        <v>0.17449226975440979</v>
      </c>
      <c r="Q275" s="25">
        <f t="shared" si="17"/>
        <v>0.11616439951467328</v>
      </c>
      <c r="R275" s="24">
        <f t="shared" si="18"/>
        <v>0.64150287659714422</v>
      </c>
      <c r="S275" s="20"/>
      <c r="T275" s="7"/>
      <c r="U275" s="7"/>
      <c r="V275" s="7"/>
      <c r="W275" s="7"/>
      <c r="X275" s="7"/>
      <c r="Y275" s="7"/>
      <c r="Z275" s="7"/>
      <c r="AA275" s="7"/>
    </row>
    <row r="276" spans="1:27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>
        <v>31274</v>
      </c>
      <c r="P276" s="1">
        <f t="shared" si="16"/>
        <v>0.17460921406745911</v>
      </c>
      <c r="Q276" s="25">
        <f t="shared" si="17"/>
        <v>0.11680599345709197</v>
      </c>
      <c r="R276" s="24">
        <f t="shared" si="18"/>
        <v>0.6415797679792945</v>
      </c>
      <c r="S276" s="20"/>
      <c r="T276" s="7"/>
      <c r="U276" s="7"/>
      <c r="V276" s="7"/>
      <c r="W276" s="7"/>
      <c r="X276" s="7"/>
      <c r="Y276" s="7"/>
      <c r="Z276" s="7"/>
      <c r="AA276" s="7"/>
    </row>
    <row r="277" spans="1:27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>
        <v>31275</v>
      </c>
      <c r="P277" s="1">
        <f t="shared" si="16"/>
        <v>0.17472651600837708</v>
      </c>
      <c r="Q277" s="25">
        <f t="shared" si="17"/>
        <v>0.11744755829568021</v>
      </c>
      <c r="R277" s="24">
        <f t="shared" si="18"/>
        <v>0.64164384472320535</v>
      </c>
      <c r="S277" s="20"/>
      <c r="T277" s="7"/>
      <c r="U277" s="7"/>
      <c r="V277" s="7"/>
      <c r="W277" s="7"/>
      <c r="X277" s="7"/>
      <c r="Y277" s="7"/>
      <c r="Z277" s="7"/>
      <c r="AA277" s="7"/>
    </row>
    <row r="278" spans="1:27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>
        <v>31276</v>
      </c>
      <c r="P278" s="1">
        <f t="shared" si="16"/>
        <v>0.17484405636787415</v>
      </c>
      <c r="Q278" s="25">
        <f t="shared" si="17"/>
        <v>0.11808926865342073</v>
      </c>
      <c r="R278" s="24">
        <f t="shared" si="18"/>
        <v>0.64169517077772298</v>
      </c>
      <c r="S278" s="20"/>
      <c r="T278" s="7"/>
      <c r="U278" s="7"/>
      <c r="V278" s="7"/>
      <c r="W278" s="7"/>
      <c r="X278" s="7"/>
      <c r="Y278" s="7"/>
      <c r="Z278" s="7"/>
      <c r="AA278" s="7"/>
    </row>
    <row r="279" spans="1:27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>
        <v>31277</v>
      </c>
      <c r="P279" s="1">
        <f t="shared" si="16"/>
        <v>0.17496243119239807</v>
      </c>
      <c r="Q279" s="25">
        <f t="shared" si="17"/>
        <v>0.11873097901116125</v>
      </c>
      <c r="R279" s="24">
        <f t="shared" si="18"/>
        <v>0.64173380831533677</v>
      </c>
      <c r="S279" s="20"/>
      <c r="T279" s="7"/>
      <c r="U279" s="7"/>
      <c r="V279" s="7"/>
      <c r="W279" s="7"/>
      <c r="X279" s="7"/>
      <c r="Y279" s="7"/>
      <c r="Z279" s="7"/>
      <c r="AA279" s="7"/>
    </row>
    <row r="280" spans="1:27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>
        <v>31278</v>
      </c>
      <c r="P280" s="1">
        <f t="shared" si="16"/>
        <v>0.17508164048194885</v>
      </c>
      <c r="Q280" s="25">
        <f t="shared" si="17"/>
        <v>0.11937274757656269</v>
      </c>
      <c r="R280" s="24">
        <f t="shared" si="18"/>
        <v>0.64175980885039507</v>
      </c>
      <c r="S280" s="20"/>
      <c r="T280" s="7"/>
      <c r="U280" s="7"/>
      <c r="V280" s="7"/>
      <c r="W280" s="7"/>
      <c r="X280" s="7"/>
      <c r="Y280" s="7"/>
      <c r="Z280" s="7"/>
      <c r="AA280" s="7"/>
    </row>
    <row r="281" spans="1:27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>
        <v>31279</v>
      </c>
      <c r="P281" s="1">
        <f t="shared" si="16"/>
        <v>0.17520108819007874</v>
      </c>
      <c r="Q281" s="25">
        <f t="shared" si="17"/>
        <v>0.12001448703813367</v>
      </c>
      <c r="R281" s="24">
        <f t="shared" si="18"/>
        <v>0.6417732363317441</v>
      </c>
      <c r="S281" s="20"/>
      <c r="T281" s="7"/>
      <c r="U281" s="7"/>
      <c r="V281" s="7"/>
      <c r="W281" s="7"/>
      <c r="X281" s="7"/>
      <c r="Y281" s="7"/>
      <c r="Z281" s="7"/>
      <c r="AA281" s="7"/>
    </row>
    <row r="282" spans="1:27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>
        <v>31280</v>
      </c>
      <c r="P282" s="1">
        <f t="shared" si="16"/>
        <v>0.17532113194465637</v>
      </c>
      <c r="Q282" s="25">
        <f t="shared" si="17"/>
        <v>0.12065622649970464</v>
      </c>
      <c r="R282" s="24">
        <f t="shared" si="18"/>
        <v>0.64177415470823007</v>
      </c>
      <c r="S282" s="20"/>
      <c r="T282" s="7"/>
      <c r="U282" s="7"/>
      <c r="V282" s="7"/>
      <c r="W282" s="7"/>
      <c r="X282" s="7"/>
      <c r="Y282" s="7"/>
      <c r="Z282" s="7"/>
      <c r="AA282" s="7"/>
    </row>
    <row r="283" spans="1:27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>
        <v>31281</v>
      </c>
      <c r="P283" s="1">
        <f t="shared" si="16"/>
        <v>0.17544248700141907</v>
      </c>
      <c r="Q283" s="25">
        <f t="shared" si="17"/>
        <v>0.12129805327276699</v>
      </c>
      <c r="R283" s="24">
        <f t="shared" si="18"/>
        <v>0.64176261549420133</v>
      </c>
      <c r="S283" s="20"/>
      <c r="T283" s="7"/>
      <c r="U283" s="7"/>
      <c r="V283" s="7"/>
      <c r="W283" s="7"/>
      <c r="X283" s="7"/>
      <c r="Y283" s="7"/>
      <c r="Z283" s="7"/>
      <c r="AA283" s="7"/>
    </row>
    <row r="284" spans="1:27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>
        <v>31282</v>
      </c>
      <c r="P284" s="1">
        <f t="shared" si="16"/>
        <v>0.17556360363960266</v>
      </c>
      <c r="Q284" s="25">
        <f t="shared" si="17"/>
        <v>0.12193976363050751</v>
      </c>
      <c r="R284" s="24">
        <f t="shared" si="18"/>
        <v>0.64173868441486093</v>
      </c>
      <c r="S284" s="20"/>
      <c r="T284" s="7"/>
      <c r="U284" s="7"/>
      <c r="V284" s="7"/>
      <c r="W284" s="7"/>
      <c r="X284" s="7"/>
      <c r="Y284" s="7"/>
      <c r="Z284" s="7"/>
      <c r="AA284" s="7"/>
    </row>
    <row r="285" spans="1:27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>
        <v>31283</v>
      </c>
      <c r="P285" s="1">
        <f t="shared" si="16"/>
        <v>0.17568650841712952</v>
      </c>
      <c r="Q285" s="25">
        <f t="shared" si="17"/>
        <v>0.12258147398824804</v>
      </c>
      <c r="R285" s="24">
        <f t="shared" si="18"/>
        <v>0.64170241831362773</v>
      </c>
      <c r="S285" s="20"/>
      <c r="T285" s="7"/>
      <c r="U285" s="7"/>
      <c r="V285" s="7"/>
      <c r="W285" s="7"/>
      <c r="X285" s="7"/>
      <c r="Y285" s="7"/>
      <c r="Z285" s="7"/>
      <c r="AA285" s="7"/>
    </row>
    <row r="286" spans="1:27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>
        <v>31284</v>
      </c>
      <c r="P286" s="1">
        <f t="shared" si="16"/>
        <v>0.17580929398536682</v>
      </c>
      <c r="Q286" s="25">
        <f t="shared" si="17"/>
        <v>0.1232231552421581</v>
      </c>
      <c r="R286" s="24">
        <f t="shared" si="18"/>
        <v>0.64165388113934796</v>
      </c>
      <c r="S286" s="20"/>
      <c r="T286" s="7"/>
      <c r="U286" s="7"/>
      <c r="V286" s="7"/>
      <c r="W286" s="7"/>
      <c r="X286" s="7"/>
      <c r="Y286" s="7"/>
      <c r="Z286" s="7"/>
      <c r="AA286" s="7"/>
    </row>
    <row r="287" spans="1:27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>
        <v>31285</v>
      </c>
      <c r="P287" s="1">
        <f t="shared" si="16"/>
        <v>0.17593279480934143</v>
      </c>
      <c r="Q287" s="25">
        <f t="shared" si="17"/>
        <v>0.12386477828840725</v>
      </c>
      <c r="R287" s="24">
        <f t="shared" si="18"/>
        <v>0.64159312263001311</v>
      </c>
      <c r="S287" s="20"/>
      <c r="T287" s="7"/>
      <c r="U287" s="7"/>
      <c r="V287" s="7"/>
      <c r="W287" s="7"/>
      <c r="X287" s="7"/>
      <c r="Y287" s="7"/>
      <c r="Z287" s="7"/>
      <c r="AA287" s="7"/>
    </row>
    <row r="288" spans="1:27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>
        <v>31286</v>
      </c>
      <c r="P288" s="1">
        <f t="shared" si="16"/>
        <v>0.17605689167976379</v>
      </c>
      <c r="Q288" s="25">
        <f t="shared" si="17"/>
        <v>0.12450634312699549</v>
      </c>
      <c r="R288" s="24">
        <f t="shared" si="18"/>
        <v>0.64152021028718309</v>
      </c>
      <c r="S288" s="20"/>
      <c r="T288" s="7"/>
      <c r="U288" s="7"/>
      <c r="V288" s="7"/>
      <c r="W288" s="7"/>
      <c r="X288" s="7"/>
      <c r="Y288" s="7"/>
      <c r="Z288" s="7"/>
      <c r="AA288" s="7"/>
    </row>
    <row r="289" spans="1:27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>
        <v>31287</v>
      </c>
      <c r="P289" s="1">
        <f t="shared" si="16"/>
        <v>0.17618182301521301</v>
      </c>
      <c r="Q289" s="25">
        <f t="shared" si="17"/>
        <v>0.12514776244643144</v>
      </c>
      <c r="R289" s="24">
        <f t="shared" si="18"/>
        <v>0.64143519562520623</v>
      </c>
      <c r="S289" s="20"/>
      <c r="T289" s="7"/>
      <c r="U289" s="7"/>
      <c r="V289" s="7"/>
      <c r="W289" s="7"/>
      <c r="X289" s="7"/>
      <c r="Y289" s="7"/>
      <c r="Z289" s="7"/>
      <c r="AA289" s="7"/>
    </row>
    <row r="290" spans="1:27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>
        <v>31288</v>
      </c>
      <c r="P290" s="1">
        <f t="shared" si="16"/>
        <v>0.17630723118782043</v>
      </c>
      <c r="Q290" s="25">
        <f t="shared" si="17"/>
        <v>0.12578923997352831</v>
      </c>
      <c r="R290" s="24">
        <f t="shared" si="18"/>
        <v>0.64133814081657192</v>
      </c>
      <c r="S290" s="20"/>
      <c r="T290" s="7"/>
      <c r="U290" s="7"/>
      <c r="V290" s="7"/>
      <c r="W290" s="7"/>
      <c r="X290" s="7"/>
      <c r="Y290" s="7"/>
      <c r="Z290" s="7"/>
      <c r="AA290" s="7"/>
    </row>
    <row r="291" spans="1:27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>
        <v>31289</v>
      </c>
      <c r="P291" s="1">
        <f t="shared" si="16"/>
        <v>0.17643299698829651</v>
      </c>
      <c r="Q291" s="25">
        <f t="shared" si="17"/>
        <v>0.12643051377381198</v>
      </c>
      <c r="R291" s="24">
        <f t="shared" si="18"/>
        <v>0.64122911158648321</v>
      </c>
      <c r="S291" s="20"/>
      <c r="T291" s="7"/>
      <c r="U291" s="7"/>
      <c r="V291" s="7"/>
      <c r="W291" s="7"/>
      <c r="X291" s="7"/>
      <c r="Y291" s="7"/>
      <c r="Z291" s="7"/>
      <c r="AA291" s="7"/>
    </row>
    <row r="292" spans="1:27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>
        <v>31290</v>
      </c>
      <c r="P292" s="1">
        <f t="shared" si="16"/>
        <v>0.17656031250953674</v>
      </c>
      <c r="Q292" s="25">
        <f t="shared" si="17"/>
        <v>0.12707167115877382</v>
      </c>
      <c r="R292" s="24">
        <f t="shared" si="18"/>
        <v>0.64110814879114741</v>
      </c>
      <c r="S292" s="20"/>
      <c r="T292" s="7"/>
      <c r="U292" s="7"/>
      <c r="V292" s="7"/>
      <c r="W292" s="7"/>
      <c r="X292" s="7"/>
      <c r="Y292" s="7"/>
      <c r="Z292" s="7"/>
      <c r="AA292" s="7"/>
    </row>
    <row r="293" spans="1:27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>
        <v>31291</v>
      </c>
      <c r="P293" s="1">
        <f t="shared" si="16"/>
        <v>0.17668762803077698</v>
      </c>
      <c r="Q293" s="25">
        <f t="shared" si="17"/>
        <v>0.12771271212841384</v>
      </c>
      <c r="R293" s="24">
        <f t="shared" si="18"/>
        <v>0.6409753323666223</v>
      </c>
      <c r="S293" s="20"/>
      <c r="T293" s="7"/>
      <c r="U293" s="7"/>
      <c r="V293" s="7"/>
      <c r="W293" s="7"/>
      <c r="X293" s="7"/>
      <c r="Y293" s="7"/>
      <c r="Z293" s="7"/>
      <c r="AA293" s="7"/>
    </row>
    <row r="294" spans="1:27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>
        <v>31292</v>
      </c>
      <c r="P294" s="1">
        <f t="shared" si="16"/>
        <v>0.17681577801704407</v>
      </c>
      <c r="Q294" s="25">
        <f t="shared" si="17"/>
        <v>0.12835363668273203</v>
      </c>
      <c r="R294" s="24">
        <f t="shared" si="18"/>
        <v>0.64083070672182885</v>
      </c>
      <c r="S294" s="20"/>
      <c r="T294" s="7"/>
      <c r="U294" s="7"/>
      <c r="V294" s="7"/>
      <c r="W294" s="7"/>
      <c r="X294" s="7"/>
      <c r="Y294" s="7"/>
      <c r="Z294" s="7"/>
      <c r="AA294" s="7"/>
    </row>
    <row r="295" spans="1:27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>
        <v>31293</v>
      </c>
      <c r="P295" s="1">
        <f t="shared" si="16"/>
        <v>0.17694404721260071</v>
      </c>
      <c r="Q295" s="25">
        <f t="shared" si="17"/>
        <v>0.12899438661406748</v>
      </c>
      <c r="R295" s="24">
        <f t="shared" si="18"/>
        <v>0.64067433402925644</v>
      </c>
      <c r="S295" s="20"/>
      <c r="T295" s="7"/>
      <c r="U295" s="7"/>
      <c r="V295" s="7"/>
      <c r="W295" s="7"/>
      <c r="X295" s="7"/>
      <c r="Y295" s="7"/>
      <c r="Z295" s="7"/>
      <c r="AA295" s="7"/>
    </row>
    <row r="296" spans="1:27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>
        <v>31294</v>
      </c>
      <c r="P296" s="1">
        <f t="shared" si="16"/>
        <v>0.17707374691963196</v>
      </c>
      <c r="Q296" s="25">
        <f t="shared" si="17"/>
        <v>0.12963493281858973</v>
      </c>
      <c r="R296" s="24">
        <f t="shared" si="18"/>
        <v>0.64050626580325343</v>
      </c>
      <c r="S296" s="20"/>
      <c r="T296" s="7"/>
      <c r="U296" s="7"/>
      <c r="V296" s="7"/>
      <c r="W296" s="7"/>
      <c r="X296" s="7"/>
      <c r="Y296" s="7"/>
      <c r="Z296" s="7"/>
      <c r="AA296" s="7"/>
    </row>
    <row r="297" spans="1:27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>
        <v>31295</v>
      </c>
      <c r="P297" s="1">
        <f t="shared" si="16"/>
        <v>0.17720380425453186</v>
      </c>
      <c r="Q297" s="25">
        <f t="shared" si="17"/>
        <v>0.13027539171162061</v>
      </c>
      <c r="R297" s="24">
        <f t="shared" si="18"/>
        <v>0.6403265695453797</v>
      </c>
      <c r="S297" s="20"/>
      <c r="T297" s="7"/>
      <c r="U297" s="7"/>
      <c r="V297" s="7"/>
      <c r="W297" s="7"/>
      <c r="X297" s="7"/>
      <c r="Y297" s="7"/>
      <c r="Z297" s="7"/>
      <c r="AA297" s="7"/>
    </row>
    <row r="298" spans="1:27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>
        <v>31296</v>
      </c>
      <c r="P298" s="1">
        <f t="shared" si="16"/>
        <v>0.17733421921730042</v>
      </c>
      <c r="Q298" s="25">
        <f t="shared" si="17"/>
        <v>0.1309156468778383</v>
      </c>
      <c r="R298" s="24">
        <f t="shared" si="18"/>
        <v>0.64013530209905412</v>
      </c>
      <c r="S298" s="20"/>
      <c r="T298" s="7"/>
      <c r="U298" s="7"/>
      <c r="V298" s="7"/>
      <c r="W298" s="7"/>
      <c r="X298" s="7"/>
      <c r="Y298" s="7"/>
      <c r="Z298" s="7"/>
      <c r="AA298" s="7"/>
    </row>
    <row r="299" spans="1:27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>
        <v>31297</v>
      </c>
      <c r="P299" s="1">
        <f t="shared" si="16"/>
        <v>0.17746511101722717</v>
      </c>
      <c r="Q299" s="25">
        <f t="shared" si="17"/>
        <v>0.13155564010958187</v>
      </c>
      <c r="R299" s="24">
        <f t="shared" si="18"/>
        <v>0.63993252030769554</v>
      </c>
      <c r="S299" s="20"/>
      <c r="T299" s="7"/>
      <c r="U299" s="7"/>
      <c r="V299" s="7"/>
      <c r="W299" s="7"/>
      <c r="X299" s="7"/>
      <c r="Y299" s="7"/>
      <c r="Z299" s="7"/>
      <c r="AA299" s="7"/>
    </row>
    <row r="300" spans="1:27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>
        <v>31298</v>
      </c>
      <c r="P300" s="1">
        <f t="shared" si="16"/>
        <v>0.17759707570075989</v>
      </c>
      <c r="Q300" s="25">
        <f t="shared" si="17"/>
        <v>0.13219548782217316</v>
      </c>
      <c r="R300" s="24">
        <f t="shared" si="18"/>
        <v>0.63971827746200915</v>
      </c>
      <c r="S300" s="20"/>
      <c r="T300" s="7"/>
      <c r="U300" s="7"/>
      <c r="V300" s="7"/>
      <c r="W300" s="7"/>
      <c r="X300" s="7"/>
      <c r="Y300" s="7"/>
      <c r="Z300" s="7"/>
      <c r="AA300" s="7"/>
    </row>
    <row r="301" spans="1:27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>
        <v>31299</v>
      </c>
      <c r="P301" s="1">
        <f t="shared" si="16"/>
        <v>0.17772963643074036</v>
      </c>
      <c r="Q301" s="25">
        <f t="shared" si="17"/>
        <v>0.13283507360029034</v>
      </c>
      <c r="R301" s="24">
        <f t="shared" si="18"/>
        <v>0.63949263573448434</v>
      </c>
      <c r="S301" s="20"/>
      <c r="T301" s="7"/>
      <c r="U301" s="7"/>
      <c r="V301" s="7"/>
      <c r="W301" s="7"/>
      <c r="X301" s="7"/>
      <c r="Y301" s="7"/>
      <c r="Z301" s="7"/>
      <c r="AA301" s="7"/>
    </row>
    <row r="302" spans="1:27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>
        <v>31300</v>
      </c>
      <c r="P302" s="1">
        <f t="shared" si="16"/>
        <v>0.17786267399787903</v>
      </c>
      <c r="Q302" s="25">
        <f t="shared" si="17"/>
        <v>0.13347445565159433</v>
      </c>
      <c r="R302" s="24">
        <f t="shared" si="18"/>
        <v>0.63925564663946943</v>
      </c>
      <c r="S302" s="20"/>
      <c r="T302" s="7"/>
      <c r="U302" s="7"/>
      <c r="V302" s="7"/>
      <c r="W302" s="7"/>
      <c r="X302" s="7"/>
      <c r="Y302" s="7"/>
      <c r="Z302" s="7"/>
      <c r="AA302" s="7"/>
    </row>
    <row r="303" spans="1:27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>
        <v>31301</v>
      </c>
      <c r="P303" s="1">
        <f t="shared" si="16"/>
        <v>0.17799654603004456</v>
      </c>
      <c r="Q303" s="25">
        <f t="shared" si="17"/>
        <v>0.1341135757684242</v>
      </c>
      <c r="R303" s="24">
        <f t="shared" si="18"/>
        <v>0.63900737767852434</v>
      </c>
      <c r="S303" s="20"/>
      <c r="T303" s="7"/>
      <c r="U303" s="7"/>
      <c r="V303" s="7"/>
      <c r="W303" s="7"/>
      <c r="X303" s="7"/>
      <c r="Y303" s="7"/>
      <c r="Z303" s="7"/>
      <c r="AA303" s="7"/>
    </row>
    <row r="304" spans="1:27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>
        <v>31302</v>
      </c>
      <c r="P304" s="1">
        <f t="shared" si="16"/>
        <v>0.17813125252723694</v>
      </c>
      <c r="Q304" s="25">
        <f t="shared" si="17"/>
        <v>0.13475243395077996</v>
      </c>
      <c r="R304" s="24">
        <f t="shared" si="18"/>
        <v>0.63874787858964055</v>
      </c>
      <c r="S304" s="20"/>
      <c r="T304" s="7"/>
      <c r="U304" s="7"/>
      <c r="V304" s="7"/>
      <c r="W304" s="7"/>
      <c r="X304" s="7"/>
      <c r="Y304" s="7"/>
      <c r="Z304" s="7"/>
      <c r="AA304" s="7"/>
    </row>
    <row r="305" spans="1:27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>
        <v>31303</v>
      </c>
      <c r="P305" s="1">
        <f t="shared" si="16"/>
        <v>0.17826595902442932</v>
      </c>
      <c r="Q305" s="25">
        <f t="shared" si="17"/>
        <v>0.13539105930249207</v>
      </c>
      <c r="R305" s="24">
        <f t="shared" si="18"/>
        <v>0.6384772044398801</v>
      </c>
      <c r="S305" s="20"/>
      <c r="T305" s="7"/>
      <c r="U305" s="7"/>
      <c r="V305" s="7"/>
      <c r="W305" s="7"/>
      <c r="X305" s="7"/>
      <c r="Y305" s="7"/>
      <c r="Z305" s="7"/>
      <c r="AA305" s="7"/>
    </row>
    <row r="306" spans="1:27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>
        <v>31304</v>
      </c>
      <c r="P306" s="1">
        <f t="shared" si="16"/>
        <v>0.17840221524238586</v>
      </c>
      <c r="Q306" s="25">
        <f t="shared" si="17"/>
        <v>0.13602945182356052</v>
      </c>
      <c r="R306" s="24">
        <f t="shared" si="18"/>
        <v>0.63819542805987339</v>
      </c>
      <c r="S306" s="20"/>
      <c r="T306" s="7"/>
      <c r="U306" s="7"/>
      <c r="V306" s="7"/>
      <c r="W306" s="7"/>
      <c r="X306" s="7"/>
      <c r="Y306" s="7"/>
      <c r="Z306" s="7"/>
      <c r="AA306" s="7"/>
    </row>
    <row r="307" spans="1:27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>
        <v>31305</v>
      </c>
      <c r="P307" s="1">
        <f t="shared" si="16"/>
        <v>0.17853835225105286</v>
      </c>
      <c r="Q307" s="25">
        <f t="shared" si="17"/>
        <v>0.13666743689100258</v>
      </c>
      <c r="R307" s="24">
        <f t="shared" si="18"/>
        <v>0.63790258497675723</v>
      </c>
      <c r="S307" s="20"/>
      <c r="T307" s="7"/>
      <c r="U307" s="7"/>
      <c r="V307" s="7"/>
      <c r="W307" s="7"/>
      <c r="X307" s="7"/>
      <c r="Y307" s="7"/>
      <c r="Z307" s="7"/>
      <c r="AA307" s="7"/>
    </row>
    <row r="308" spans="1:27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>
        <v>31306</v>
      </c>
      <c r="P308" s="1">
        <f t="shared" si="16"/>
        <v>0.17867496609687805</v>
      </c>
      <c r="Q308" s="25">
        <f t="shared" si="17"/>
        <v>0.13730527643929236</v>
      </c>
      <c r="R308" s="24">
        <f t="shared" si="18"/>
        <v>0.63759874624480517</v>
      </c>
      <c r="S308" s="20"/>
      <c r="T308" s="7"/>
      <c r="U308" s="7"/>
      <c r="V308" s="7"/>
      <c r="W308" s="7"/>
      <c r="X308" s="7"/>
      <c r="Y308" s="7"/>
      <c r="Z308" s="7"/>
      <c r="AA308" s="7"/>
    </row>
    <row r="309" spans="1:27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>
        <v>31307</v>
      </c>
      <c r="P309" s="1">
        <f t="shared" si="16"/>
        <v>0.17881289124488831</v>
      </c>
      <c r="Q309" s="25">
        <f t="shared" si="17"/>
        <v>0.13794267943012528</v>
      </c>
      <c r="R309" s="24">
        <f t="shared" si="18"/>
        <v>0.63728396160200873</v>
      </c>
      <c r="S309" s="20"/>
      <c r="T309" s="7"/>
      <c r="U309" s="7"/>
      <c r="V309" s="7"/>
      <c r="W309" s="7"/>
      <c r="X309" s="7"/>
      <c r="Y309" s="7"/>
      <c r="Z309" s="7"/>
      <c r="AA309" s="7"/>
    </row>
    <row r="310" spans="1:27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>
        <v>31308</v>
      </c>
      <c r="P310" s="1">
        <f t="shared" si="16"/>
        <v>0.17895093560218811</v>
      </c>
      <c r="Q310" s="25">
        <f t="shared" si="17"/>
        <v>0.13857979138265364</v>
      </c>
      <c r="R310" s="24">
        <f t="shared" si="18"/>
        <v>0.63695829144450045</v>
      </c>
      <c r="S310" s="20"/>
      <c r="T310" s="7"/>
      <c r="U310" s="7"/>
      <c r="V310" s="7"/>
      <c r="W310" s="7"/>
      <c r="X310" s="7"/>
      <c r="Y310" s="7"/>
      <c r="Z310" s="7"/>
      <c r="AA310" s="7"/>
    </row>
    <row r="311" spans="1:27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>
        <v>31309</v>
      </c>
      <c r="P311" s="1">
        <f t="shared" si="16"/>
        <v>0.17908993363380432</v>
      </c>
      <c r="Q311" s="25">
        <f t="shared" si="17"/>
        <v>0.13921655408921652</v>
      </c>
      <c r="R311" s="24">
        <f t="shared" si="18"/>
        <v>0.63662178728662866</v>
      </c>
      <c r="S311" s="20"/>
      <c r="T311" s="7"/>
      <c r="U311" s="7"/>
      <c r="V311" s="7"/>
      <c r="W311" s="7"/>
      <c r="X311" s="7"/>
      <c r="Y311" s="7"/>
      <c r="Z311" s="7"/>
      <c r="AA311" s="7"/>
    </row>
    <row r="312" spans="1:27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>
        <v>31310</v>
      </c>
      <c r="P312" s="1">
        <f t="shared" si="16"/>
        <v>0.17922952771186829</v>
      </c>
      <c r="Q312" s="25">
        <f t="shared" si="17"/>
        <v>0.13985305486130528</v>
      </c>
      <c r="R312" s="24">
        <f t="shared" si="18"/>
        <v>0.63627451307723959</v>
      </c>
      <c r="S312" s="20"/>
      <c r="T312" s="7"/>
      <c r="U312" s="7"/>
      <c r="V312" s="7"/>
      <c r="W312" s="7"/>
      <c r="X312" s="7"/>
      <c r="Y312" s="7"/>
      <c r="Z312" s="7"/>
      <c r="AA312" s="7"/>
    </row>
    <row r="313" spans="1:27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>
        <v>31311</v>
      </c>
      <c r="P313" s="1">
        <f t="shared" si="16"/>
        <v>0.1793694794178009</v>
      </c>
      <c r="Q313" s="25">
        <f t="shared" si="17"/>
        <v>0.14048914817976765</v>
      </c>
      <c r="R313" s="24">
        <f t="shared" si="18"/>
        <v>0.63591652210703842</v>
      </c>
      <c r="S313" s="20"/>
      <c r="T313" s="7"/>
      <c r="U313" s="7"/>
      <c r="V313" s="7"/>
      <c r="W313" s="7"/>
      <c r="X313" s="7"/>
      <c r="Y313" s="7"/>
      <c r="Z313" s="7"/>
      <c r="AA313" s="7"/>
    </row>
    <row r="314" spans="1:27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>
        <v>31312</v>
      </c>
      <c r="P314" s="1">
        <f t="shared" si="16"/>
        <v>0.17951062321662903</v>
      </c>
      <c r="Q314" s="25">
        <f t="shared" si="17"/>
        <v>0.14112483404460363</v>
      </c>
      <c r="R314" s="24">
        <f t="shared" si="18"/>
        <v>0.635547871219444</v>
      </c>
      <c r="S314" s="20"/>
      <c r="T314" s="7"/>
      <c r="U314" s="7"/>
      <c r="V314" s="7"/>
      <c r="W314" s="7"/>
      <c r="X314" s="7"/>
      <c r="Y314" s="7"/>
      <c r="Z314" s="7"/>
      <c r="AA314" s="7"/>
    </row>
    <row r="315" spans="1:27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>
        <v>31313</v>
      </c>
      <c r="P315" s="1">
        <f t="shared" si="16"/>
        <v>0.1796518862247467</v>
      </c>
      <c r="Q315" s="25">
        <f t="shared" si="17"/>
        <v>0.14176019976730458</v>
      </c>
      <c r="R315" s="24">
        <f t="shared" si="18"/>
        <v>0.63516861192880469</v>
      </c>
      <c r="S315" s="20"/>
      <c r="T315" s="7"/>
      <c r="U315" s="7"/>
      <c r="V315" s="7"/>
      <c r="W315" s="7"/>
      <c r="X315" s="7"/>
      <c r="Y315" s="7"/>
      <c r="Z315" s="7"/>
      <c r="AA315" s="7"/>
    </row>
    <row r="316" spans="1:27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>
        <v>31314</v>
      </c>
      <c r="P316" s="1">
        <f t="shared" si="16"/>
        <v>0.17979374527931213</v>
      </c>
      <c r="Q316" s="25">
        <f t="shared" si="17"/>
        <v>0.1423951871402096</v>
      </c>
      <c r="R316" s="24">
        <f t="shared" si="18"/>
        <v>0.63477880107853935</v>
      </c>
      <c r="S316" s="20"/>
      <c r="T316" s="7"/>
      <c r="U316" s="7"/>
      <c r="V316" s="7"/>
      <c r="W316" s="7"/>
      <c r="X316" s="7"/>
      <c r="Y316" s="7"/>
      <c r="Z316" s="7"/>
      <c r="AA316" s="7"/>
    </row>
    <row r="317" spans="1:27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>
        <v>31315</v>
      </c>
      <c r="P317" s="1">
        <f t="shared" si="16"/>
        <v>0.17993679642677307</v>
      </c>
      <c r="Q317" s="25">
        <f t="shared" si="17"/>
        <v>0.14302979616331868</v>
      </c>
      <c r="R317" s="24">
        <f t="shared" si="18"/>
        <v>0.63437850261749418</v>
      </c>
      <c r="S317" s="20"/>
      <c r="T317" s="7"/>
      <c r="U317" s="7"/>
      <c r="V317" s="7"/>
      <c r="W317" s="7"/>
      <c r="X317" s="7"/>
      <c r="Y317" s="7"/>
      <c r="Z317" s="7"/>
      <c r="AA317" s="7"/>
    </row>
    <row r="318" spans="1:27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>
        <v>31316</v>
      </c>
      <c r="P318" s="1">
        <f t="shared" si="16"/>
        <v>0.18008044362068176</v>
      </c>
      <c r="Q318" s="25">
        <f t="shared" si="17"/>
        <v>0.14366391042130999</v>
      </c>
      <c r="R318" s="24">
        <f t="shared" si="18"/>
        <v>0.63396776628366069</v>
      </c>
      <c r="S318" s="20"/>
      <c r="T318" s="7"/>
      <c r="U318" s="7"/>
      <c r="V318" s="7"/>
      <c r="W318" s="7"/>
      <c r="X318" s="7"/>
      <c r="Y318" s="7"/>
      <c r="Z318" s="7"/>
      <c r="AA318" s="7"/>
    </row>
    <row r="319" spans="1:27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>
        <v>31317</v>
      </c>
      <c r="P319" s="1">
        <f t="shared" si="16"/>
        <v>0.18022421002388</v>
      </c>
      <c r="Q319" s="25">
        <f t="shared" si="17"/>
        <v>0.14429773364099674</v>
      </c>
      <c r="R319" s="24">
        <f t="shared" si="18"/>
        <v>0.63354664536774408</v>
      </c>
      <c r="S319" s="20"/>
      <c r="T319" s="7"/>
      <c r="U319" s="7"/>
      <c r="V319" s="7"/>
      <c r="W319" s="7"/>
      <c r="X319" s="7"/>
      <c r="Y319" s="7"/>
      <c r="Z319" s="7"/>
      <c r="AA319" s="7"/>
    </row>
    <row r="320" spans="1:27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>
        <v>31318</v>
      </c>
      <c r="P320" s="1">
        <f t="shared" si="16"/>
        <v>0.18036869168281555</v>
      </c>
      <c r="Q320" s="25">
        <f t="shared" si="17"/>
        <v>0.14493100388790481</v>
      </c>
      <c r="R320" s="24">
        <f t="shared" si="18"/>
        <v>0.63311520381859054</v>
      </c>
      <c r="S320" s="20"/>
      <c r="T320" s="7"/>
      <c r="U320" s="7"/>
      <c r="V320" s="7"/>
      <c r="W320" s="7"/>
      <c r="X320" s="7"/>
      <c r="Y320" s="7"/>
      <c r="Z320" s="7"/>
      <c r="AA320" s="7"/>
    </row>
    <row r="321" spans="1:27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>
        <v>31319</v>
      </c>
      <c r="P321" s="1">
        <f t="shared" si="16"/>
        <v>0.18051424622535706</v>
      </c>
      <c r="Q321" s="25">
        <f t="shared" si="17"/>
        <v>0.14556389578501694</v>
      </c>
      <c r="R321" s="24">
        <f t="shared" si="18"/>
        <v>0.63267348782147792</v>
      </c>
      <c r="S321" s="20"/>
      <c r="T321" s="7"/>
      <c r="U321" s="7"/>
      <c r="V321" s="7"/>
      <c r="W321" s="7"/>
      <c r="X321" s="7"/>
      <c r="Y321" s="7"/>
      <c r="Z321" s="7"/>
      <c r="AA321" s="7"/>
    </row>
    <row r="322" spans="1:27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>
        <v>31320</v>
      </c>
      <c r="P322" s="1">
        <f t="shared" si="16"/>
        <v>0.18065944314002991</v>
      </c>
      <c r="Q322" s="25">
        <f t="shared" si="17"/>
        <v>0.14619640933233313</v>
      </c>
      <c r="R322" s="24">
        <f t="shared" si="18"/>
        <v>0.63222155777253874</v>
      </c>
      <c r="S322" s="20"/>
      <c r="T322" s="7"/>
      <c r="U322" s="7"/>
      <c r="V322" s="7"/>
      <c r="W322" s="7"/>
      <c r="X322" s="7"/>
      <c r="Y322" s="7"/>
      <c r="Z322" s="7"/>
      <c r="AA322" s="7"/>
    </row>
    <row r="323" spans="1:27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>
        <v>31321</v>
      </c>
      <c r="P323" s="1">
        <f t="shared" si="16"/>
        <v>0.18080678582191467</v>
      </c>
      <c r="Q323" s="25">
        <f t="shared" si="17"/>
        <v>0.14682834080304019</v>
      </c>
      <c r="R323" s="24">
        <f t="shared" si="18"/>
        <v>0.63175946340976452</v>
      </c>
      <c r="S323" s="20"/>
      <c r="T323" s="7"/>
      <c r="U323" s="7"/>
      <c r="V323" s="7"/>
      <c r="W323" s="7"/>
      <c r="X323" s="7"/>
      <c r="Y323" s="7"/>
      <c r="Z323" s="7"/>
      <c r="AA323" s="7"/>
    </row>
    <row r="324" spans="1:27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>
        <v>31322</v>
      </c>
      <c r="P324" s="1">
        <f t="shared" si="16"/>
        <v>0.18095305562019348</v>
      </c>
      <c r="Q324" s="25">
        <f t="shared" si="17"/>
        <v>0.14745986482012086</v>
      </c>
      <c r="R324" s="24">
        <f t="shared" si="18"/>
        <v>0.63128727578742883</v>
      </c>
      <c r="S324" s="20"/>
      <c r="T324" s="7"/>
      <c r="U324" s="7"/>
      <c r="V324" s="7"/>
      <c r="W324" s="7"/>
      <c r="X324" s="7"/>
      <c r="Y324" s="7"/>
      <c r="Z324" s="7"/>
      <c r="AA324" s="7"/>
    </row>
    <row r="325" spans="1:27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>
        <v>31323</v>
      </c>
      <c r="P325" s="1">
        <f t="shared" si="16"/>
        <v>0.18110135197639465</v>
      </c>
      <c r="Q325" s="25">
        <f t="shared" si="17"/>
        <v>0.14809098138357513</v>
      </c>
      <c r="R325" s="24">
        <f t="shared" si="18"/>
        <v>0.63080503043266845</v>
      </c>
      <c r="S325" s="20"/>
      <c r="T325" s="7"/>
      <c r="U325" s="7"/>
      <c r="V325" s="7"/>
      <c r="W325" s="7"/>
      <c r="X325" s="7"/>
      <c r="Y325" s="7"/>
      <c r="Z325" s="7"/>
      <c r="AA325" s="7"/>
    </row>
    <row r="326" spans="1:27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>
        <v>31324</v>
      </c>
      <c r="P326" s="1">
        <f t="shared" si="16"/>
        <v>0.18124964833259583</v>
      </c>
      <c r="Q326" s="25">
        <f t="shared" si="17"/>
        <v>0.14872151587042026</v>
      </c>
      <c r="R326" s="24">
        <f t="shared" si="18"/>
        <v>0.63031278774161592</v>
      </c>
      <c r="S326" s="20"/>
      <c r="T326" s="7"/>
      <c r="U326" s="7"/>
      <c r="V326" s="7"/>
      <c r="W326" s="7"/>
      <c r="X326" s="7"/>
      <c r="Y326" s="7"/>
      <c r="Z326" s="7"/>
      <c r="AA326" s="7"/>
    </row>
    <row r="327" spans="1:27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>
        <v>31325</v>
      </c>
      <c r="P327" s="1">
        <f t="shared" si="16"/>
        <v>0.18139854073524475</v>
      </c>
      <c r="Q327" s="25">
        <f t="shared" si="17"/>
        <v>0.14935152648831718</v>
      </c>
      <c r="R327" s="24">
        <f t="shared" si="18"/>
        <v>0.62981060455769011</v>
      </c>
      <c r="S327" s="20"/>
      <c r="T327" s="7"/>
      <c r="U327" s="7"/>
      <c r="V327" s="7"/>
      <c r="W327" s="7"/>
      <c r="X327" s="7"/>
      <c r="Y327" s="7"/>
      <c r="Z327" s="7"/>
      <c r="AA327" s="7"/>
    </row>
    <row r="328" spans="1:27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>
        <v>31326</v>
      </c>
      <c r="P328" s="1">
        <f t="shared" si="16"/>
        <v>0.18154802918434143</v>
      </c>
      <c r="Q328" s="25">
        <f t="shared" si="17"/>
        <v>0.1499811296525877</v>
      </c>
      <c r="R328" s="24">
        <f t="shared" si="18"/>
        <v>0.62929854482973724</v>
      </c>
      <c r="S328" s="20"/>
      <c r="T328" s="7"/>
      <c r="U328" s="7"/>
      <c r="V328" s="7"/>
      <c r="W328" s="7"/>
      <c r="X328" s="7"/>
      <c r="Y328" s="7"/>
      <c r="Z328" s="7"/>
      <c r="AA328" s="7"/>
    </row>
    <row r="329" spans="1:27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>
        <v>31327</v>
      </c>
      <c r="P329" s="1">
        <f t="shared" si="16"/>
        <v>0.18169870972633362</v>
      </c>
      <c r="Q329" s="25">
        <f t="shared" si="17"/>
        <v>0.15061012163641863</v>
      </c>
      <c r="R329" s="24">
        <f t="shared" si="18"/>
        <v>0.62877664941396461</v>
      </c>
      <c r="S329" s="20"/>
      <c r="T329" s="7"/>
      <c r="U329" s="7"/>
      <c r="V329" s="7"/>
      <c r="W329" s="7"/>
      <c r="X329" s="7"/>
      <c r="Y329" s="7"/>
      <c r="Z329" s="7"/>
      <c r="AA329" s="7"/>
    </row>
    <row r="330" spans="1:27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>
        <v>31328</v>
      </c>
      <c r="P330" s="1">
        <f t="shared" ref="P330:P393" si="19" xml:space="preserve"> -1.4681315616E-19*$O330^6 + 2.80493263066289E-14*$O330^5 - 2.23271907955907E-09*$O330^4 + 0.0000947783879077569*$O330^3 - 2.26293121558813*$O330^2 + 28813.4861268598*$O330 - 152852350.445896</f>
        <v>0.18184974789619446</v>
      </c>
      <c r="Q330" s="25">
        <f t="shared" ref="Q330:Q393" si="20" xml:space="preserve"> (6*-1.4681315616E-19*$O330^5 + 5*2.80493263066289E-14*$O330^4 - 4*2.23271907955907E-09*$O330^3 + 3*0.0000947783879077569*$O330^2 - 2*2.26293121558813*$O330^1 + 28813.4861268598)*1000</f>
        <v>0.15123861885513179</v>
      </c>
      <c r="R330" s="24">
        <f t="shared" ref="R330:R393" si="21" xml:space="preserve"> (5*6*-1.4681315616E-19*$O330^4 + 4*5*2.80493263066289E-14*$O330^3 - 3*4*2.23271907955907E-09*$O330^2 + 2*3*0.0000947783879077569*$O330^1 - 2*2.26293121558813)*1000*1000</f>
        <v>0.62824497693014791</v>
      </c>
      <c r="S330" s="20"/>
      <c r="T330" s="7"/>
      <c r="U330" s="7"/>
      <c r="V330" s="7"/>
      <c r="W330" s="7"/>
      <c r="X330" s="7"/>
      <c r="Y330" s="7"/>
      <c r="Z330" s="7"/>
      <c r="AA330" s="7"/>
    </row>
    <row r="331" spans="1:27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>
        <v>31329</v>
      </c>
      <c r="P331" s="1">
        <f t="shared" si="19"/>
        <v>0.18200114369392395</v>
      </c>
      <c r="Q331" s="25">
        <f t="shared" si="20"/>
        <v>0.1518666795163881</v>
      </c>
      <c r="R331" s="24">
        <f t="shared" si="21"/>
        <v>0.62770358599806286</v>
      </c>
      <c r="S331" s="20"/>
      <c r="T331" s="7"/>
      <c r="U331" s="7"/>
      <c r="V331" s="7"/>
      <c r="W331" s="7"/>
      <c r="X331" s="7"/>
      <c r="Y331" s="7"/>
      <c r="Z331" s="7"/>
      <c r="AA331" s="7"/>
    </row>
    <row r="332" spans="1:27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>
        <v>31330</v>
      </c>
      <c r="P332" s="1">
        <f t="shared" si="19"/>
        <v>0.18215349316596985</v>
      </c>
      <c r="Q332" s="25">
        <f t="shared" si="20"/>
        <v>0.15249407078954391</v>
      </c>
      <c r="R332" s="24">
        <f t="shared" si="21"/>
        <v>0.6271525281320578</v>
      </c>
      <c r="S332" s="20"/>
      <c r="T332" s="7"/>
      <c r="U332" s="7"/>
      <c r="V332" s="7"/>
      <c r="W332" s="7"/>
      <c r="X332" s="7"/>
      <c r="Y332" s="7"/>
      <c r="Z332" s="7"/>
      <c r="AA332" s="7"/>
    </row>
    <row r="333" spans="1:27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>
        <v>31331</v>
      </c>
      <c r="P333" s="1">
        <f t="shared" si="19"/>
        <v>0.1823059618473053</v>
      </c>
      <c r="Q333" s="25">
        <f t="shared" si="20"/>
        <v>0.15312087998609059</v>
      </c>
      <c r="R333" s="24">
        <f t="shared" si="21"/>
        <v>0.62659185662283789</v>
      </c>
      <c r="S333" s="20"/>
      <c r="T333" s="7"/>
      <c r="U333" s="7"/>
      <c r="V333" s="7"/>
      <c r="W333" s="7"/>
      <c r="X333" s="7"/>
      <c r="Y333" s="7"/>
      <c r="Z333" s="7"/>
      <c r="AA333" s="7"/>
    </row>
    <row r="334" spans="1:27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>
        <v>31332</v>
      </c>
      <c r="P334" s="1">
        <f t="shared" si="19"/>
        <v>0.18245998024940491</v>
      </c>
      <c r="Q334" s="25">
        <f t="shared" si="20"/>
        <v>0.15374722352134995</v>
      </c>
      <c r="R334" s="24">
        <f t="shared" si="21"/>
        <v>0.6260216229847515</v>
      </c>
      <c r="S334" s="20"/>
      <c r="T334" s="7"/>
      <c r="U334" s="7"/>
      <c r="V334" s="7"/>
      <c r="W334" s="7"/>
      <c r="X334" s="7"/>
      <c r="Y334" s="7"/>
      <c r="Z334" s="7"/>
      <c r="AA334" s="7"/>
    </row>
    <row r="335" spans="1:27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>
        <v>31333</v>
      </c>
      <c r="P335" s="1">
        <f t="shared" si="19"/>
        <v>0.18261399865150452</v>
      </c>
      <c r="Q335" s="25">
        <f t="shared" si="20"/>
        <v>0.15437298498000018</v>
      </c>
      <c r="R335" s="24">
        <f t="shared" si="21"/>
        <v>0.62544188761393116</v>
      </c>
      <c r="S335" s="20"/>
      <c r="T335" s="7"/>
      <c r="U335" s="7"/>
      <c r="V335" s="7"/>
      <c r="W335" s="7"/>
      <c r="X335" s="7"/>
      <c r="Y335" s="7"/>
      <c r="Z335" s="7"/>
      <c r="AA335" s="7"/>
    </row>
    <row r="336" spans="1:27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>
        <v>31334</v>
      </c>
      <c r="P336" s="1">
        <f t="shared" si="19"/>
        <v>0.18276837468147278</v>
      </c>
      <c r="Q336" s="25">
        <f t="shared" si="20"/>
        <v>0.15499813525821082</v>
      </c>
      <c r="R336" s="24">
        <f t="shared" si="21"/>
        <v>0.6248527020247252</v>
      </c>
      <c r="S336" s="20"/>
      <c r="T336" s="7"/>
      <c r="U336" s="7"/>
      <c r="V336" s="7"/>
      <c r="W336" s="7"/>
      <c r="X336" s="7"/>
      <c r="Y336" s="7"/>
      <c r="Z336" s="7"/>
      <c r="AA336" s="7"/>
    </row>
    <row r="337" spans="1:27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>
        <v>31335</v>
      </c>
      <c r="P337" s="1">
        <f t="shared" si="19"/>
        <v>0.1829235851764679</v>
      </c>
      <c r="Q337" s="25">
        <f t="shared" si="20"/>
        <v>0.15562267435598187</v>
      </c>
      <c r="R337" s="24">
        <f t="shared" si="21"/>
        <v>0.62425411773148198</v>
      </c>
      <c r="S337" s="20"/>
      <c r="T337" s="7"/>
      <c r="U337" s="7"/>
      <c r="V337" s="7"/>
      <c r="W337" s="7"/>
      <c r="X337" s="7"/>
      <c r="Y337" s="7"/>
      <c r="Z337" s="7"/>
      <c r="AA337" s="7"/>
    </row>
    <row r="338" spans="1:27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>
        <v>31336</v>
      </c>
      <c r="P338" s="1">
        <f t="shared" si="19"/>
        <v>0.18307927250862122</v>
      </c>
      <c r="Q338" s="25">
        <f t="shared" si="20"/>
        <v>0.15624666048097424</v>
      </c>
      <c r="R338" s="24">
        <f t="shared" si="21"/>
        <v>0.62364619157762036</v>
      </c>
      <c r="S338" s="20"/>
      <c r="T338" s="7"/>
      <c r="U338" s="7"/>
      <c r="V338" s="7"/>
      <c r="W338" s="7"/>
      <c r="X338" s="7"/>
      <c r="Y338" s="7"/>
      <c r="Z338" s="7"/>
      <c r="AA338" s="7"/>
    </row>
    <row r="339" spans="1:27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>
        <v>31337</v>
      </c>
      <c r="P339" s="1">
        <f t="shared" si="19"/>
        <v>0.1832367479801178</v>
      </c>
      <c r="Q339" s="25">
        <f t="shared" si="20"/>
        <v>0.15686994811403565</v>
      </c>
      <c r="R339" s="24">
        <f t="shared" si="21"/>
        <v>0.62302897685384551</v>
      </c>
      <c r="S339" s="20"/>
      <c r="T339" s="7"/>
      <c r="U339" s="7"/>
      <c r="V339" s="7"/>
      <c r="W339" s="7"/>
      <c r="X339" s="7"/>
      <c r="Y339" s="7"/>
      <c r="Z339" s="7"/>
      <c r="AA339" s="7"/>
    </row>
    <row r="340" spans="1:27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>
        <v>31338</v>
      </c>
      <c r="P340" s="1">
        <f t="shared" si="19"/>
        <v>0.18339338898658752</v>
      </c>
      <c r="Q340" s="25">
        <f t="shared" si="20"/>
        <v>0.15749268277431838</v>
      </c>
      <c r="R340" s="24">
        <f t="shared" si="21"/>
        <v>0.62240251796907842</v>
      </c>
      <c r="S340" s="20"/>
      <c r="T340" s="7"/>
      <c r="U340" s="7"/>
      <c r="V340" s="7"/>
      <c r="W340" s="7"/>
      <c r="X340" s="7"/>
      <c r="Y340" s="7"/>
      <c r="Z340" s="7"/>
      <c r="AA340" s="7"/>
    </row>
    <row r="341" spans="1:27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>
        <v>31339</v>
      </c>
      <c r="P341" s="1">
        <f t="shared" si="19"/>
        <v>0.18355122208595276</v>
      </c>
      <c r="Q341" s="25">
        <f t="shared" si="20"/>
        <v>0.15811474804650061</v>
      </c>
      <c r="R341" s="24">
        <f t="shared" si="21"/>
        <v>0.62176688597759266</v>
      </c>
      <c r="S341" s="20"/>
      <c r="T341" s="7"/>
      <c r="U341" s="7"/>
      <c r="V341" s="7"/>
      <c r="W341" s="7"/>
      <c r="X341" s="7"/>
      <c r="Y341" s="7"/>
      <c r="Z341" s="7"/>
      <c r="AA341" s="7"/>
    </row>
    <row r="342" spans="1:27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>
        <v>31340</v>
      </c>
      <c r="P342" s="1">
        <f t="shared" si="19"/>
        <v>0.18370941281318665</v>
      </c>
      <c r="Q342" s="25">
        <f t="shared" si="20"/>
        <v>0.15873620213824324</v>
      </c>
      <c r="R342" s="24">
        <f t="shared" si="21"/>
        <v>0.62112212173559556</v>
      </c>
      <c r="S342" s="20"/>
      <c r="T342" s="7"/>
      <c r="U342" s="7"/>
      <c r="V342" s="7"/>
      <c r="W342" s="7"/>
      <c r="X342" s="7"/>
      <c r="Y342" s="7"/>
      <c r="Z342" s="7"/>
      <c r="AA342" s="7"/>
    </row>
    <row r="343" spans="1:27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>
        <v>31341</v>
      </c>
      <c r="P343" s="1">
        <f t="shared" si="19"/>
        <v>0.18386819958686829</v>
      </c>
      <c r="Q343" s="25">
        <f t="shared" si="20"/>
        <v>0.15935701594571583</v>
      </c>
      <c r="R343" s="24">
        <f t="shared" si="21"/>
        <v>0.62046828208650595</v>
      </c>
      <c r="S343" s="20"/>
      <c r="T343" s="7"/>
      <c r="U343" s="7"/>
      <c r="V343" s="7"/>
      <c r="W343" s="7"/>
      <c r="X343" s="7"/>
      <c r="Y343" s="7"/>
      <c r="Z343" s="7"/>
      <c r="AA343" s="7"/>
    </row>
    <row r="344" spans="1:27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>
        <v>31342</v>
      </c>
      <c r="P344" s="1">
        <f t="shared" si="19"/>
        <v>0.18402794003486633</v>
      </c>
      <c r="Q344" s="25">
        <f t="shared" si="20"/>
        <v>0.15997716036508791</v>
      </c>
      <c r="R344" s="24">
        <f t="shared" si="21"/>
        <v>0.61980541499195851</v>
      </c>
      <c r="S344" s="20"/>
      <c r="T344" s="7"/>
      <c r="U344" s="7"/>
      <c r="V344" s="7"/>
      <c r="W344" s="7"/>
      <c r="X344" s="7"/>
      <c r="Y344" s="7"/>
      <c r="Z344" s="7"/>
      <c r="AA344" s="7"/>
    </row>
    <row r="345" spans="1:27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>
        <v>31343</v>
      </c>
      <c r="P345" s="1">
        <f t="shared" si="19"/>
        <v>0.18418851494789124</v>
      </c>
      <c r="Q345" s="25">
        <f t="shared" si="20"/>
        <v>0.16059663539635949</v>
      </c>
      <c r="R345" s="24">
        <f t="shared" si="21"/>
        <v>0.61913357729537211</v>
      </c>
      <c r="S345" s="20"/>
      <c r="T345" s="7"/>
      <c r="U345" s="7"/>
      <c r="V345" s="7"/>
      <c r="W345" s="7"/>
      <c r="X345" s="7"/>
      <c r="Y345" s="7"/>
      <c r="Z345" s="7"/>
      <c r="AA345" s="7"/>
    </row>
    <row r="346" spans="1:27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>
        <v>31344</v>
      </c>
      <c r="P346" s="1">
        <f t="shared" si="19"/>
        <v>0.18434944748878479</v>
      </c>
      <c r="Q346" s="25">
        <f t="shared" si="20"/>
        <v>0.1612154119357001</v>
      </c>
      <c r="R346" s="24">
        <f t="shared" si="21"/>
        <v>0.61845282761652243</v>
      </c>
      <c r="S346" s="20"/>
      <c r="T346" s="7"/>
      <c r="U346" s="7"/>
      <c r="V346" s="7"/>
      <c r="W346" s="7"/>
      <c r="X346" s="7"/>
      <c r="Y346" s="7"/>
      <c r="Z346" s="7"/>
      <c r="AA346" s="7"/>
    </row>
    <row r="347" spans="1:27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>
        <v>31345</v>
      </c>
      <c r="P347" s="1">
        <f t="shared" si="19"/>
        <v>0.18451085686683655</v>
      </c>
      <c r="Q347" s="25">
        <f t="shared" si="20"/>
        <v>0.16183354819077067</v>
      </c>
      <c r="R347" s="24">
        <f t="shared" si="21"/>
        <v>0.61776320681161678</v>
      </c>
      <c r="S347" s="20"/>
      <c r="T347" s="7"/>
      <c r="U347" s="7"/>
      <c r="V347" s="7"/>
      <c r="W347" s="7"/>
      <c r="X347" s="7"/>
      <c r="Y347" s="7"/>
      <c r="Z347" s="7"/>
      <c r="AA347" s="7"/>
    </row>
    <row r="348" spans="1:27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>
        <v>31346</v>
      </c>
      <c r="P348" s="1">
        <f t="shared" si="19"/>
        <v>0.18467286229133606</v>
      </c>
      <c r="Q348" s="25">
        <f t="shared" si="20"/>
        <v>0.16245092774624936</v>
      </c>
      <c r="R348" s="24">
        <f t="shared" si="21"/>
        <v>0.61706477882950139</v>
      </c>
      <c r="S348" s="20"/>
      <c r="T348" s="7"/>
      <c r="U348" s="7"/>
      <c r="V348" s="7"/>
      <c r="W348" s="7"/>
      <c r="X348" s="7"/>
      <c r="Y348" s="7"/>
      <c r="Z348" s="7"/>
      <c r="AA348" s="7"/>
    </row>
    <row r="349" spans="1:27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>
        <v>31347</v>
      </c>
      <c r="P349" s="1">
        <f t="shared" si="19"/>
        <v>0.18483617901802063</v>
      </c>
      <c r="Q349" s="25">
        <f t="shared" si="20"/>
        <v>0.16306763791362755</v>
      </c>
      <c r="R349" s="24">
        <f t="shared" si="21"/>
        <v>0.61635758807909724</v>
      </c>
      <c r="S349" s="20"/>
      <c r="T349" s="7"/>
      <c r="U349" s="7"/>
      <c r="V349" s="7"/>
      <c r="W349" s="7"/>
      <c r="X349" s="7"/>
      <c r="Y349" s="7"/>
      <c r="Z349" s="7"/>
      <c r="AA349" s="7"/>
    </row>
    <row r="350" spans="1:27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>
        <v>31348</v>
      </c>
      <c r="P350" s="1">
        <f t="shared" si="19"/>
        <v>0.1849994957447052</v>
      </c>
      <c r="Q350" s="25">
        <f t="shared" si="20"/>
        <v>0.16368367869290523</v>
      </c>
      <c r="R350" s="24">
        <f t="shared" si="21"/>
        <v>0.61564168429839583</v>
      </c>
      <c r="S350" s="20"/>
      <c r="T350" s="7"/>
      <c r="U350" s="7"/>
      <c r="V350" s="7"/>
      <c r="W350" s="7"/>
      <c r="X350" s="7"/>
      <c r="Y350" s="7"/>
      <c r="Z350" s="7"/>
      <c r="AA350" s="7"/>
    </row>
    <row r="351" spans="1:27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>
        <v>31349</v>
      </c>
      <c r="P351" s="1">
        <f t="shared" si="19"/>
        <v>0.18516317009925842</v>
      </c>
      <c r="Q351" s="25">
        <f t="shared" si="20"/>
        <v>0.16429890456493013</v>
      </c>
      <c r="R351" s="24">
        <f t="shared" si="21"/>
        <v>0.61491713498895706</v>
      </c>
      <c r="S351" s="20"/>
      <c r="T351" s="7"/>
      <c r="U351" s="7"/>
      <c r="V351" s="7"/>
      <c r="W351" s="7"/>
      <c r="X351" s="7"/>
      <c r="Y351" s="7"/>
      <c r="Z351" s="7"/>
      <c r="AA351" s="7"/>
    </row>
    <row r="352" spans="1:27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>
        <v>31350</v>
      </c>
      <c r="P352" s="1">
        <f t="shared" si="19"/>
        <v>0.1853276789188385</v>
      </c>
      <c r="Q352" s="25">
        <f t="shared" si="20"/>
        <v>0.16491343194502406</v>
      </c>
      <c r="R352" s="24">
        <f t="shared" si="21"/>
        <v>0.61418397923063139</v>
      </c>
      <c r="S352" s="20"/>
      <c r="T352" s="7"/>
      <c r="U352" s="7"/>
      <c r="V352" s="7"/>
      <c r="W352" s="7"/>
      <c r="X352" s="7"/>
      <c r="Y352" s="7"/>
      <c r="Z352" s="7"/>
      <c r="AA352" s="7"/>
    </row>
    <row r="353" spans="1:27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>
        <v>31351</v>
      </c>
      <c r="P353" s="1">
        <f t="shared" si="19"/>
        <v>0.18549290299415588</v>
      </c>
      <c r="Q353" s="25">
        <f t="shared" si="20"/>
        <v>0.16552728993701749</v>
      </c>
      <c r="R353" s="24">
        <f t="shared" si="21"/>
        <v>0.61344227209048086</v>
      </c>
      <c r="S353" s="20"/>
      <c r="T353" s="7"/>
      <c r="U353" s="7"/>
      <c r="V353" s="7"/>
      <c r="W353" s="7"/>
      <c r="X353" s="7"/>
      <c r="Y353" s="7"/>
      <c r="Z353" s="7"/>
      <c r="AA353" s="7"/>
    </row>
    <row r="354" spans="1:27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>
        <v>31352</v>
      </c>
      <c r="P354" s="1">
        <f t="shared" si="19"/>
        <v>0.18565919995307922</v>
      </c>
      <c r="Q354" s="25">
        <f t="shared" si="20"/>
        <v>0.16614039122941904</v>
      </c>
      <c r="R354" s="24">
        <f t="shared" si="21"/>
        <v>0.61269206863556747</v>
      </c>
      <c r="S354" s="20"/>
      <c r="T354" s="7"/>
      <c r="U354" s="7"/>
      <c r="V354" s="7"/>
      <c r="W354" s="7"/>
      <c r="X354" s="7"/>
      <c r="Y354" s="7"/>
      <c r="Z354" s="7"/>
      <c r="AA354" s="7"/>
    </row>
    <row r="355" spans="1:27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>
        <v>31353</v>
      </c>
      <c r="P355" s="1">
        <f t="shared" si="19"/>
        <v>0.18582585453987122</v>
      </c>
      <c r="Q355" s="25">
        <f t="shared" si="20"/>
        <v>0.1667526776145678</v>
      </c>
      <c r="R355" s="24">
        <f t="shared" si="21"/>
        <v>0.61193341505116905</v>
      </c>
      <c r="S355" s="20"/>
      <c r="T355" s="7"/>
      <c r="U355" s="7"/>
      <c r="V355" s="7"/>
      <c r="W355" s="7"/>
      <c r="X355" s="7"/>
      <c r="Y355" s="7"/>
      <c r="Z355" s="7"/>
      <c r="AA355" s="7"/>
    </row>
    <row r="356" spans="1:27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>
        <v>31354</v>
      </c>
      <c r="P356" s="1">
        <f t="shared" si="19"/>
        <v>0.18599274754524231</v>
      </c>
      <c r="Q356" s="25">
        <f t="shared" si="20"/>
        <v>0.16736423640395515</v>
      </c>
      <c r="R356" s="24">
        <f t="shared" si="21"/>
        <v>0.61116636462799079</v>
      </c>
      <c r="S356" s="20"/>
      <c r="T356" s="7"/>
      <c r="U356" s="7"/>
      <c r="V356" s="7"/>
      <c r="W356" s="7"/>
      <c r="X356" s="7"/>
      <c r="Y356" s="7"/>
      <c r="Z356" s="7"/>
      <c r="AA356" s="7"/>
    </row>
    <row r="357" spans="1:27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>
        <v>31355</v>
      </c>
      <c r="P357" s="1">
        <f t="shared" si="19"/>
        <v>0.18615999817848206</v>
      </c>
      <c r="Q357" s="25">
        <f t="shared" si="20"/>
        <v>0.1679749802860897</v>
      </c>
      <c r="R357" s="24">
        <f t="shared" si="21"/>
        <v>0.61039097776216522</v>
      </c>
      <c r="S357" s="20"/>
      <c r="T357" s="7"/>
      <c r="U357" s="7"/>
      <c r="V357" s="7"/>
      <c r="W357" s="7"/>
      <c r="X357" s="7"/>
      <c r="Y357" s="7"/>
      <c r="Z357" s="7"/>
      <c r="AA357" s="7"/>
    </row>
    <row r="358" spans="1:27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>
        <v>31356</v>
      </c>
      <c r="P358" s="1">
        <f t="shared" si="19"/>
        <v>0.18632856011390686</v>
      </c>
      <c r="Q358" s="25">
        <f t="shared" si="20"/>
        <v>0.16858499657246284</v>
      </c>
      <c r="R358" s="24">
        <f t="shared" si="21"/>
        <v>0.60960729353354282</v>
      </c>
      <c r="S358" s="20"/>
      <c r="T358" s="7"/>
      <c r="U358" s="7"/>
      <c r="V358" s="7"/>
      <c r="W358" s="7"/>
      <c r="X358" s="7"/>
      <c r="Y358" s="7"/>
      <c r="Z358" s="7"/>
      <c r="AA358" s="7"/>
    </row>
    <row r="359" spans="1:27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>
        <v>31357</v>
      </c>
      <c r="P359" s="1">
        <f t="shared" si="19"/>
        <v>0.18649712204933167</v>
      </c>
      <c r="Q359" s="25">
        <f t="shared" si="20"/>
        <v>0.16919422705541365</v>
      </c>
      <c r="R359" s="24">
        <f t="shared" si="21"/>
        <v>0.60881537766732663</v>
      </c>
      <c r="S359" s="20"/>
      <c r="T359" s="7"/>
      <c r="U359" s="7"/>
      <c r="V359" s="7"/>
      <c r="W359" s="7"/>
      <c r="X359" s="7"/>
      <c r="Y359" s="7"/>
      <c r="Z359" s="7"/>
      <c r="AA359" s="7"/>
    </row>
    <row r="360" spans="1:27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>
        <v>31358</v>
      </c>
      <c r="P360" s="1">
        <f t="shared" si="19"/>
        <v>0.18666651844978333</v>
      </c>
      <c r="Q360" s="25">
        <f t="shared" si="20"/>
        <v>0.16980264263111167</v>
      </c>
      <c r="R360" s="24">
        <f t="shared" si="21"/>
        <v>0.60801526391429661</v>
      </c>
      <c r="S360" s="20"/>
      <c r="T360" s="7"/>
      <c r="U360" s="7"/>
      <c r="V360" s="7"/>
      <c r="W360" s="7"/>
      <c r="X360" s="7"/>
      <c r="Y360" s="7"/>
      <c r="Z360" s="7"/>
      <c r="AA360" s="7"/>
    </row>
    <row r="361" spans="1:27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>
        <v>31359</v>
      </c>
      <c r="P361" s="1">
        <f t="shared" si="19"/>
        <v>0.18683651089668274</v>
      </c>
      <c r="Q361" s="25">
        <f t="shared" si="20"/>
        <v>0.17041018509189598</v>
      </c>
      <c r="R361" s="24">
        <f t="shared" si="21"/>
        <v>0.60720701444694214</v>
      </c>
      <c r="S361" s="20"/>
      <c r="T361" s="7"/>
      <c r="U361" s="7"/>
      <c r="V361" s="7"/>
      <c r="W361" s="7"/>
      <c r="X361" s="7"/>
      <c r="Y361" s="7"/>
      <c r="Z361" s="7"/>
      <c r="AA361" s="7"/>
    </row>
    <row r="362" spans="1:27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>
        <v>31360</v>
      </c>
      <c r="P362" s="1">
        <f t="shared" si="19"/>
        <v>0.18700781464576721</v>
      </c>
      <c r="Q362" s="25">
        <f t="shared" si="20"/>
        <v>0.17101711637224071</v>
      </c>
      <c r="R362" s="24">
        <f t="shared" si="21"/>
        <v>0.60639067900325472</v>
      </c>
      <c r="S362" s="20"/>
      <c r="T362" s="7"/>
      <c r="U362" s="7"/>
      <c r="V362" s="7"/>
      <c r="W362" s="7"/>
      <c r="X362" s="7"/>
      <c r="Y362" s="7"/>
      <c r="Z362" s="7"/>
      <c r="AA362" s="7"/>
    </row>
    <row r="363" spans="1:27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>
        <v>31361</v>
      </c>
      <c r="P363" s="1">
        <f t="shared" si="19"/>
        <v>0.18717852234840393</v>
      </c>
      <c r="Q363" s="25">
        <f t="shared" si="20"/>
        <v>0.17162302901851945</v>
      </c>
      <c r="R363" s="24">
        <f t="shared" si="21"/>
        <v>0.60556631087393953</v>
      </c>
      <c r="S363" s="20"/>
      <c r="T363" s="7"/>
      <c r="U363" s="7"/>
      <c r="V363" s="7"/>
      <c r="W363" s="7"/>
      <c r="X363" s="7"/>
      <c r="Y363" s="7"/>
      <c r="Z363" s="7"/>
      <c r="AA363" s="7"/>
    </row>
    <row r="364" spans="1:27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>
        <v>31362</v>
      </c>
      <c r="P364" s="1">
        <f t="shared" si="19"/>
        <v>0.18735042214393616</v>
      </c>
      <c r="Q364" s="25">
        <f t="shared" si="20"/>
        <v>0.1722281267575454</v>
      </c>
      <c r="R364" s="24">
        <f t="shared" si="21"/>
        <v>0.60473395446791756</v>
      </c>
      <c r="S364" s="20"/>
      <c r="T364" s="7"/>
      <c r="U364" s="7"/>
      <c r="V364" s="7"/>
      <c r="W364" s="7"/>
      <c r="X364" s="7"/>
      <c r="Y364" s="7"/>
      <c r="Z364" s="7"/>
      <c r="AA364" s="7"/>
    </row>
    <row r="365" spans="1:27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>
        <v>31363</v>
      </c>
      <c r="P365" s="1">
        <f t="shared" si="19"/>
        <v>0.18752315640449524</v>
      </c>
      <c r="Q365" s="25">
        <f t="shared" si="20"/>
        <v>0.17283249690080993</v>
      </c>
      <c r="R365" s="24">
        <f t="shared" si="21"/>
        <v>0.60389366485225082</v>
      </c>
      <c r="S365" s="20"/>
      <c r="T365" s="7"/>
      <c r="U365" s="7"/>
      <c r="V365" s="7"/>
      <c r="W365" s="7"/>
      <c r="X365" s="7"/>
      <c r="Y365" s="7"/>
      <c r="Z365" s="7"/>
      <c r="AA365" s="7"/>
    </row>
    <row r="366" spans="1:27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>
        <v>31364</v>
      </c>
      <c r="P366" s="1">
        <f t="shared" si="19"/>
        <v>0.18769672513008118</v>
      </c>
      <c r="Q366" s="25">
        <f t="shared" si="20"/>
        <v>0.1734359648253303</v>
      </c>
      <c r="R366" s="24">
        <f t="shared" si="21"/>
        <v>0.60304549176493083</v>
      </c>
      <c r="S366" s="20"/>
      <c r="T366" s="7"/>
      <c r="U366" s="7"/>
      <c r="V366" s="7"/>
      <c r="W366" s="7"/>
      <c r="X366" s="7"/>
      <c r="Y366" s="7"/>
      <c r="Z366" s="7"/>
      <c r="AA366" s="7"/>
    </row>
    <row r="367" spans="1:27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>
        <v>31365</v>
      </c>
      <c r="P367" s="1">
        <f t="shared" si="19"/>
        <v>0.18787029385566711</v>
      </c>
      <c r="Q367" s="25">
        <f t="shared" si="20"/>
        <v>0.17403855963493697</v>
      </c>
      <c r="R367" s="24">
        <f t="shared" si="21"/>
        <v>0.60218948849666276</v>
      </c>
      <c r="S367" s="20"/>
      <c r="T367" s="7"/>
      <c r="U367" s="7"/>
      <c r="V367" s="7"/>
      <c r="W367" s="7"/>
      <c r="X367" s="7"/>
      <c r="Y367" s="7"/>
      <c r="Z367" s="7"/>
      <c r="AA367" s="7"/>
    </row>
    <row r="368" spans="1:27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>
        <v>31366</v>
      </c>
      <c r="P368" s="1">
        <f t="shared" si="19"/>
        <v>0.1880442202091217</v>
      </c>
      <c r="Q368" s="25">
        <f t="shared" si="20"/>
        <v>0.17464033953729086</v>
      </c>
      <c r="R368" s="24">
        <f t="shared" si="21"/>
        <v>0.60132570123272444</v>
      </c>
      <c r="S368" s="20"/>
      <c r="T368" s="7"/>
      <c r="U368" s="7"/>
      <c r="V368" s="7"/>
      <c r="W368" s="7"/>
      <c r="X368" s="7"/>
      <c r="Y368" s="7"/>
      <c r="Z368" s="7"/>
      <c r="AA368" s="7"/>
    </row>
    <row r="369" spans="1:27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>
        <v>31367</v>
      </c>
      <c r="P369" s="1">
        <f t="shared" si="19"/>
        <v>0.18821969628334045</v>
      </c>
      <c r="Q369" s="25">
        <f t="shared" si="20"/>
        <v>0.17524121722090058</v>
      </c>
      <c r="R369" s="24">
        <f t="shared" si="21"/>
        <v>0.60045418681653473</v>
      </c>
      <c r="S369" s="20"/>
      <c r="T369" s="7"/>
      <c r="U369" s="7"/>
      <c r="V369" s="7"/>
      <c r="W369" s="7"/>
      <c r="X369" s="7"/>
      <c r="Y369" s="7"/>
      <c r="Z369" s="7"/>
      <c r="AA369" s="7"/>
    </row>
    <row r="370" spans="1:27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>
        <v>31368</v>
      </c>
      <c r="P370" s="1">
        <f t="shared" si="19"/>
        <v>0.1883951723575592</v>
      </c>
      <c r="Q370" s="25">
        <f t="shared" si="20"/>
        <v>0.1758412217895966</v>
      </c>
      <c r="R370" s="24">
        <f t="shared" si="21"/>
        <v>0.59957498610430093</v>
      </c>
      <c r="S370" s="20"/>
      <c r="T370" s="7"/>
      <c r="U370" s="7"/>
      <c r="V370" s="7"/>
      <c r="W370" s="7"/>
      <c r="X370" s="7"/>
      <c r="Y370" s="7"/>
      <c r="Z370" s="7"/>
      <c r="AA370" s="7"/>
    </row>
    <row r="371" spans="1:27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>
        <v>31369</v>
      </c>
      <c r="P371" s="1">
        <f t="shared" si="19"/>
        <v>0.18857100605964661</v>
      </c>
      <c r="Q371" s="25">
        <f t="shared" si="20"/>
        <v>0.17644035324337892</v>
      </c>
      <c r="R371" s="24">
        <f t="shared" si="21"/>
        <v>0.59868815771579875</v>
      </c>
      <c r="S371" s="20"/>
      <c r="T371" s="7"/>
      <c r="U371" s="7"/>
      <c r="V371" s="7"/>
      <c r="W371" s="7"/>
      <c r="X371" s="7"/>
      <c r="Y371" s="7"/>
      <c r="Z371" s="7"/>
      <c r="AA371" s="7"/>
    </row>
    <row r="372" spans="1:27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>
        <v>31370</v>
      </c>
      <c r="P372" s="1">
        <f t="shared" si="19"/>
        <v>0.18874815106391907</v>
      </c>
      <c r="Q372" s="25">
        <f t="shared" si="20"/>
        <v>0.17703861158224754</v>
      </c>
      <c r="R372" s="24">
        <f t="shared" si="21"/>
        <v>0.59779374428359233</v>
      </c>
      <c r="S372" s="20"/>
      <c r="T372" s="7"/>
      <c r="U372" s="7"/>
      <c r="V372" s="7"/>
      <c r="W372" s="7"/>
      <c r="X372" s="7"/>
      <c r="Y372" s="7"/>
      <c r="Z372" s="7"/>
      <c r="AA372" s="7"/>
    </row>
    <row r="373" spans="1:27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>
        <v>31371</v>
      </c>
      <c r="P373" s="1">
        <f t="shared" si="19"/>
        <v>0.18892505764961243</v>
      </c>
      <c r="Q373" s="25">
        <f t="shared" si="20"/>
        <v>0.177635967702372</v>
      </c>
      <c r="R373" s="24">
        <f t="shared" si="21"/>
        <v>0.59689180620381421</v>
      </c>
      <c r="S373" s="20"/>
      <c r="T373" s="7"/>
      <c r="U373" s="7"/>
      <c r="V373" s="7"/>
      <c r="W373" s="7"/>
      <c r="X373" s="7"/>
      <c r="Y373" s="7"/>
      <c r="Z373" s="7"/>
      <c r="AA373" s="7"/>
    </row>
    <row r="374" spans="1:27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>
        <v>31372</v>
      </c>
      <c r="P374" s="1">
        <f t="shared" si="19"/>
        <v>0.18910351395606995</v>
      </c>
      <c r="Q374" s="25">
        <f t="shared" si="20"/>
        <v>0.17823239249992184</v>
      </c>
      <c r="R374" s="24">
        <f t="shared" si="21"/>
        <v>0.59598238255631486</v>
      </c>
      <c r="S374" s="20"/>
      <c r="T374" s="7"/>
      <c r="U374" s="7"/>
      <c r="V374" s="7"/>
      <c r="W374" s="7"/>
      <c r="X374" s="7"/>
      <c r="Y374" s="7"/>
      <c r="Z374" s="7"/>
      <c r="AA374" s="7"/>
    </row>
    <row r="375" spans="1:27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>
        <v>31373</v>
      </c>
      <c r="P375" s="1">
        <f t="shared" si="19"/>
        <v>0.18928161263465881</v>
      </c>
      <c r="Q375" s="25">
        <f t="shared" si="20"/>
        <v>0.17882788597489707</v>
      </c>
      <c r="R375" s="24">
        <f t="shared" si="21"/>
        <v>0.59506553018451314</v>
      </c>
      <c r="S375" s="20"/>
      <c r="T375" s="7"/>
      <c r="U375" s="7"/>
      <c r="V375" s="7"/>
      <c r="W375" s="7"/>
      <c r="X375" s="7"/>
      <c r="Y375" s="7"/>
      <c r="Z375" s="7"/>
      <c r="AA375" s="7"/>
    </row>
    <row r="376" spans="1:27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>
        <v>31374</v>
      </c>
      <c r="P376" s="1">
        <f t="shared" si="19"/>
        <v>0.18946090340614319</v>
      </c>
      <c r="Q376" s="25">
        <f t="shared" si="20"/>
        <v>0.1794225063349586</v>
      </c>
      <c r="R376" s="24">
        <f t="shared" si="21"/>
        <v>0.5941412970500437</v>
      </c>
      <c r="S376" s="20"/>
      <c r="T376" s="7"/>
      <c r="U376" s="7"/>
      <c r="V376" s="7"/>
      <c r="W376" s="7"/>
      <c r="X376" s="7"/>
      <c r="Y376" s="7"/>
      <c r="Z376" s="7"/>
      <c r="AA376" s="7"/>
    </row>
    <row r="377" spans="1:27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>
        <v>31375</v>
      </c>
      <c r="P377" s="1">
        <f t="shared" si="19"/>
        <v>0.18963983654975891</v>
      </c>
      <c r="Q377" s="25">
        <f t="shared" si="20"/>
        <v>0.18001616626861505</v>
      </c>
      <c r="R377" s="24">
        <f t="shared" si="21"/>
        <v>0.59320973111454123</v>
      </c>
      <c r="S377" s="20"/>
      <c r="T377" s="7"/>
      <c r="U377" s="7"/>
      <c r="V377" s="7"/>
      <c r="W377" s="7"/>
      <c r="X377" s="7"/>
      <c r="Y377" s="7"/>
      <c r="Z377" s="7"/>
      <c r="AA377" s="7"/>
    </row>
    <row r="378" spans="1:27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>
        <v>31376</v>
      </c>
      <c r="P378" s="1">
        <f t="shared" si="19"/>
        <v>0.1898205578327179</v>
      </c>
      <c r="Q378" s="25">
        <f t="shared" si="20"/>
        <v>0.1806089530873578</v>
      </c>
      <c r="R378" s="24">
        <f t="shared" si="21"/>
        <v>0.59227088389235405</v>
      </c>
      <c r="S378" s="20"/>
      <c r="T378" s="7"/>
      <c r="U378" s="7"/>
      <c r="V378" s="7"/>
      <c r="W378" s="7"/>
      <c r="X378" s="7"/>
      <c r="Y378" s="7"/>
      <c r="Z378" s="7"/>
      <c r="AA378" s="7"/>
    </row>
    <row r="379" spans="1:27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>
        <v>31377</v>
      </c>
      <c r="P379" s="1">
        <f t="shared" si="19"/>
        <v>0.19000127911567688</v>
      </c>
      <c r="Q379" s="25">
        <f t="shared" si="20"/>
        <v>0.18120072127203457</v>
      </c>
      <c r="R379" s="24">
        <f t="shared" si="21"/>
        <v>0.59132480156875999</v>
      </c>
      <c r="S379" s="20"/>
      <c r="T379" s="7"/>
      <c r="U379" s="7"/>
      <c r="V379" s="7"/>
      <c r="W379" s="7"/>
      <c r="X379" s="7"/>
      <c r="Y379" s="7"/>
      <c r="Z379" s="7"/>
      <c r="AA379" s="7"/>
    </row>
    <row r="380" spans="1:27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>
        <v>31378</v>
      </c>
      <c r="P380" s="1">
        <f t="shared" si="19"/>
        <v>0.19018331170082092</v>
      </c>
      <c r="Q380" s="25">
        <f t="shared" si="20"/>
        <v>0.18179158723796718</v>
      </c>
      <c r="R380" s="24">
        <f t="shared" si="21"/>
        <v>0.5903715356581074</v>
      </c>
      <c r="S380" s="20"/>
      <c r="T380" s="7"/>
      <c r="U380" s="7"/>
      <c r="V380" s="7"/>
      <c r="W380" s="7"/>
      <c r="X380" s="7"/>
      <c r="Y380" s="7"/>
      <c r="Z380" s="7"/>
      <c r="AA380" s="7"/>
    </row>
    <row r="381" spans="1:27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>
        <v>31379</v>
      </c>
      <c r="P381" s="1">
        <f t="shared" si="19"/>
        <v>0.19036522507667542</v>
      </c>
      <c r="Q381" s="25">
        <f t="shared" si="20"/>
        <v>0.18238149277749471</v>
      </c>
      <c r="R381" s="24">
        <f t="shared" si="21"/>
        <v>0.58941113767474462</v>
      </c>
      <c r="S381" s="20"/>
      <c r="T381" s="7"/>
      <c r="U381" s="7"/>
      <c r="V381" s="7"/>
      <c r="W381" s="7"/>
      <c r="X381" s="7"/>
      <c r="Y381" s="7"/>
      <c r="Z381" s="7"/>
      <c r="AA381" s="7"/>
    </row>
    <row r="382" spans="1:27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>
        <v>31380</v>
      </c>
      <c r="P382" s="1">
        <f t="shared" si="19"/>
        <v>0.19054785370826721</v>
      </c>
      <c r="Q382" s="25">
        <f t="shared" si="20"/>
        <v>0.18297035057912581</v>
      </c>
      <c r="R382" s="24">
        <f t="shared" si="21"/>
        <v>0.58844364847487896</v>
      </c>
      <c r="S382" s="20"/>
      <c r="T382" s="7"/>
      <c r="U382" s="7"/>
      <c r="V382" s="7"/>
      <c r="W382" s="7"/>
      <c r="X382" s="7"/>
      <c r="Y382" s="7"/>
      <c r="Z382" s="7"/>
      <c r="AA382" s="7"/>
    </row>
    <row r="383" spans="1:27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>
        <v>31381</v>
      </c>
      <c r="P383" s="1">
        <f t="shared" si="19"/>
        <v>0.19073155522346497</v>
      </c>
      <c r="Q383" s="25">
        <f t="shared" si="20"/>
        <v>0.18355836436967365</v>
      </c>
      <c r="R383" s="24">
        <f t="shared" si="21"/>
        <v>0.58746913023099978</v>
      </c>
      <c r="S383" s="20"/>
      <c r="T383" s="7"/>
      <c r="U383" s="7"/>
      <c r="V383" s="7"/>
      <c r="W383" s="7"/>
      <c r="X383" s="7"/>
      <c r="Y383" s="7"/>
      <c r="Z383" s="7"/>
      <c r="AA383" s="7"/>
    </row>
    <row r="384" spans="1:27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>
        <v>31382</v>
      </c>
      <c r="P384" s="1">
        <f t="shared" si="19"/>
        <v>0.19091513752937317</v>
      </c>
      <c r="Q384" s="25">
        <f t="shared" si="20"/>
        <v>0.18414533042232506</v>
      </c>
      <c r="R384" s="24">
        <f t="shared" si="21"/>
        <v>0.58648762024660073</v>
      </c>
      <c r="S384" s="20"/>
      <c r="T384" s="7"/>
      <c r="U384" s="7"/>
      <c r="V384" s="7"/>
      <c r="W384" s="7"/>
      <c r="X384" s="7"/>
      <c r="Y384" s="7"/>
      <c r="Z384" s="7"/>
      <c r="AA384" s="7"/>
    </row>
    <row r="385" spans="1:27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>
        <v>31383</v>
      </c>
      <c r="P385" s="1">
        <f t="shared" si="19"/>
        <v>0.19109943509101868</v>
      </c>
      <c r="Q385" s="25">
        <f t="shared" si="20"/>
        <v>0.18473130694474094</v>
      </c>
      <c r="R385" s="24">
        <f t="shared" si="21"/>
        <v>0.58549916648331646</v>
      </c>
      <c r="S385" s="20"/>
      <c r="T385" s="7"/>
      <c r="U385" s="7"/>
      <c r="V385" s="7"/>
      <c r="W385" s="7"/>
      <c r="X385" s="7"/>
      <c r="Y385" s="7"/>
      <c r="Z385" s="7"/>
      <c r="AA385" s="7"/>
    </row>
    <row r="386" spans="1:27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>
        <v>31384</v>
      </c>
      <c r="P386" s="1">
        <f t="shared" si="19"/>
        <v>0.19128432869911194</v>
      </c>
      <c r="Q386" s="25">
        <f t="shared" si="20"/>
        <v>0.1853163521445822</v>
      </c>
      <c r="R386" s="24">
        <f t="shared" si="21"/>
        <v>0.58450382578456583</v>
      </c>
      <c r="S386" s="20"/>
      <c r="T386" s="7"/>
      <c r="U386" s="7"/>
      <c r="V386" s="7"/>
      <c r="W386" s="7"/>
      <c r="X386" s="7"/>
      <c r="Y386" s="7"/>
      <c r="Z386" s="7"/>
      <c r="AA386" s="7"/>
    </row>
    <row r="387" spans="1:27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>
        <v>31385</v>
      </c>
      <c r="P387" s="1">
        <f t="shared" si="19"/>
        <v>0.19147053360939026</v>
      </c>
      <c r="Q387" s="25">
        <f t="shared" si="20"/>
        <v>0.18590034960652702</v>
      </c>
      <c r="R387" s="24">
        <f t="shared" si="21"/>
        <v>0.58350164611198352</v>
      </c>
      <c r="S387" s="20"/>
      <c r="T387" s="7"/>
      <c r="U387" s="7"/>
      <c r="V387" s="7"/>
      <c r="W387" s="7"/>
      <c r="X387" s="7"/>
      <c r="Y387" s="7"/>
      <c r="Z387" s="7"/>
      <c r="AA387" s="7"/>
    </row>
    <row r="388" spans="1:27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>
        <v>31386</v>
      </c>
      <c r="P388" s="1">
        <f t="shared" si="19"/>
        <v>0.19165626168251038</v>
      </c>
      <c r="Q388" s="25">
        <f t="shared" si="20"/>
        <v>0.18648332843440585</v>
      </c>
      <c r="R388" s="24">
        <f t="shared" si="21"/>
        <v>0.58249266832177682</v>
      </c>
      <c r="S388" s="20"/>
      <c r="T388" s="7"/>
      <c r="U388" s="7"/>
      <c r="V388" s="7"/>
      <c r="W388" s="7"/>
      <c r="X388" s="7"/>
      <c r="Y388" s="7"/>
      <c r="Z388" s="7"/>
      <c r="AA388" s="7"/>
    </row>
    <row r="389" spans="1:27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>
        <v>31387</v>
      </c>
      <c r="P389" s="1">
        <f t="shared" si="19"/>
        <v>0.19184282422065735</v>
      </c>
      <c r="Q389" s="25">
        <f t="shared" si="20"/>
        <v>0.18706540504354052</v>
      </c>
      <c r="R389" s="24">
        <f t="shared" si="21"/>
        <v>0.58147694925736459</v>
      </c>
      <c r="S389" s="20"/>
      <c r="T389" s="7"/>
      <c r="U389" s="7"/>
      <c r="V389" s="7"/>
      <c r="W389" s="7"/>
      <c r="X389" s="7"/>
      <c r="Y389" s="7"/>
      <c r="Z389" s="7"/>
      <c r="AA389" s="7"/>
    </row>
    <row r="390" spans="1:27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>
        <v>31388</v>
      </c>
      <c r="P390" s="1">
        <f t="shared" si="19"/>
        <v>0.19203022122383118</v>
      </c>
      <c r="Q390" s="25">
        <f t="shared" si="20"/>
        <v>0.18764628839562647</v>
      </c>
      <c r="R390" s="24">
        <f t="shared" si="21"/>
        <v>0.58045452977495415</v>
      </c>
      <c r="S390" s="20"/>
      <c r="T390" s="7"/>
      <c r="U390" s="7"/>
      <c r="V390" s="7"/>
      <c r="W390" s="7"/>
      <c r="X390" s="7"/>
      <c r="Y390" s="7"/>
      <c r="Z390" s="7"/>
      <c r="AA390" s="7"/>
    </row>
    <row r="391" spans="1:27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>
        <v>31389</v>
      </c>
      <c r="P391" s="1">
        <f t="shared" si="19"/>
        <v>0.19221809506416321</v>
      </c>
      <c r="Q391" s="25">
        <f t="shared" si="20"/>
        <v>0.1882262404251378</v>
      </c>
      <c r="R391" s="24">
        <f t="shared" si="21"/>
        <v>0.57942546494160752</v>
      </c>
      <c r="S391" s="20"/>
      <c r="T391" s="7"/>
      <c r="U391" s="7"/>
      <c r="V391" s="7"/>
      <c r="W391" s="7"/>
      <c r="X391" s="7"/>
      <c r="Y391" s="7"/>
      <c r="Z391" s="7"/>
      <c r="AA391" s="7"/>
    </row>
    <row r="392" spans="1:27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>
        <v>31390</v>
      </c>
      <c r="P392" s="1">
        <f t="shared" si="19"/>
        <v>0.19240680336952209</v>
      </c>
      <c r="Q392" s="25">
        <f t="shared" si="20"/>
        <v>0.18880514471675269</v>
      </c>
      <c r="R392" s="24">
        <f t="shared" si="21"/>
        <v>0.57838979561353199</v>
      </c>
      <c r="S392" s="20"/>
      <c r="T392" s="7"/>
      <c r="U392" s="7"/>
      <c r="V392" s="7"/>
      <c r="W392" s="7"/>
      <c r="X392" s="7"/>
      <c r="Y392" s="7"/>
      <c r="Z392" s="7"/>
      <c r="AA392" s="7"/>
    </row>
    <row r="393" spans="1:27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>
        <v>31391</v>
      </c>
      <c r="P393" s="1">
        <f t="shared" si="19"/>
        <v>0.19259610772132874</v>
      </c>
      <c r="Q393" s="25">
        <f t="shared" si="20"/>
        <v>0.18938305947813205</v>
      </c>
      <c r="R393" s="24">
        <f t="shared" si="21"/>
        <v>0.57734757152871907</v>
      </c>
      <c r="S393" s="20"/>
      <c r="T393" s="7"/>
      <c r="U393" s="7"/>
      <c r="V393" s="7"/>
      <c r="W393" s="7"/>
      <c r="X393" s="7"/>
      <c r="Y393" s="7"/>
      <c r="Z393" s="7"/>
      <c r="AA393" s="7"/>
    </row>
    <row r="394" spans="1:27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>
        <v>31392</v>
      </c>
      <c r="P394" s="1">
        <f t="shared" ref="P394:P457" si="22" xml:space="preserve"> -1.4681315616E-19*$O394^6 + 2.80493263066289E-14*$O394^5 - 2.23271907955907E-09*$O394^4 + 0.0000947783879077569*$O394^3 - 2.26293121558813*$O394^2 + 28813.4861268598*$O394 - 152852350.445896</f>
        <v>0.19278588891029358</v>
      </c>
      <c r="Q394" s="25">
        <f t="shared" ref="Q394:Q457" si="23" xml:space="preserve"> (6*-1.4681315616E-19*$O394^5 + 5*2.80493263066289E-14*$O394^4 - 4*2.23271907955907E-09*$O394^3 + 3*0.0000947783879077569*$O394^2 - 2*2.26293121558813*$O394^1 + 28813.4861268598)*1000</f>
        <v>0.1899598391901236</v>
      </c>
      <c r="R394" s="24">
        <f t="shared" ref="R394:R457" si="24" xml:space="preserve"> (5*6*-1.4681315616E-19*$O394^4 + 4*5*2.80493263066289E-14*$O394^3 - 3*4*2.23271907955907E-09*$O394^2 + 2*3*0.0000947783879077569*$O394^1 - 2*2.26293121558813)*1000*1000</f>
        <v>0.57629884597787395</v>
      </c>
      <c r="S394" s="20"/>
      <c r="T394" s="7"/>
      <c r="U394" s="7"/>
      <c r="V394" s="7"/>
      <c r="W394" s="7"/>
      <c r="X394" s="7"/>
      <c r="Y394" s="7"/>
      <c r="Z394" s="7"/>
      <c r="AA394" s="7"/>
    </row>
    <row r="395" spans="1:27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>
        <v>31393</v>
      </c>
      <c r="P395" s="1">
        <f t="shared" si="22"/>
        <v>0.19297626614570618</v>
      </c>
      <c r="Q395" s="25">
        <f t="shared" si="23"/>
        <v>0.19053560026804917</v>
      </c>
      <c r="R395" s="24">
        <f t="shared" si="24"/>
        <v>0.57524366869898813</v>
      </c>
      <c r="S395" s="20"/>
      <c r="T395" s="7"/>
      <c r="U395" s="7"/>
      <c r="V395" s="7"/>
      <c r="W395" s="7"/>
      <c r="X395" s="7"/>
      <c r="Y395" s="7"/>
      <c r="Z395" s="7"/>
      <c r="AA395" s="7"/>
    </row>
    <row r="396" spans="1:27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>
        <v>31394</v>
      </c>
      <c r="P396" s="1">
        <f t="shared" si="22"/>
        <v>0.19316676259040833</v>
      </c>
      <c r="Q396" s="25">
        <f t="shared" si="23"/>
        <v>0.19111031360807829</v>
      </c>
      <c r="R396" s="24">
        <f t="shared" si="24"/>
        <v>0.57418207166648472</v>
      </c>
      <c r="S396" s="20"/>
      <c r="T396" s="7"/>
      <c r="U396" s="7"/>
      <c r="V396" s="7"/>
      <c r="W396" s="7"/>
      <c r="X396" s="7"/>
      <c r="Y396" s="7"/>
      <c r="Z396" s="7"/>
      <c r="AA396" s="7"/>
    </row>
    <row r="397" spans="1:27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>
        <v>31395</v>
      </c>
      <c r="P397" s="1">
        <f t="shared" si="22"/>
        <v>0.19335797429084778</v>
      </c>
      <c r="Q397" s="25">
        <f t="shared" si="23"/>
        <v>0.19168395010638051</v>
      </c>
      <c r="R397" s="24">
        <f t="shared" si="24"/>
        <v>0.57311411172378257</v>
      </c>
      <c r="S397" s="20"/>
      <c r="T397" s="7"/>
      <c r="U397" s="7"/>
      <c r="V397" s="7"/>
      <c r="W397" s="7"/>
      <c r="X397" s="7"/>
      <c r="Y397" s="7"/>
      <c r="Z397" s="7"/>
      <c r="AA397" s="7"/>
    </row>
    <row r="398" spans="1:27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>
        <v>31396</v>
      </c>
      <c r="P398" s="1">
        <f t="shared" si="22"/>
        <v>0.19355049729347229</v>
      </c>
      <c r="Q398" s="25">
        <f t="shared" si="23"/>
        <v>0.19225656797061674</v>
      </c>
      <c r="R398" s="24">
        <f t="shared" si="24"/>
        <v>0.57203984216158688</v>
      </c>
      <c r="S398" s="20"/>
      <c r="T398" s="7"/>
      <c r="U398" s="7"/>
      <c r="V398" s="7"/>
      <c r="W398" s="7"/>
      <c r="X398" s="7"/>
      <c r="Y398" s="7"/>
      <c r="Z398" s="7"/>
      <c r="AA398" s="7"/>
    </row>
    <row r="399" spans="1:27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>
        <v>31397</v>
      </c>
      <c r="P399" s="1">
        <f t="shared" si="22"/>
        <v>0.19374290108680725</v>
      </c>
      <c r="Q399" s="25">
        <f t="shared" si="23"/>
        <v>0.19282802168163471</v>
      </c>
      <c r="R399" s="24">
        <f t="shared" si="24"/>
        <v>0.5709593020597481</v>
      </c>
      <c r="S399" s="20"/>
      <c r="T399" s="7"/>
      <c r="U399" s="7"/>
      <c r="V399" s="7"/>
      <c r="W399" s="7"/>
      <c r="X399" s="7"/>
      <c r="Y399" s="7"/>
      <c r="Z399" s="7"/>
      <c r="AA399" s="7"/>
    </row>
    <row r="400" spans="1:27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>
        <v>31398</v>
      </c>
      <c r="P400" s="1">
        <f t="shared" si="22"/>
        <v>0.19393602013587952</v>
      </c>
      <c r="Q400" s="25">
        <f t="shared" si="23"/>
        <v>0.19339845675858669</v>
      </c>
      <c r="R400" s="24">
        <f t="shared" si="24"/>
        <v>0.56987253760354406</v>
      </c>
      <c r="S400" s="20"/>
      <c r="T400" s="7"/>
      <c r="U400" s="7"/>
      <c r="V400" s="7"/>
      <c r="W400" s="7"/>
      <c r="X400" s="7"/>
      <c r="Y400" s="7"/>
      <c r="Z400" s="7"/>
      <c r="AA400" s="7"/>
    </row>
    <row r="401" spans="1:27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>
        <v>31399</v>
      </c>
      <c r="P401" s="1">
        <f t="shared" si="22"/>
        <v>0.19412949681282043</v>
      </c>
      <c r="Q401" s="25">
        <f t="shared" si="23"/>
        <v>0.19396778588998131</v>
      </c>
      <c r="R401" s="24">
        <f t="shared" si="24"/>
        <v>0.56877960563639363</v>
      </c>
      <c r="S401" s="20"/>
      <c r="T401" s="7"/>
      <c r="U401" s="7"/>
      <c r="V401" s="7"/>
      <c r="W401" s="7"/>
      <c r="X401" s="7"/>
      <c r="Y401" s="7"/>
      <c r="Z401" s="7"/>
      <c r="AA401" s="7"/>
    </row>
    <row r="402" spans="1:27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>
        <v>31400</v>
      </c>
      <c r="P402" s="1">
        <f t="shared" si="22"/>
        <v>0.19432380795478821</v>
      </c>
      <c r="Q402" s="25">
        <f t="shared" si="23"/>
        <v>0.19453600907581858</v>
      </c>
      <c r="R402" s="24">
        <f t="shared" si="24"/>
        <v>0.56768054168543358</v>
      </c>
      <c r="S402" s="20"/>
      <c r="T402" s="7"/>
      <c r="U402" s="7"/>
      <c r="V402" s="7"/>
      <c r="W402" s="7"/>
      <c r="X402" s="7"/>
      <c r="Y402" s="7"/>
      <c r="Z402" s="7"/>
      <c r="AA402" s="7"/>
    </row>
    <row r="403" spans="1:27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>
        <v>31401</v>
      </c>
      <c r="P403" s="1">
        <f t="shared" si="22"/>
        <v>0.19451883435249329</v>
      </c>
      <c r="Q403" s="25">
        <f t="shared" si="23"/>
        <v>0.19510315541992895</v>
      </c>
      <c r="R403" s="24">
        <f t="shared" si="24"/>
        <v>0.56657539548865543</v>
      </c>
      <c r="S403" s="20"/>
      <c r="T403" s="7"/>
      <c r="U403" s="7"/>
      <c r="V403" s="7"/>
      <c r="W403" s="7"/>
      <c r="X403" s="7"/>
      <c r="Y403" s="7"/>
      <c r="Z403" s="7"/>
      <c r="AA403" s="7"/>
    </row>
    <row r="404" spans="1:27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>
        <v>31402</v>
      </c>
      <c r="P404" s="1">
        <f t="shared" si="22"/>
        <v>0.19471445679664612</v>
      </c>
      <c r="Q404" s="25">
        <f t="shared" si="23"/>
        <v>0.19566913761082105</v>
      </c>
      <c r="R404" s="24">
        <f t="shared" si="24"/>
        <v>0.5654642221131212</v>
      </c>
      <c r="S404" s="20"/>
      <c r="T404" s="7"/>
      <c r="U404" s="7"/>
      <c r="V404" s="7"/>
      <c r="W404" s="7"/>
      <c r="X404" s="7"/>
      <c r="Y404" s="7"/>
      <c r="Z404" s="7"/>
      <c r="AA404" s="7"/>
    </row>
    <row r="405" spans="1:27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>
        <v>31403</v>
      </c>
      <c r="P405" s="1">
        <f t="shared" si="22"/>
        <v>0.1949101984500885</v>
      </c>
      <c r="Q405" s="25">
        <f t="shared" si="23"/>
        <v>0.19623407206381671</v>
      </c>
      <c r="R405" s="24">
        <f t="shared" si="24"/>
        <v>0.56434705530961082</v>
      </c>
      <c r="S405" s="20"/>
      <c r="T405" s="7"/>
      <c r="U405" s="7"/>
      <c r="V405" s="7"/>
      <c r="W405" s="7"/>
      <c r="X405" s="7"/>
      <c r="Y405" s="7"/>
      <c r="Z405" s="7"/>
      <c r="AA405" s="7"/>
    </row>
    <row r="406" spans="1:27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>
        <v>31404</v>
      </c>
      <c r="P406" s="1">
        <f t="shared" si="22"/>
        <v>0.19510617852210999</v>
      </c>
      <c r="Q406" s="25">
        <f t="shared" si="23"/>
        <v>0.1967978423635941</v>
      </c>
      <c r="R406" s="24">
        <f t="shared" si="24"/>
        <v>0.56322395725061369</v>
      </c>
      <c r="S406" s="20"/>
      <c r="T406" s="7"/>
      <c r="U406" s="7"/>
      <c r="V406" s="7"/>
      <c r="W406" s="7"/>
      <c r="X406" s="7"/>
      <c r="Y406" s="7"/>
      <c r="Z406" s="7"/>
      <c r="AA406" s="7"/>
    </row>
    <row r="407" spans="1:27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>
        <v>31405</v>
      </c>
      <c r="P407" s="1">
        <f t="shared" si="22"/>
        <v>0.19530346989631653</v>
      </c>
      <c r="Q407" s="25">
        <f t="shared" si="23"/>
        <v>0.19736050671781413</v>
      </c>
      <c r="R407" s="24">
        <f t="shared" si="24"/>
        <v>0.56209495813419608</v>
      </c>
      <c r="S407" s="20"/>
      <c r="T407" s="7"/>
      <c r="U407" s="7"/>
      <c r="V407" s="7"/>
      <c r="W407" s="7"/>
      <c r="X407" s="7"/>
      <c r="Y407" s="7"/>
      <c r="Z407" s="7"/>
      <c r="AA407" s="7"/>
    </row>
    <row r="408" spans="1:27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>
        <v>31406</v>
      </c>
      <c r="P408" s="1">
        <f t="shared" si="22"/>
        <v>0.19550135731697083</v>
      </c>
      <c r="Q408" s="25">
        <f t="shared" si="23"/>
        <v>0.19792206512647681</v>
      </c>
      <c r="R408" s="24">
        <f t="shared" si="24"/>
        <v>0.56096011125106315</v>
      </c>
      <c r="S408" s="20"/>
      <c r="T408" s="7"/>
      <c r="U408" s="7"/>
      <c r="V408" s="7"/>
      <c r="W408" s="7"/>
      <c r="X408" s="7"/>
      <c r="Y408" s="7"/>
      <c r="Z408" s="7"/>
      <c r="AA408" s="7"/>
    </row>
    <row r="409" spans="1:27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>
        <v>31407</v>
      </c>
      <c r="P409" s="1">
        <f t="shared" si="22"/>
        <v>0.19569924473762512</v>
      </c>
      <c r="Q409" s="25">
        <f t="shared" si="23"/>
        <v>0.19848248848575167</v>
      </c>
      <c r="R409" s="24">
        <f t="shared" si="24"/>
        <v>0.55981946456284959</v>
      </c>
      <c r="S409" s="20"/>
      <c r="T409" s="7"/>
      <c r="U409" s="7"/>
      <c r="V409" s="7"/>
      <c r="W409" s="7"/>
      <c r="X409" s="7"/>
      <c r="Y409" s="7"/>
      <c r="Z409" s="7"/>
      <c r="AA409" s="7"/>
    </row>
    <row r="410" spans="1:27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>
        <v>31408</v>
      </c>
      <c r="P410" s="1">
        <f t="shared" si="22"/>
        <v>0.19589820504188538</v>
      </c>
      <c r="Q410" s="25">
        <f t="shared" si="23"/>
        <v>0.1990416603803169</v>
      </c>
      <c r="R410" s="24">
        <f t="shared" si="24"/>
        <v>0.55867306247847637</v>
      </c>
      <c r="S410" s="20"/>
      <c r="T410" s="7"/>
      <c r="U410" s="7"/>
      <c r="V410" s="7"/>
      <c r="W410" s="7"/>
      <c r="X410" s="7"/>
      <c r="Y410" s="7"/>
      <c r="Z410" s="7"/>
      <c r="AA410" s="7"/>
    </row>
    <row r="411" spans="1:27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>
        <v>31409</v>
      </c>
      <c r="P411" s="1">
        <f t="shared" si="22"/>
        <v>0.19609704613685608</v>
      </c>
      <c r="Q411" s="25">
        <f t="shared" si="23"/>
        <v>0.19959978453698568</v>
      </c>
      <c r="R411" s="24">
        <f t="shared" si="24"/>
        <v>0.55752095295957815</v>
      </c>
      <c r="S411" s="20"/>
      <c r="T411" s="7"/>
      <c r="U411" s="7"/>
      <c r="V411" s="7"/>
      <c r="W411" s="7"/>
      <c r="X411" s="7"/>
      <c r="Y411" s="7"/>
      <c r="Z411" s="7"/>
      <c r="AA411" s="7"/>
    </row>
    <row r="412" spans="1:27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>
        <v>31410</v>
      </c>
      <c r="P412" s="1">
        <f t="shared" si="22"/>
        <v>0.19629707932472229</v>
      </c>
      <c r="Q412" s="25">
        <f t="shared" si="23"/>
        <v>0.20015674454043619</v>
      </c>
      <c r="R412" s="24">
        <f t="shared" si="24"/>
        <v>0.55636317686236225</v>
      </c>
      <c r="S412" s="20"/>
      <c r="T412" s="7"/>
      <c r="U412" s="7"/>
      <c r="V412" s="7"/>
      <c r="W412" s="7"/>
      <c r="X412" s="7"/>
      <c r="Y412" s="7"/>
      <c r="Z412" s="7"/>
      <c r="AA412" s="7"/>
    </row>
    <row r="413" spans="1:27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>
        <v>31411</v>
      </c>
      <c r="P413" s="1">
        <f t="shared" si="22"/>
        <v>0.19649723172187805</v>
      </c>
      <c r="Q413" s="25">
        <f t="shared" si="23"/>
        <v>0.20071251128683798</v>
      </c>
      <c r="R413" s="24">
        <f t="shared" si="24"/>
        <v>0.55519978747753385</v>
      </c>
      <c r="S413" s="20"/>
      <c r="T413" s="7"/>
      <c r="U413" s="7"/>
      <c r="V413" s="7"/>
      <c r="W413" s="7"/>
      <c r="X413" s="7"/>
      <c r="Y413" s="7"/>
      <c r="Z413" s="7"/>
      <c r="AA413" s="7"/>
    </row>
    <row r="414" spans="1:27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>
        <v>31412</v>
      </c>
      <c r="P414" s="1">
        <f t="shared" si="22"/>
        <v>0.19669869542121887</v>
      </c>
      <c r="Q414" s="25">
        <f t="shared" si="23"/>
        <v>0.2012671138800215</v>
      </c>
      <c r="R414" s="24">
        <f t="shared" si="24"/>
        <v>0.5540308238849434</v>
      </c>
      <c r="S414" s="20"/>
      <c r="T414" s="7"/>
      <c r="U414" s="7"/>
      <c r="V414" s="7"/>
      <c r="W414" s="7"/>
      <c r="X414" s="7"/>
      <c r="Y414" s="7"/>
      <c r="Z414" s="7"/>
      <c r="AA414" s="7"/>
    </row>
    <row r="415" spans="1:27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>
        <v>31413</v>
      </c>
      <c r="P415" s="1">
        <f t="shared" si="22"/>
        <v>0.1969006359577179</v>
      </c>
      <c r="Q415" s="25">
        <f t="shared" si="23"/>
        <v>0.20182049411232583</v>
      </c>
      <c r="R415" s="24">
        <f t="shared" si="24"/>
        <v>0.55285632871715507</v>
      </c>
      <c r="S415" s="20"/>
      <c r="T415" s="7"/>
      <c r="U415" s="7"/>
      <c r="V415" s="7"/>
      <c r="W415" s="7"/>
      <c r="X415" s="7"/>
      <c r="Y415" s="7"/>
      <c r="Z415" s="7"/>
      <c r="AA415" s="7"/>
    </row>
    <row r="416" spans="1:27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>
        <v>31414</v>
      </c>
      <c r="P416" s="1">
        <f t="shared" si="22"/>
        <v>0.19710221886634827</v>
      </c>
      <c r="Q416" s="25">
        <f t="shared" si="23"/>
        <v>0.20237288481439464</v>
      </c>
      <c r="R416" s="24">
        <f t="shared" si="24"/>
        <v>0.55167635526487402</v>
      </c>
      <c r="S416" s="20"/>
      <c r="T416" s="7"/>
      <c r="U416" s="7"/>
      <c r="V416" s="7"/>
      <c r="W416" s="7"/>
      <c r="X416" s="7"/>
      <c r="Y416" s="7"/>
      <c r="Z416" s="7"/>
      <c r="AA416" s="7"/>
    </row>
    <row r="417" spans="1:27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>
        <v>31415</v>
      </c>
      <c r="P417" s="1">
        <f t="shared" si="22"/>
        <v>0.1973051130771637</v>
      </c>
      <c r="Q417" s="25">
        <f t="shared" si="23"/>
        <v>0.20292390763643198</v>
      </c>
      <c r="R417" s="24">
        <f t="shared" si="24"/>
        <v>0.55049094971337809</v>
      </c>
      <c r="S417" s="20"/>
      <c r="T417" s="7"/>
      <c r="U417" s="7"/>
      <c r="V417" s="7"/>
      <c r="W417" s="7"/>
      <c r="X417" s="7"/>
      <c r="Y417" s="7"/>
      <c r="Z417" s="7"/>
      <c r="AA417" s="7"/>
    </row>
    <row r="418" spans="1:27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>
        <v>31416</v>
      </c>
      <c r="P418" s="1">
        <f t="shared" si="22"/>
        <v>0.19750848412513733</v>
      </c>
      <c r="Q418" s="25">
        <f t="shared" si="23"/>
        <v>0.20347382451291196</v>
      </c>
      <c r="R418" s="24">
        <f t="shared" si="24"/>
        <v>0.54930014758980406</v>
      </c>
      <c r="S418" s="20"/>
      <c r="T418" s="7"/>
      <c r="U418" s="7"/>
      <c r="V418" s="7"/>
      <c r="W418" s="7"/>
      <c r="X418" s="7"/>
      <c r="Y418" s="7"/>
      <c r="Z418" s="7"/>
      <c r="AA418" s="7"/>
    </row>
    <row r="419" spans="1:27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>
        <v>31417</v>
      </c>
      <c r="P419" s="1">
        <f t="shared" si="22"/>
        <v>0.19771173596382141</v>
      </c>
      <c r="Q419" s="25">
        <f t="shared" si="23"/>
        <v>0.20402251902851276</v>
      </c>
      <c r="R419" s="24">
        <f t="shared" si="24"/>
        <v>0.54810400573757079</v>
      </c>
      <c r="S419" s="20"/>
      <c r="T419" s="7"/>
      <c r="U419" s="7"/>
      <c r="V419" s="7"/>
      <c r="W419" s="7"/>
      <c r="X419" s="7"/>
      <c r="Y419" s="7"/>
      <c r="Z419" s="7"/>
      <c r="AA419" s="7"/>
    </row>
    <row r="420" spans="1:27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>
        <v>31418</v>
      </c>
      <c r="P420" s="1">
        <f t="shared" si="22"/>
        <v>0.19791606068611145</v>
      </c>
      <c r="Q420" s="25">
        <f t="shared" si="23"/>
        <v>0.20457002028706484</v>
      </c>
      <c r="R420" s="24">
        <f t="shared" si="24"/>
        <v>0.54690256146017191</v>
      </c>
      <c r="S420" s="20"/>
      <c r="T420" s="7"/>
      <c r="U420" s="7"/>
      <c r="V420" s="7"/>
      <c r="W420" s="7"/>
      <c r="X420" s="7"/>
      <c r="Y420" s="7"/>
      <c r="Z420" s="7"/>
      <c r="AA420" s="7"/>
    </row>
    <row r="421" spans="1:27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>
        <v>31419</v>
      </c>
      <c r="P421" s="1">
        <f t="shared" si="22"/>
        <v>0.19812110066413879</v>
      </c>
      <c r="Q421" s="25">
        <f t="shared" si="23"/>
        <v>0.2051163864962291</v>
      </c>
      <c r="R421" s="24">
        <f t="shared" si="24"/>
        <v>0.54569585561381473</v>
      </c>
      <c r="S421" s="20"/>
      <c r="T421" s="7"/>
      <c r="U421" s="7"/>
      <c r="V421" s="7"/>
      <c r="W421" s="7"/>
      <c r="X421" s="7"/>
      <c r="Y421" s="7"/>
      <c r="Z421" s="7"/>
      <c r="AA421" s="7"/>
    </row>
    <row r="422" spans="1:27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>
        <v>31420</v>
      </c>
      <c r="P422" s="1">
        <f t="shared" si="22"/>
        <v>0.19832649827003479</v>
      </c>
      <c r="Q422" s="25">
        <f t="shared" si="23"/>
        <v>0.20566144303302281</v>
      </c>
      <c r="R422" s="24">
        <f t="shared" si="24"/>
        <v>0.54448394681827494</v>
      </c>
      <c r="S422" s="20"/>
      <c r="T422" s="7"/>
      <c r="U422" s="7"/>
      <c r="V422" s="7"/>
      <c r="W422" s="7"/>
      <c r="X422" s="7"/>
      <c r="Y422" s="7"/>
      <c r="Z422" s="7"/>
      <c r="AA422" s="7"/>
    </row>
    <row r="423" spans="1:27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>
        <v>31421</v>
      </c>
      <c r="P423" s="1">
        <f t="shared" si="22"/>
        <v>0.19853273034095764</v>
      </c>
      <c r="Q423" s="25">
        <f t="shared" si="23"/>
        <v>0.20620524810510688</v>
      </c>
      <c r="R423" s="24">
        <f t="shared" si="24"/>
        <v>0.54326686882433251</v>
      </c>
      <c r="S423" s="20"/>
      <c r="T423" s="7"/>
      <c r="U423" s="7"/>
      <c r="V423" s="7"/>
      <c r="W423" s="7"/>
      <c r="X423" s="7"/>
      <c r="Y423" s="7"/>
      <c r="Z423" s="7"/>
      <c r="AA423" s="7"/>
    </row>
    <row r="424" spans="1:27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>
        <v>31422</v>
      </c>
      <c r="P424" s="1">
        <f t="shared" si="22"/>
        <v>0.1987394392490387</v>
      </c>
      <c r="Q424" s="25">
        <f t="shared" si="23"/>
        <v>0.20674794723163359</v>
      </c>
      <c r="R424" s="24">
        <f t="shared" si="24"/>
        <v>0.54204467314633575</v>
      </c>
      <c r="S424" s="20"/>
      <c r="T424" s="7"/>
      <c r="U424" s="7"/>
      <c r="V424" s="7"/>
      <c r="W424" s="7"/>
      <c r="X424" s="7"/>
      <c r="Y424" s="7"/>
      <c r="Z424" s="7"/>
      <c r="AA424" s="7"/>
    </row>
    <row r="425" spans="1:27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>
        <v>31423</v>
      </c>
      <c r="P425" s="1">
        <f t="shared" si="22"/>
        <v>0.1989457905292511</v>
      </c>
      <c r="Q425" s="25">
        <f t="shared" si="23"/>
        <v>0.20728942399728112</v>
      </c>
      <c r="R425" s="24">
        <f t="shared" si="24"/>
        <v>0.54081739708777832</v>
      </c>
      <c r="S425" s="20"/>
      <c r="T425" s="7"/>
      <c r="U425" s="7"/>
      <c r="V425" s="7"/>
      <c r="W425" s="7"/>
      <c r="X425" s="7"/>
      <c r="Y425" s="7"/>
      <c r="Z425" s="7"/>
      <c r="AA425" s="7"/>
    </row>
    <row r="426" spans="1:27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>
        <v>31424</v>
      </c>
      <c r="P426" s="1">
        <f t="shared" si="22"/>
        <v>0.19915345311164856</v>
      </c>
      <c r="Q426" s="25">
        <f t="shared" si="23"/>
        <v>0.20782953288289718</v>
      </c>
      <c r="R426" s="24">
        <f t="shared" si="24"/>
        <v>0.53958508861029486</v>
      </c>
      <c r="S426" s="20"/>
      <c r="T426" s="7"/>
      <c r="U426" s="7"/>
      <c r="V426" s="7"/>
      <c r="W426" s="7"/>
      <c r="X426" s="7"/>
      <c r="Y426" s="7"/>
      <c r="Z426" s="7"/>
      <c r="AA426" s="7"/>
    </row>
    <row r="427" spans="1:27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>
        <v>31425</v>
      </c>
      <c r="P427" s="1">
        <f t="shared" si="22"/>
        <v>0.19936111569404602</v>
      </c>
      <c r="Q427" s="25">
        <f t="shared" si="23"/>
        <v>0.20836853582295589</v>
      </c>
      <c r="R427" s="24">
        <f t="shared" si="24"/>
        <v>0.53834779212280637</v>
      </c>
      <c r="S427" s="20"/>
      <c r="T427" s="7"/>
      <c r="U427" s="7"/>
      <c r="V427" s="7"/>
      <c r="W427" s="7"/>
      <c r="X427" s="7"/>
      <c r="Y427" s="7"/>
      <c r="Z427" s="7"/>
      <c r="AA427" s="7"/>
    </row>
    <row r="428" spans="1:27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>
        <v>31426</v>
      </c>
      <c r="P428" s="1">
        <f t="shared" si="22"/>
        <v>0.19957032799720764</v>
      </c>
      <c r="Q428" s="25">
        <f t="shared" si="23"/>
        <v>0.20890628729830496</v>
      </c>
      <c r="R428" s="24">
        <f t="shared" si="24"/>
        <v>0.53710555025787698</v>
      </c>
      <c r="S428" s="20"/>
      <c r="T428" s="7"/>
      <c r="U428" s="7"/>
      <c r="V428" s="7"/>
      <c r="W428" s="7"/>
      <c r="X428" s="7"/>
      <c r="Y428" s="7"/>
      <c r="Z428" s="7"/>
      <c r="AA428" s="7"/>
    </row>
    <row r="429" spans="1:27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>
        <v>31427</v>
      </c>
      <c r="P429" s="1">
        <f t="shared" si="22"/>
        <v>0.19977942109107971</v>
      </c>
      <c r="Q429" s="25">
        <f t="shared" si="23"/>
        <v>0.20944272910128348</v>
      </c>
      <c r="R429" s="24">
        <f t="shared" si="24"/>
        <v>0.53585840920078454</v>
      </c>
      <c r="S429" s="20"/>
      <c r="T429" s="7"/>
      <c r="U429" s="7"/>
      <c r="V429" s="7"/>
      <c r="W429" s="7"/>
      <c r="X429" s="7"/>
      <c r="Y429" s="7"/>
      <c r="Z429" s="7"/>
      <c r="AA429" s="7"/>
    </row>
    <row r="430" spans="1:27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>
        <v>31428</v>
      </c>
      <c r="P430" s="1">
        <f t="shared" si="22"/>
        <v>0.19998875260353088</v>
      </c>
      <c r="Q430" s="25">
        <f t="shared" si="23"/>
        <v>0.20997797764721327</v>
      </c>
      <c r="R430" s="24">
        <f t="shared" si="24"/>
        <v>0.53460641691316368</v>
      </c>
      <c r="S430" s="20"/>
      <c r="T430" s="7"/>
      <c r="U430" s="7"/>
      <c r="V430" s="7"/>
      <c r="W430" s="7"/>
      <c r="X430" s="7"/>
      <c r="Y430" s="7"/>
      <c r="Z430" s="7"/>
      <c r="AA430" s="7"/>
    </row>
    <row r="431" spans="1:27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>
        <v>31429</v>
      </c>
      <c r="P431" s="1">
        <f t="shared" si="22"/>
        <v>0.20019963383674622</v>
      </c>
      <c r="Q431" s="25">
        <f t="shared" si="23"/>
        <v>0.21051194562460296</v>
      </c>
      <c r="R431" s="24">
        <f t="shared" si="24"/>
        <v>0.53334961069850806</v>
      </c>
      <c r="S431" s="20"/>
      <c r="T431" s="7"/>
      <c r="U431" s="7"/>
      <c r="V431" s="7"/>
      <c r="W431" s="7"/>
      <c r="X431" s="7"/>
      <c r="Y431" s="7"/>
      <c r="Z431" s="7"/>
      <c r="AA431" s="7"/>
    </row>
    <row r="432" spans="1:27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>
        <v>31430</v>
      </c>
      <c r="P432" s="1">
        <f t="shared" si="22"/>
        <v>0.2004101574420929</v>
      </c>
      <c r="Q432" s="25">
        <f t="shared" si="23"/>
        <v>0.21104469124111347</v>
      </c>
      <c r="R432" s="24">
        <f t="shared" si="24"/>
        <v>0.53208803141302496</v>
      </c>
      <c r="S432" s="20"/>
      <c r="T432" s="7"/>
      <c r="U432" s="7"/>
      <c r="V432" s="7"/>
      <c r="W432" s="7"/>
      <c r="X432" s="7"/>
      <c r="Y432" s="7"/>
      <c r="Z432" s="7"/>
      <c r="AA432" s="7"/>
    </row>
    <row r="433" spans="1:27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>
        <v>31431</v>
      </c>
      <c r="P433" s="1">
        <f t="shared" si="22"/>
        <v>0.20062139630317688</v>
      </c>
      <c r="Q433" s="25">
        <f t="shared" si="23"/>
        <v>0.21157615628908388</v>
      </c>
      <c r="R433" s="24">
        <f t="shared" si="24"/>
        <v>0.53082173057106274</v>
      </c>
      <c r="S433" s="20"/>
      <c r="T433" s="7"/>
      <c r="U433" s="7"/>
      <c r="V433" s="7"/>
      <c r="W433" s="7"/>
      <c r="X433" s="7"/>
      <c r="Y433" s="7"/>
      <c r="Z433" s="7"/>
      <c r="AA433" s="7"/>
    </row>
    <row r="434" spans="1:27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>
        <v>31432</v>
      </c>
      <c r="P434" s="1">
        <f t="shared" si="22"/>
        <v>0.20083370804786682</v>
      </c>
      <c r="Q434" s="25">
        <f t="shared" si="23"/>
        <v>0.2121063407685142</v>
      </c>
      <c r="R434" s="24">
        <f t="shared" si="24"/>
        <v>0.5295507490288287</v>
      </c>
      <c r="S434" s="20"/>
      <c r="T434" s="7"/>
      <c r="U434" s="7"/>
      <c r="V434" s="7"/>
      <c r="W434" s="7"/>
      <c r="X434" s="7"/>
      <c r="Y434" s="7"/>
      <c r="Z434" s="7"/>
      <c r="AA434" s="7"/>
    </row>
    <row r="435" spans="1:27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>
        <v>31433</v>
      </c>
      <c r="P435" s="1">
        <f t="shared" si="22"/>
        <v>0.20104590058326721</v>
      </c>
      <c r="Q435" s="25">
        <f t="shared" si="23"/>
        <v>0.21263521557557397</v>
      </c>
      <c r="R435" s="24">
        <f t="shared" si="24"/>
        <v>0.52827512764253015</v>
      </c>
      <c r="S435" s="20"/>
      <c r="T435" s="7"/>
      <c r="U435" s="7"/>
      <c r="V435" s="7"/>
      <c r="W435" s="7"/>
      <c r="X435" s="7"/>
      <c r="Y435" s="7"/>
      <c r="Z435" s="7"/>
      <c r="AA435" s="7"/>
    </row>
    <row r="436" spans="1:27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>
        <v>31434</v>
      </c>
      <c r="P436" s="1">
        <f t="shared" si="22"/>
        <v>0.2012583315372467</v>
      </c>
      <c r="Q436" s="25">
        <f t="shared" si="23"/>
        <v>0.213162897125585</v>
      </c>
      <c r="R436" s="24">
        <f t="shared" si="24"/>
        <v>0.52699491082108807</v>
      </c>
      <c r="S436" s="20"/>
      <c r="T436" s="7"/>
      <c r="U436" s="7"/>
      <c r="V436" s="7"/>
      <c r="W436" s="7"/>
      <c r="X436" s="7"/>
      <c r="Y436" s="7"/>
      <c r="Z436" s="7"/>
      <c r="AA436" s="7"/>
    </row>
    <row r="437" spans="1:27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>
        <v>31435</v>
      </c>
      <c r="P437" s="1">
        <f t="shared" si="22"/>
        <v>0.20147207379341125</v>
      </c>
      <c r="Q437" s="25">
        <f t="shared" si="23"/>
        <v>0.21368923989939503</v>
      </c>
      <c r="R437" s="24">
        <f t="shared" si="24"/>
        <v>0.5257101500788508</v>
      </c>
      <c r="S437" s="20"/>
      <c r="T437" s="7"/>
      <c r="U437" s="7"/>
      <c r="V437" s="7"/>
      <c r="W437" s="7"/>
      <c r="X437" s="7"/>
      <c r="Y437" s="7"/>
      <c r="Z437" s="7"/>
      <c r="AA437" s="7"/>
    </row>
    <row r="438" spans="1:27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>
        <v>31436</v>
      </c>
      <c r="P438" s="1">
        <f t="shared" si="22"/>
        <v>0.20168617367744446</v>
      </c>
      <c r="Q438" s="25">
        <f t="shared" si="23"/>
        <v>0.21421427300083451</v>
      </c>
      <c r="R438" s="24">
        <f t="shared" si="24"/>
        <v>0.52442087206117094</v>
      </c>
      <c r="S438" s="20"/>
      <c r="T438" s="7"/>
      <c r="U438" s="7"/>
      <c r="V438" s="7"/>
      <c r="W438" s="7"/>
      <c r="X438" s="7"/>
      <c r="Y438" s="7"/>
      <c r="Z438" s="7"/>
      <c r="AA438" s="7"/>
    </row>
    <row r="439" spans="1:27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>
        <v>31437</v>
      </c>
      <c r="P439" s="1">
        <f t="shared" si="22"/>
        <v>0.20190027356147766</v>
      </c>
      <c r="Q439" s="25">
        <f t="shared" si="23"/>
        <v>0.21473805463756435</v>
      </c>
      <c r="R439" s="24">
        <f t="shared" si="24"/>
        <v>0.52312712828239682</v>
      </c>
      <c r="S439" s="20"/>
      <c r="T439" s="7"/>
      <c r="U439" s="7"/>
      <c r="V439" s="7"/>
      <c r="W439" s="7"/>
      <c r="X439" s="7"/>
      <c r="Y439" s="7"/>
      <c r="Z439" s="7"/>
      <c r="AA439" s="7"/>
    </row>
    <row r="440" spans="1:27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>
        <v>31438</v>
      </c>
      <c r="P440" s="1">
        <f t="shared" si="22"/>
        <v>0.20211544632911682</v>
      </c>
      <c r="Q440" s="25">
        <f t="shared" si="23"/>
        <v>0.215260613913415</v>
      </c>
      <c r="R440" s="24">
        <f t="shared" si="24"/>
        <v>0.5218289702568768</v>
      </c>
      <c r="S440" s="20"/>
      <c r="T440" s="7"/>
      <c r="U440" s="7"/>
      <c r="V440" s="7"/>
      <c r="W440" s="7"/>
      <c r="X440" s="7"/>
      <c r="Y440" s="7"/>
      <c r="Z440" s="7"/>
      <c r="AA440" s="7"/>
    </row>
    <row r="441" spans="1:27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>
        <v>31439</v>
      </c>
      <c r="P441" s="1">
        <f t="shared" si="22"/>
        <v>0.20233121514320374</v>
      </c>
      <c r="Q441" s="25">
        <f t="shared" si="23"/>
        <v>0.21578171799774282</v>
      </c>
      <c r="R441" s="24">
        <f t="shared" si="24"/>
        <v>0.52052642818267714</v>
      </c>
      <c r="S441" s="20"/>
      <c r="T441" s="7"/>
      <c r="U441" s="7"/>
      <c r="V441" s="7"/>
      <c r="W441" s="7"/>
      <c r="X441" s="7"/>
      <c r="Y441" s="7"/>
      <c r="Z441" s="7"/>
      <c r="AA441" s="7"/>
    </row>
    <row r="442" spans="1:27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>
        <v>31440</v>
      </c>
      <c r="P442" s="1">
        <f t="shared" si="22"/>
        <v>0.20254722237586975</v>
      </c>
      <c r="Q442" s="25">
        <f t="shared" si="23"/>
        <v>0.21630154151353054</v>
      </c>
      <c r="R442" s="24">
        <f t="shared" si="24"/>
        <v>0.51921955357414618</v>
      </c>
      <c r="S442" s="20"/>
      <c r="T442" s="7"/>
      <c r="U442" s="7"/>
      <c r="V442" s="7"/>
      <c r="W442" s="7"/>
      <c r="X442" s="7"/>
      <c r="Y442" s="7"/>
      <c r="Z442" s="7"/>
      <c r="AA442" s="7"/>
    </row>
    <row r="443" spans="1:27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>
        <v>31441</v>
      </c>
      <c r="P443" s="1">
        <f t="shared" si="22"/>
        <v>0.20276334881782532</v>
      </c>
      <c r="Q443" s="25">
        <f t="shared" si="23"/>
        <v>0.21682017177226953</v>
      </c>
      <c r="R443" s="24">
        <f t="shared" si="24"/>
        <v>0.51790838018206387</v>
      </c>
      <c r="S443" s="20"/>
      <c r="T443" s="7"/>
      <c r="U443" s="7"/>
      <c r="V443" s="7"/>
      <c r="W443" s="7"/>
      <c r="X443" s="7"/>
      <c r="Y443" s="7"/>
      <c r="Z443" s="7"/>
      <c r="AA443" s="7"/>
    </row>
    <row r="444" spans="1:27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>
        <v>31442</v>
      </c>
      <c r="P444" s="1">
        <f t="shared" si="22"/>
        <v>0.20298054814338684</v>
      </c>
      <c r="Q444" s="25">
        <f t="shared" si="23"/>
        <v>0.21733743415097706</v>
      </c>
      <c r="R444" s="24">
        <f t="shared" si="24"/>
        <v>0.51659295596806487</v>
      </c>
      <c r="S444" s="20"/>
      <c r="T444" s="7"/>
      <c r="U444" s="7"/>
      <c r="V444" s="7"/>
      <c r="W444" s="7"/>
      <c r="X444" s="7"/>
      <c r="Y444" s="7"/>
      <c r="Z444" s="7"/>
      <c r="AA444" s="7"/>
    </row>
    <row r="445" spans="1:27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>
        <v>31443</v>
      </c>
      <c r="P445" s="1">
        <f t="shared" si="22"/>
        <v>0.20319822430610657</v>
      </c>
      <c r="Q445" s="25">
        <f t="shared" si="23"/>
        <v>0.21785332864965312</v>
      </c>
      <c r="R445" s="24">
        <f t="shared" si="24"/>
        <v>0.51527332534107018</v>
      </c>
      <c r="S445" s="20"/>
      <c r="T445" s="7"/>
      <c r="U445" s="7"/>
      <c r="V445" s="7"/>
      <c r="W445" s="7"/>
      <c r="X445" s="7"/>
      <c r="Y445" s="7"/>
      <c r="Z445" s="7"/>
      <c r="AA445" s="7"/>
    </row>
    <row r="446" spans="1:27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>
        <v>31444</v>
      </c>
      <c r="P446" s="1">
        <f t="shared" si="22"/>
        <v>0.20341578125953674</v>
      </c>
      <c r="Q446" s="25">
        <f t="shared" si="23"/>
        <v>0.21836791347595863</v>
      </c>
      <c r="R446" s="24">
        <f t="shared" si="24"/>
        <v>0.51394952382821657</v>
      </c>
      <c r="S446" s="20"/>
      <c r="T446" s="7"/>
      <c r="U446" s="7"/>
      <c r="V446" s="7"/>
      <c r="W446" s="7"/>
      <c r="X446" s="7"/>
      <c r="Y446" s="7"/>
      <c r="Z446" s="7"/>
      <c r="AA446" s="7"/>
    </row>
    <row r="447" spans="1:27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>
        <v>31445</v>
      </c>
      <c r="P447" s="1">
        <f t="shared" si="22"/>
        <v>0.20363488793373108</v>
      </c>
      <c r="Q447" s="25">
        <f t="shared" si="23"/>
        <v>0.21888121773372404</v>
      </c>
      <c r="R447" s="24">
        <f t="shared" si="24"/>
        <v>0.51262160116749556</v>
      </c>
      <c r="S447" s="20"/>
      <c r="T447" s="7"/>
      <c r="U447" s="7"/>
      <c r="V447" s="7"/>
      <c r="W447" s="7"/>
      <c r="X447" s="7"/>
      <c r="Y447" s="7"/>
      <c r="Z447" s="7"/>
      <c r="AA447" s="7"/>
    </row>
    <row r="448" spans="1:27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>
        <v>31446</v>
      </c>
      <c r="P448" s="1">
        <f t="shared" si="22"/>
        <v>0.20385375618934631</v>
      </c>
      <c r="Q448" s="25">
        <f t="shared" si="23"/>
        <v>0.21939324142294936</v>
      </c>
      <c r="R448" s="24">
        <f t="shared" si="24"/>
        <v>0.5112895964387576</v>
      </c>
      <c r="S448" s="20"/>
      <c r="T448" s="7"/>
      <c r="U448" s="7"/>
      <c r="V448" s="7"/>
      <c r="W448" s="7"/>
      <c r="X448" s="7"/>
      <c r="Y448" s="7"/>
      <c r="Z448" s="7"/>
      <c r="AA448" s="7"/>
    </row>
    <row r="449" spans="1:27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>
        <v>31447</v>
      </c>
      <c r="P449" s="1">
        <f t="shared" si="22"/>
        <v>0.20407441258430481</v>
      </c>
      <c r="Q449" s="25">
        <f t="shared" si="23"/>
        <v>0.21990383902448229</v>
      </c>
      <c r="R449" s="24">
        <f t="shared" si="24"/>
        <v>0.50995355227456685</v>
      </c>
      <c r="S449" s="20"/>
      <c r="T449" s="7"/>
      <c r="U449" s="7"/>
      <c r="V449" s="7"/>
      <c r="W449" s="7"/>
      <c r="X449" s="7"/>
      <c r="Y449" s="7"/>
      <c r="Z449" s="7"/>
      <c r="AA449" s="7"/>
    </row>
    <row r="450" spans="1:27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>
        <v>31448</v>
      </c>
      <c r="P450" s="1">
        <f t="shared" si="22"/>
        <v>0.20429375767707825</v>
      </c>
      <c r="Q450" s="25">
        <f t="shared" si="23"/>
        <v>0.22041309784981422</v>
      </c>
      <c r="R450" s="24">
        <f t="shared" si="24"/>
        <v>0.50861350420206008</v>
      </c>
      <c r="S450" s="20"/>
      <c r="T450" s="7"/>
      <c r="U450" s="7"/>
      <c r="V450" s="7"/>
      <c r="W450" s="7"/>
      <c r="X450" s="7"/>
      <c r="Y450" s="7"/>
      <c r="Z450" s="7"/>
      <c r="AA450" s="7"/>
    </row>
    <row r="451" spans="1:27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>
        <v>31449</v>
      </c>
      <c r="P451" s="1">
        <f t="shared" si="22"/>
        <v>0.2045152485370636</v>
      </c>
      <c r="Q451" s="25">
        <f t="shared" si="23"/>
        <v>0.22092104700277559</v>
      </c>
      <c r="R451" s="24">
        <f t="shared" si="24"/>
        <v>0.50726949840651514</v>
      </c>
      <c r="S451" s="20"/>
      <c r="T451" s="7"/>
      <c r="U451" s="7"/>
      <c r="V451" s="7"/>
      <c r="W451" s="7"/>
      <c r="X451" s="7"/>
      <c r="Y451" s="7"/>
      <c r="Z451" s="7"/>
      <c r="AA451" s="7"/>
    </row>
    <row r="452" spans="1:27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>
        <v>31450</v>
      </c>
      <c r="P452" s="1">
        <f t="shared" si="22"/>
        <v>0.20473590493202209</v>
      </c>
      <c r="Q452" s="25">
        <f t="shared" si="23"/>
        <v>0.22142765737953596</v>
      </c>
      <c r="R452" s="24">
        <f t="shared" si="24"/>
        <v>0.50592158107320984</v>
      </c>
      <c r="S452" s="20"/>
      <c r="T452" s="7"/>
      <c r="U452" s="7"/>
      <c r="V452" s="7"/>
      <c r="W452" s="7"/>
      <c r="X452" s="7"/>
      <c r="Y452" s="7"/>
      <c r="Z452" s="7"/>
      <c r="AA452" s="7"/>
    </row>
    <row r="453" spans="1:27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>
        <v>31451</v>
      </c>
      <c r="P453" s="1">
        <f t="shared" si="22"/>
        <v>0.20495763421058655</v>
      </c>
      <c r="Q453" s="25">
        <f t="shared" si="23"/>
        <v>0.22193289987626486</v>
      </c>
      <c r="R453" s="24">
        <f t="shared" si="24"/>
        <v>0.5045697895056378</v>
      </c>
      <c r="S453" s="20"/>
      <c r="T453" s="7"/>
      <c r="U453" s="7"/>
      <c r="V453" s="7"/>
      <c r="W453" s="7"/>
      <c r="X453" s="7"/>
      <c r="Y453" s="7"/>
      <c r="Z453" s="7"/>
      <c r="AA453" s="7"/>
    </row>
    <row r="454" spans="1:27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>
        <v>31452</v>
      </c>
      <c r="P454" s="1">
        <f t="shared" si="22"/>
        <v>0.2051798403263092</v>
      </c>
      <c r="Q454" s="25">
        <f t="shared" si="23"/>
        <v>0.22243677449296229</v>
      </c>
      <c r="R454" s="24">
        <f t="shared" si="24"/>
        <v>0.50321416100729266</v>
      </c>
      <c r="S454" s="20"/>
      <c r="T454" s="7"/>
      <c r="U454" s="7"/>
      <c r="V454" s="7"/>
      <c r="W454" s="7"/>
      <c r="X454" s="7"/>
      <c r="Y454" s="7"/>
      <c r="Z454" s="7"/>
      <c r="AA454" s="7"/>
    </row>
    <row r="455" spans="1:27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>
        <v>31453</v>
      </c>
      <c r="P455" s="1">
        <f t="shared" si="22"/>
        <v>0.20540216565132141</v>
      </c>
      <c r="Q455" s="25">
        <f t="shared" si="23"/>
        <v>0.22293931033345871</v>
      </c>
      <c r="R455" s="24">
        <f t="shared" si="24"/>
        <v>0.50185474531616592</v>
      </c>
      <c r="S455" s="20"/>
      <c r="T455" s="7"/>
      <c r="U455" s="7"/>
      <c r="V455" s="7"/>
      <c r="W455" s="7"/>
      <c r="X455" s="7"/>
      <c r="Y455" s="7"/>
      <c r="Z455" s="7"/>
      <c r="AA455" s="7"/>
    </row>
    <row r="456" spans="1:27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>
        <v>31454</v>
      </c>
      <c r="P456" s="1">
        <f t="shared" si="22"/>
        <v>0.20562580227851868</v>
      </c>
      <c r="Q456" s="25">
        <f t="shared" si="23"/>
        <v>0.22344047829392366</v>
      </c>
      <c r="R456" s="24">
        <f t="shared" si="24"/>
        <v>0.50049158151210804</v>
      </c>
      <c r="S456" s="20"/>
      <c r="T456" s="7"/>
      <c r="U456" s="7"/>
      <c r="V456" s="7"/>
      <c r="W456" s="7"/>
      <c r="X456" s="7"/>
      <c r="Y456" s="7"/>
      <c r="Z456" s="7"/>
      <c r="AA456" s="7"/>
    </row>
    <row r="457" spans="1:27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>
        <v>31455</v>
      </c>
      <c r="P457" s="1">
        <f t="shared" si="22"/>
        <v>0.20584967732429504</v>
      </c>
      <c r="Q457" s="25">
        <f t="shared" si="23"/>
        <v>0.22394033658201806</v>
      </c>
      <c r="R457" s="24">
        <f t="shared" si="24"/>
        <v>0.49912470512225582</v>
      </c>
      <c r="S457" s="20"/>
      <c r="T457" s="7"/>
      <c r="U457" s="7"/>
      <c r="V457" s="7"/>
      <c r="W457" s="7"/>
      <c r="X457" s="7"/>
      <c r="Y457" s="7"/>
      <c r="Z457" s="7"/>
      <c r="AA457" s="7"/>
    </row>
    <row r="458" spans="1:27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>
        <v>31456</v>
      </c>
      <c r="P458" s="1">
        <f t="shared" ref="P458:P521" si="25" xml:space="preserve"> -1.4681315616E-19*$O458^6 + 2.80493263066289E-14*$O458^5 - 2.23271907955907E-09*$O458^4 + 0.0000947783879077569*$O458^3 - 2.26293121558813*$O458^2 + 28813.4861268598*$O458 - 152852350.445896</f>
        <v>0.20607319474220276</v>
      </c>
      <c r="Q458" s="25">
        <f t="shared" ref="Q458:Q521" si="26" xml:space="preserve"> (6*-1.4681315616E-19*$O458^5 + 5*2.80493263066289E-14*$O458^4 - 4*2.23271907955907E-09*$O458^3 + 3*0.0000947783879077569*$O458^2 - 2*2.26293121558813*$O458^1 + 28813.4861268598)*1000</f>
        <v>0.22443873967858963</v>
      </c>
      <c r="R458" s="24">
        <f t="shared" ref="R458:R521" si="27" xml:space="preserve"> (5*6*-1.4681315616E-19*$O458^4 + 4*5*2.80493263066289E-14*$O458^3 - 3*4*2.23271907955907E-09*$O458^2 + 2*3*0.0000947783879077569*$O458^1 - 2*2.26293121558813)*1000*1000</f>
        <v>0.49775415877917339</v>
      </c>
      <c r="S458" s="20"/>
      <c r="T458" s="7"/>
      <c r="U458" s="7"/>
      <c r="V458" s="7"/>
      <c r="W458" s="7"/>
      <c r="X458" s="7"/>
      <c r="Y458" s="7"/>
      <c r="Z458" s="7"/>
      <c r="AA458" s="7"/>
    </row>
    <row r="459" spans="1:27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>
        <v>31457</v>
      </c>
      <c r="P459" s="1">
        <f t="shared" si="25"/>
        <v>0.20629778504371643</v>
      </c>
      <c r="Q459" s="25">
        <f t="shared" si="26"/>
        <v>0.22493577489512973</v>
      </c>
      <c r="R459" s="24">
        <f t="shared" si="27"/>
        <v>0.49637998866813859</v>
      </c>
      <c r="S459" s="20"/>
      <c r="T459" s="7"/>
      <c r="U459" s="7"/>
      <c r="V459" s="7"/>
      <c r="W459" s="7"/>
      <c r="X459" s="7"/>
      <c r="Y459" s="7"/>
      <c r="Z459" s="7"/>
      <c r="AA459" s="7"/>
    </row>
    <row r="460" spans="1:27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>
        <v>31458</v>
      </c>
      <c r="P460" s="1">
        <f t="shared" si="25"/>
        <v>0.20652285218238831</v>
      </c>
      <c r="Q460" s="25">
        <f t="shared" si="26"/>
        <v>0.22543150043929927</v>
      </c>
      <c r="R460" s="24">
        <f t="shared" si="27"/>
        <v>0.49500223386900188</v>
      </c>
      <c r="S460" s="20"/>
      <c r="T460" s="7"/>
      <c r="U460" s="7"/>
      <c r="V460" s="7"/>
      <c r="W460" s="7"/>
      <c r="X460" s="7"/>
      <c r="Y460" s="7"/>
      <c r="Z460" s="7"/>
      <c r="AA460" s="7"/>
    </row>
    <row r="461" spans="1:27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>
        <v>31459</v>
      </c>
      <c r="P461" s="1">
        <f t="shared" si="25"/>
        <v>0.20674851536750793</v>
      </c>
      <c r="Q461" s="25">
        <f t="shared" si="26"/>
        <v>0.22592582899960689</v>
      </c>
      <c r="R461" s="24">
        <f t="shared" si="27"/>
        <v>0.49362093168525689</v>
      </c>
      <c r="S461" s="20"/>
      <c r="T461" s="7"/>
      <c r="U461" s="7"/>
      <c r="V461" s="7"/>
      <c r="W461" s="7"/>
      <c r="X461" s="7"/>
      <c r="Y461" s="7"/>
      <c r="Z461" s="7"/>
      <c r="AA461" s="7"/>
    </row>
    <row r="462" spans="1:27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>
        <v>31460</v>
      </c>
      <c r="P462" s="1">
        <f t="shared" si="25"/>
        <v>0.20697525143623352</v>
      </c>
      <c r="Q462" s="25">
        <f t="shared" si="26"/>
        <v>0.22641876057605259</v>
      </c>
      <c r="R462" s="24">
        <f t="shared" si="27"/>
        <v>0.49223612297311092</v>
      </c>
      <c r="S462" s="20"/>
      <c r="T462" s="7"/>
      <c r="U462" s="7"/>
      <c r="V462" s="7"/>
      <c r="W462" s="7"/>
      <c r="X462" s="7"/>
      <c r="Y462" s="7"/>
      <c r="Z462" s="7"/>
      <c r="AA462" s="7"/>
    </row>
    <row r="463" spans="1:27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>
        <v>31461</v>
      </c>
      <c r="P463" s="1">
        <f t="shared" si="25"/>
        <v>0.20720222592353821</v>
      </c>
      <c r="Q463" s="25">
        <f t="shared" si="26"/>
        <v>0.22691023696097545</v>
      </c>
      <c r="R463" s="24">
        <f t="shared" si="27"/>
        <v>0.49084785036512812</v>
      </c>
      <c r="S463" s="20"/>
      <c r="T463" s="7"/>
      <c r="U463" s="7"/>
      <c r="V463" s="7"/>
      <c r="W463" s="7"/>
      <c r="X463" s="7"/>
      <c r="Y463" s="7"/>
      <c r="Z463" s="7"/>
      <c r="AA463" s="7"/>
    </row>
    <row r="464" spans="1:27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>
        <v>31462</v>
      </c>
      <c r="P464" s="1">
        <f t="shared" si="25"/>
        <v>0.20742836594581604</v>
      </c>
      <c r="Q464" s="25">
        <f t="shared" si="26"/>
        <v>0.22740046188118868</v>
      </c>
      <c r="R464" s="24">
        <f t="shared" si="27"/>
        <v>0.4894561547175158</v>
      </c>
      <c r="S464" s="20"/>
      <c r="T464" s="7"/>
      <c r="U464" s="7"/>
      <c r="V464" s="7"/>
      <c r="W464" s="7"/>
      <c r="X464" s="7"/>
      <c r="Y464" s="7"/>
      <c r="Z464" s="7"/>
      <c r="AA464" s="7"/>
    </row>
    <row r="465" spans="1:27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>
        <v>31463</v>
      </c>
      <c r="P465" s="1">
        <f t="shared" si="25"/>
        <v>0.20765653252601624</v>
      </c>
      <c r="Q465" s="25">
        <f t="shared" si="26"/>
        <v>0.22788914429838769</v>
      </c>
      <c r="R465" s="24">
        <f t="shared" si="27"/>
        <v>0.48806107688648126</v>
      </c>
      <c r="S465" s="20"/>
      <c r="T465" s="7"/>
      <c r="U465" s="7"/>
      <c r="V465" s="7"/>
      <c r="W465" s="7"/>
      <c r="X465" s="7"/>
      <c r="Y465" s="7"/>
      <c r="Z465" s="7"/>
      <c r="AA465" s="7"/>
    </row>
    <row r="466" spans="1:27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>
        <v>31464</v>
      </c>
      <c r="P466" s="1">
        <f t="shared" si="25"/>
        <v>0.20788469910621643</v>
      </c>
      <c r="Q466" s="25">
        <f t="shared" si="26"/>
        <v>0.22837660435470752</v>
      </c>
      <c r="R466" s="24">
        <f t="shared" si="27"/>
        <v>0.48666265772823181</v>
      </c>
      <c r="S466" s="20"/>
      <c r="T466" s="7"/>
      <c r="U466" s="7"/>
      <c r="V466" s="7"/>
      <c r="W466" s="7"/>
      <c r="X466" s="7"/>
      <c r="Y466" s="7"/>
      <c r="Z466" s="7"/>
      <c r="AA466" s="7"/>
    </row>
    <row r="467" spans="1:27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>
        <v>31465</v>
      </c>
      <c r="P467" s="1">
        <f t="shared" si="25"/>
        <v>0.20811370015144348</v>
      </c>
      <c r="Q467" s="25">
        <f t="shared" si="26"/>
        <v>0.22886255101184361</v>
      </c>
      <c r="R467" s="24">
        <f t="shared" si="27"/>
        <v>0.48526093099354739</v>
      </c>
      <c r="S467" s="20"/>
      <c r="T467" s="7"/>
      <c r="U467" s="7"/>
      <c r="V467" s="7"/>
      <c r="W467" s="7"/>
      <c r="X467" s="7"/>
      <c r="Y467" s="7"/>
      <c r="Z467" s="7"/>
      <c r="AA467" s="7"/>
    </row>
    <row r="468" spans="1:27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>
        <v>31466</v>
      </c>
      <c r="P468" s="1">
        <f t="shared" si="25"/>
        <v>0.20834282040596008</v>
      </c>
      <c r="Q468" s="25">
        <f t="shared" si="26"/>
        <v>0.2293470133736264</v>
      </c>
      <c r="R468" s="24">
        <f t="shared" si="27"/>
        <v>0.48385594286770583</v>
      </c>
      <c r="S468" s="20"/>
      <c r="T468" s="7"/>
      <c r="U468" s="7"/>
      <c r="V468" s="7"/>
      <c r="W468" s="7"/>
      <c r="X468" s="7"/>
      <c r="Y468" s="7"/>
      <c r="Z468" s="7"/>
      <c r="AA468" s="7"/>
    </row>
    <row r="469" spans="1:27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>
        <v>31467</v>
      </c>
      <c r="P469" s="1">
        <f t="shared" si="25"/>
        <v>0.20857194066047668</v>
      </c>
      <c r="Q469" s="25">
        <f t="shared" si="26"/>
        <v>0.22983022427069955</v>
      </c>
      <c r="R469" s="24">
        <f t="shared" si="27"/>
        <v>0.48244772532513025</v>
      </c>
      <c r="S469" s="20"/>
      <c r="T469" s="7"/>
      <c r="U469" s="7"/>
      <c r="V469" s="7"/>
      <c r="W469" s="7"/>
      <c r="X469" s="7"/>
      <c r="Y469" s="7"/>
      <c r="Z469" s="7"/>
      <c r="AA469" s="7"/>
    </row>
    <row r="470" spans="1:27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>
        <v>31468</v>
      </c>
      <c r="P470" s="1">
        <f t="shared" si="25"/>
        <v>0.20880213379859924</v>
      </c>
      <c r="Q470" s="25">
        <f t="shared" si="26"/>
        <v>0.23031197997624986</v>
      </c>
      <c r="R470" s="24">
        <f t="shared" si="27"/>
        <v>0.48103632810381214</v>
      </c>
      <c r="S470" s="20"/>
      <c r="T470" s="7"/>
      <c r="U470" s="7"/>
      <c r="V470" s="7"/>
      <c r="W470" s="7"/>
      <c r="X470" s="7"/>
      <c r="Y470" s="7"/>
      <c r="Z470" s="7"/>
      <c r="AA470" s="7"/>
    </row>
    <row r="471" spans="1:27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>
        <v>31469</v>
      </c>
      <c r="P471" s="1">
        <f t="shared" si="25"/>
        <v>0.20903244614601135</v>
      </c>
      <c r="Q471" s="25">
        <f t="shared" si="26"/>
        <v>0.23079228049027734</v>
      </c>
      <c r="R471" s="24">
        <f t="shared" si="27"/>
        <v>0.47962178673088829</v>
      </c>
      <c r="S471" s="20"/>
      <c r="T471" s="7"/>
      <c r="U471" s="7"/>
      <c r="V471" s="7"/>
      <c r="W471" s="7"/>
      <c r="X471" s="7"/>
      <c r="Y471" s="7"/>
      <c r="Z471" s="7"/>
      <c r="AA471" s="7"/>
    </row>
    <row r="472" spans="1:27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>
        <v>31470</v>
      </c>
      <c r="P472" s="1">
        <f t="shared" si="25"/>
        <v>0.20926395058631897</v>
      </c>
      <c r="Q472" s="25">
        <f t="shared" si="26"/>
        <v>0.23127115491661243</v>
      </c>
      <c r="R472" s="24">
        <f t="shared" si="27"/>
        <v>0.47820413673349549</v>
      </c>
      <c r="S472" s="20"/>
      <c r="T472" s="7"/>
      <c r="U472" s="7"/>
      <c r="V472" s="7"/>
      <c r="W472" s="7"/>
      <c r="X472" s="7"/>
      <c r="Y472" s="7"/>
      <c r="Z472" s="7"/>
      <c r="AA472" s="7"/>
    </row>
    <row r="473" spans="1:27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>
        <v>31471</v>
      </c>
      <c r="P473" s="1">
        <f t="shared" si="25"/>
        <v>0.20949485898017883</v>
      </c>
      <c r="Q473" s="25">
        <f t="shared" si="26"/>
        <v>0.23174869056674652</v>
      </c>
      <c r="R473" s="24">
        <f t="shared" si="27"/>
        <v>0.47678342784962524</v>
      </c>
      <c r="S473" s="20"/>
      <c r="T473" s="7"/>
      <c r="U473" s="7"/>
      <c r="V473" s="7"/>
      <c r="W473" s="7"/>
      <c r="X473" s="7"/>
      <c r="Y473" s="7"/>
      <c r="Z473" s="7"/>
      <c r="AA473" s="7"/>
    </row>
    <row r="474" spans="1:27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>
        <v>31472</v>
      </c>
      <c r="P474" s="1">
        <f t="shared" si="25"/>
        <v>0.20972755551338196</v>
      </c>
      <c r="Q474" s="25">
        <f t="shared" si="26"/>
        <v>0.23222474192152731</v>
      </c>
      <c r="R474" s="24">
        <f t="shared" si="27"/>
        <v>0.47535968672463014</v>
      </c>
      <c r="S474" s="20"/>
      <c r="T474" s="7"/>
      <c r="U474" s="7"/>
      <c r="V474" s="7"/>
      <c r="W474" s="7"/>
      <c r="X474" s="7"/>
      <c r="Y474" s="7"/>
      <c r="Z474" s="7"/>
      <c r="AA474" s="7"/>
    </row>
    <row r="475" spans="1:27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>
        <v>31473</v>
      </c>
      <c r="P475" s="1">
        <f t="shared" si="25"/>
        <v>0.20995977520942688</v>
      </c>
      <c r="Q475" s="25">
        <f t="shared" si="26"/>
        <v>0.23269942539627664</v>
      </c>
      <c r="R475" s="24">
        <f t="shared" si="27"/>
        <v>0.47393296487285852</v>
      </c>
      <c r="S475" s="20"/>
      <c r="T475" s="7"/>
      <c r="U475" s="7"/>
      <c r="V475" s="7"/>
      <c r="W475" s="7"/>
      <c r="X475" s="7"/>
      <c r="Y475" s="7"/>
      <c r="Z475" s="7"/>
      <c r="AA475" s="7"/>
    </row>
    <row r="476" spans="1:27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>
        <v>31474</v>
      </c>
      <c r="P476" s="1">
        <f t="shared" si="25"/>
        <v>0.21019235253334045</v>
      </c>
      <c r="Q476" s="25">
        <f t="shared" si="26"/>
        <v>0.23317262457567267</v>
      </c>
      <c r="R476" s="24">
        <f t="shared" si="27"/>
        <v>0.47250328716330614</v>
      </c>
      <c r="S476" s="20"/>
      <c r="T476" s="7"/>
      <c r="U476" s="7"/>
      <c r="V476" s="7"/>
      <c r="W476" s="7"/>
      <c r="X476" s="7"/>
      <c r="Y476" s="7"/>
      <c r="Z476" s="7"/>
      <c r="AA476" s="7"/>
    </row>
    <row r="477" spans="1:27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>
        <v>31475</v>
      </c>
      <c r="P477" s="1">
        <f t="shared" si="25"/>
        <v>0.21042624115943909</v>
      </c>
      <c r="Q477" s="25">
        <f t="shared" si="26"/>
        <v>0.23364445587503724</v>
      </c>
      <c r="R477" s="24">
        <f t="shared" si="27"/>
        <v>0.47107070688667818</v>
      </c>
      <c r="S477" s="20"/>
      <c r="T477" s="7"/>
      <c r="U477" s="7"/>
      <c r="V477" s="7"/>
      <c r="W477" s="7"/>
      <c r="X477" s="7"/>
      <c r="Y477" s="7"/>
      <c r="Z477" s="7"/>
      <c r="AA477" s="7"/>
    </row>
    <row r="478" spans="1:27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>
        <v>31476</v>
      </c>
      <c r="P478" s="1">
        <f t="shared" si="25"/>
        <v>0.21066012978553772</v>
      </c>
      <c r="Q478" s="25">
        <f t="shared" si="26"/>
        <v>0.2341147446713876</v>
      </c>
      <c r="R478" s="24">
        <f t="shared" si="27"/>
        <v>0.46963525424104091</v>
      </c>
      <c r="S478" s="20"/>
      <c r="T478" s="7"/>
      <c r="U478" s="7"/>
      <c r="V478" s="7"/>
      <c r="W478" s="7"/>
      <c r="X478" s="7"/>
      <c r="Y478" s="7"/>
      <c r="Z478" s="7"/>
      <c r="AA478" s="7"/>
    </row>
    <row r="479" spans="1:27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>
        <v>31477</v>
      </c>
      <c r="P479" s="1">
        <f t="shared" si="25"/>
        <v>0.2108941376209259</v>
      </c>
      <c r="Q479" s="25">
        <f t="shared" si="26"/>
        <v>0.23458369469153695</v>
      </c>
      <c r="R479" s="24">
        <f t="shared" si="27"/>
        <v>0.46819697008260164</v>
      </c>
      <c r="S479" s="20"/>
      <c r="T479" s="7"/>
      <c r="U479" s="7"/>
      <c r="V479" s="7"/>
      <c r="W479" s="7"/>
      <c r="X479" s="7"/>
      <c r="Y479" s="7"/>
      <c r="Z479" s="7"/>
      <c r="AA479" s="7"/>
    </row>
    <row r="480" spans="1:27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>
        <v>31478</v>
      </c>
      <c r="P480" s="1">
        <f t="shared" si="25"/>
        <v>0.21112897992134094</v>
      </c>
      <c r="Q480" s="25">
        <f t="shared" si="26"/>
        <v>0.23505118952016346</v>
      </c>
      <c r="R480" s="24">
        <f t="shared" si="27"/>
        <v>0.46675589349121083</v>
      </c>
      <c r="S480" s="20"/>
      <c r="T480" s="7"/>
      <c r="U480" s="7"/>
      <c r="V480" s="7"/>
      <c r="W480" s="7"/>
      <c r="X480" s="7"/>
      <c r="Y480" s="7"/>
      <c r="Z480" s="7"/>
      <c r="AA480" s="7"/>
    </row>
    <row r="481" spans="1:27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>
        <v>31479</v>
      </c>
      <c r="P481" s="1">
        <f t="shared" si="25"/>
        <v>0.21136429905891418</v>
      </c>
      <c r="Q481" s="25">
        <f t="shared" si="26"/>
        <v>0.2355172582610976</v>
      </c>
      <c r="R481" s="24">
        <f t="shared" si="27"/>
        <v>0.46531206177036211</v>
      </c>
      <c r="S481" s="20"/>
      <c r="T481" s="7"/>
      <c r="U481" s="7"/>
      <c r="V481" s="7"/>
      <c r="W481" s="7"/>
      <c r="X481" s="7"/>
      <c r="Y481" s="7"/>
      <c r="Z481" s="7"/>
      <c r="AA481" s="7"/>
    </row>
    <row r="482" spans="1:27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>
        <v>31480</v>
      </c>
      <c r="P482" s="1">
        <f t="shared" si="25"/>
        <v>0.21160021424293518</v>
      </c>
      <c r="Q482" s="25">
        <f t="shared" si="26"/>
        <v>0.23598181360284798</v>
      </c>
      <c r="R482" s="24">
        <f t="shared" si="27"/>
        <v>0.46386551577626278</v>
      </c>
      <c r="S482" s="20"/>
      <c r="T482" s="7"/>
      <c r="U482" s="7"/>
      <c r="V482" s="7"/>
      <c r="W482" s="7"/>
      <c r="X482" s="7"/>
      <c r="Y482" s="7"/>
      <c r="Z482" s="7"/>
      <c r="AA482" s="7"/>
    </row>
    <row r="483" spans="1:27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>
        <v>31481</v>
      </c>
      <c r="P483" s="1">
        <f t="shared" si="25"/>
        <v>0.21183624863624573</v>
      </c>
      <c r="Q483" s="25">
        <f t="shared" si="26"/>
        <v>0.23644497196073644</v>
      </c>
      <c r="R483" s="24">
        <f t="shared" si="27"/>
        <v>0.46241629281240648</v>
      </c>
      <c r="S483" s="20"/>
      <c r="T483" s="7"/>
      <c r="U483" s="7"/>
      <c r="V483" s="7"/>
      <c r="W483" s="7"/>
      <c r="X483" s="7"/>
      <c r="Y483" s="7"/>
      <c r="Z483" s="7"/>
      <c r="AA483" s="7"/>
    </row>
    <row r="484" spans="1:27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>
        <v>31482</v>
      </c>
      <c r="P484" s="1">
        <f t="shared" si="25"/>
        <v>0.21207252144813538</v>
      </c>
      <c r="Q484" s="25">
        <f t="shared" si="26"/>
        <v>0.23690661691944115</v>
      </c>
      <c r="R484" s="24">
        <f t="shared" si="27"/>
        <v>0.46096443728771419</v>
      </c>
      <c r="S484" s="20"/>
      <c r="T484" s="7"/>
      <c r="U484" s="7"/>
      <c r="V484" s="7"/>
      <c r="W484" s="7"/>
      <c r="X484" s="7"/>
      <c r="Y484" s="7"/>
      <c r="Z484" s="7"/>
      <c r="AA484" s="7"/>
    </row>
    <row r="485" spans="1:27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>
        <v>31483</v>
      </c>
      <c r="P485" s="1">
        <f t="shared" si="25"/>
        <v>0.21230962872505188</v>
      </c>
      <c r="Q485" s="25">
        <f t="shared" si="26"/>
        <v>0.23736686489428394</v>
      </c>
      <c r="R485" s="24">
        <f t="shared" si="27"/>
        <v>0.45950997407118166</v>
      </c>
      <c r="S485" s="20"/>
      <c r="T485" s="7"/>
      <c r="U485" s="7"/>
      <c r="V485" s="7"/>
      <c r="W485" s="7"/>
      <c r="X485" s="7"/>
      <c r="Y485" s="7"/>
      <c r="Z485" s="7"/>
      <c r="AA485" s="7"/>
    </row>
    <row r="486" spans="1:27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>
        <v>31484</v>
      </c>
      <c r="P486" s="1">
        <f t="shared" si="25"/>
        <v>0.21254757046699524</v>
      </c>
      <c r="Q486" s="25">
        <f t="shared" si="26"/>
        <v>0.23782568678143434</v>
      </c>
      <c r="R486" s="24">
        <f t="shared" si="27"/>
        <v>0.45805294934808671</v>
      </c>
      <c r="S486" s="20"/>
      <c r="T486" s="7"/>
      <c r="U486" s="7"/>
      <c r="V486" s="7"/>
      <c r="W486" s="7"/>
      <c r="X486" s="7"/>
      <c r="Y486" s="7"/>
      <c r="Z486" s="7"/>
      <c r="AA486" s="7"/>
    </row>
    <row r="487" spans="1:27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>
        <v>31485</v>
      </c>
      <c r="P487" s="1">
        <f t="shared" si="25"/>
        <v>0.2127857506275177</v>
      </c>
      <c r="Q487" s="25">
        <f t="shared" si="26"/>
        <v>0.23828296616557054</v>
      </c>
      <c r="R487" s="24">
        <f t="shared" si="27"/>
        <v>0.45659340219827982</v>
      </c>
      <c r="S487" s="20"/>
      <c r="T487" s="7"/>
      <c r="U487" s="7"/>
      <c r="V487" s="7"/>
      <c r="W487" s="7"/>
      <c r="X487" s="7"/>
      <c r="Y487" s="7"/>
      <c r="Z487" s="7"/>
      <c r="AA487" s="7"/>
    </row>
    <row r="488" spans="1:27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>
        <v>31486</v>
      </c>
      <c r="P488" s="1">
        <f t="shared" si="25"/>
        <v>0.21302428841590881</v>
      </c>
      <c r="Q488" s="25">
        <f t="shared" si="26"/>
        <v>0.23873881946201436</v>
      </c>
      <c r="R488" s="24">
        <f t="shared" si="27"/>
        <v>0.45513136281982725</v>
      </c>
      <c r="S488" s="20"/>
      <c r="T488" s="7"/>
      <c r="U488" s="7"/>
      <c r="V488" s="7"/>
      <c r="W488" s="7"/>
      <c r="X488" s="7"/>
      <c r="Y488" s="7"/>
      <c r="Z488" s="7"/>
      <c r="AA488" s="7"/>
    </row>
    <row r="489" spans="1:27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>
        <v>31487</v>
      </c>
      <c r="P489" s="1">
        <f t="shared" si="25"/>
        <v>0.21326342225074768</v>
      </c>
      <c r="Q489" s="25">
        <f t="shared" si="26"/>
        <v>0.23919321756693535</v>
      </c>
      <c r="R489" s="24">
        <f t="shared" si="27"/>
        <v>0.45366688272707734</v>
      </c>
      <c r="S489" s="20"/>
      <c r="T489" s="7"/>
      <c r="U489" s="7"/>
      <c r="V489" s="7"/>
      <c r="W489" s="7"/>
      <c r="X489" s="7"/>
      <c r="Y489" s="7"/>
      <c r="Z489" s="7"/>
      <c r="AA489" s="7"/>
    </row>
    <row r="490" spans="1:27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>
        <v>31488</v>
      </c>
      <c r="P490" s="1">
        <f t="shared" si="25"/>
        <v>0.21350279450416565</v>
      </c>
      <c r="Q490" s="25">
        <f t="shared" si="26"/>
        <v>0.23964616048033349</v>
      </c>
      <c r="R490" s="24">
        <f t="shared" si="27"/>
        <v>0.452199985012669</v>
      </c>
      <c r="S490" s="20"/>
      <c r="T490" s="7"/>
      <c r="U490" s="7"/>
      <c r="V490" s="7"/>
      <c r="W490" s="7"/>
      <c r="X490" s="7"/>
      <c r="Y490" s="7"/>
      <c r="Z490" s="7"/>
      <c r="AA490" s="7"/>
    </row>
    <row r="491" spans="1:27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>
        <v>31489</v>
      </c>
      <c r="P491" s="1">
        <f t="shared" si="25"/>
        <v>0.21374276280403137</v>
      </c>
      <c r="Q491" s="25">
        <f t="shared" si="26"/>
        <v>0.2400976482022088</v>
      </c>
      <c r="R491" s="24">
        <f t="shared" si="27"/>
        <v>0.45073071408552323</v>
      </c>
      <c r="S491" s="20"/>
      <c r="T491" s="7"/>
      <c r="U491" s="7"/>
      <c r="V491" s="7"/>
      <c r="W491" s="7"/>
      <c r="X491" s="7"/>
      <c r="Y491" s="7"/>
      <c r="Z491" s="7"/>
      <c r="AA491" s="7"/>
    </row>
    <row r="492" spans="1:27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>
        <v>31490</v>
      </c>
      <c r="P492" s="1">
        <f t="shared" si="25"/>
        <v>0.21398308873176575</v>
      </c>
      <c r="Q492" s="25">
        <f t="shared" si="26"/>
        <v>0.24054765162873082</v>
      </c>
      <c r="R492" s="24">
        <f t="shared" si="27"/>
        <v>0.44925910902549049</v>
      </c>
      <c r="S492" s="20"/>
      <c r="T492" s="7"/>
      <c r="U492" s="7"/>
      <c r="V492" s="7"/>
      <c r="W492" s="7"/>
      <c r="X492" s="7"/>
      <c r="Y492" s="7"/>
      <c r="Z492" s="7"/>
      <c r="AA492" s="7"/>
    </row>
    <row r="493" spans="1:27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>
        <v>31491</v>
      </c>
      <c r="P493" s="1">
        <f t="shared" si="25"/>
        <v>0.21422389149665833</v>
      </c>
      <c r="Q493" s="25">
        <f t="shared" si="26"/>
        <v>0.24099611255223863</v>
      </c>
      <c r="R493" s="24">
        <f t="shared" si="27"/>
        <v>0.4477851982542802</v>
      </c>
      <c r="S493" s="20"/>
      <c r="T493" s="7"/>
      <c r="U493" s="7"/>
      <c r="V493" s="7"/>
      <c r="W493" s="7"/>
      <c r="X493" s="7"/>
      <c r="Y493" s="7"/>
      <c r="Z493" s="7"/>
      <c r="AA493" s="7"/>
    </row>
    <row r="494" spans="1:27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>
        <v>31492</v>
      </c>
      <c r="P494" s="1">
        <f t="shared" si="25"/>
        <v>0.21446457505226135</v>
      </c>
      <c r="Q494" s="25">
        <f t="shared" si="26"/>
        <v>0.24144323469954543</v>
      </c>
      <c r="R494" s="24">
        <f t="shared" si="27"/>
        <v>0.44630902973352704</v>
      </c>
      <c r="S494" s="20"/>
      <c r="T494" s="7"/>
      <c r="U494" s="7"/>
      <c r="V494" s="7"/>
      <c r="W494" s="7"/>
      <c r="X494" s="7"/>
      <c r="Y494" s="7"/>
      <c r="Z494" s="7"/>
      <c r="AA494" s="7"/>
    </row>
    <row r="495" spans="1:27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>
        <v>31493</v>
      </c>
      <c r="P495" s="1">
        <f t="shared" si="25"/>
        <v>0.21470633149147034</v>
      </c>
      <c r="Q495" s="25">
        <f t="shared" si="26"/>
        <v>0.24188875613617711</v>
      </c>
      <c r="R495" s="24">
        <f t="shared" si="27"/>
        <v>0.44483063899036779</v>
      </c>
      <c r="S495" s="20"/>
      <c r="T495" s="7"/>
      <c r="U495" s="7"/>
      <c r="V495" s="7"/>
      <c r="W495" s="7"/>
      <c r="X495" s="7"/>
      <c r="Y495" s="7"/>
      <c r="Z495" s="7"/>
      <c r="AA495" s="7"/>
    </row>
    <row r="496" spans="1:27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>
        <v>31494</v>
      </c>
      <c r="P496" s="1">
        <f t="shared" si="25"/>
        <v>0.21494856476783752</v>
      </c>
      <c r="Q496" s="25">
        <f t="shared" si="26"/>
        <v>0.24233285148511641</v>
      </c>
      <c r="R496" s="24">
        <f t="shared" si="27"/>
        <v>0.44335005444651188</v>
      </c>
      <c r="S496" s="20"/>
      <c r="T496" s="7"/>
      <c r="U496" s="7"/>
      <c r="V496" s="7"/>
      <c r="W496" s="7"/>
      <c r="X496" s="7"/>
      <c r="Y496" s="7"/>
      <c r="Z496" s="7"/>
      <c r="AA496" s="7"/>
    </row>
    <row r="497" spans="1:27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>
        <v>31495</v>
      </c>
      <c r="P497" s="1">
        <f t="shared" si="25"/>
        <v>0.21519115567207336</v>
      </c>
      <c r="Q497" s="25">
        <f t="shared" si="26"/>
        <v>0.24277549164253287</v>
      </c>
      <c r="R497" s="24">
        <f t="shared" si="27"/>
        <v>0.44186732583995081</v>
      </c>
      <c r="S497" s="20"/>
      <c r="T497" s="7"/>
      <c r="U497" s="7"/>
      <c r="V497" s="7"/>
      <c r="W497" s="7"/>
      <c r="X497" s="7"/>
      <c r="Y497" s="7"/>
      <c r="Z497" s="7"/>
      <c r="AA497" s="7"/>
    </row>
    <row r="498" spans="1:27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>
        <v>31496</v>
      </c>
      <c r="P498" s="1">
        <f t="shared" si="25"/>
        <v>0.21543410420417786</v>
      </c>
      <c r="Q498" s="25">
        <f t="shared" si="26"/>
        <v>0.24321656019310467</v>
      </c>
      <c r="R498" s="24">
        <f t="shared" si="27"/>
        <v>0.4403824762633235</v>
      </c>
      <c r="S498" s="20"/>
      <c r="T498" s="7"/>
      <c r="U498" s="7"/>
      <c r="V498" s="7"/>
      <c r="W498" s="7"/>
      <c r="X498" s="7"/>
      <c r="Y498" s="7"/>
      <c r="Z498" s="7"/>
      <c r="AA498" s="7"/>
    </row>
    <row r="499" spans="1:27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>
        <v>31497</v>
      </c>
      <c r="P499" s="1">
        <f t="shared" si="25"/>
        <v>0.21567752957344055</v>
      </c>
      <c r="Q499" s="25">
        <f t="shared" si="26"/>
        <v>0.24365620265598409</v>
      </c>
      <c r="R499" s="24">
        <f t="shared" si="27"/>
        <v>0.43889555190190777</v>
      </c>
      <c r="S499" s="20"/>
      <c r="T499" s="7"/>
      <c r="U499" s="7"/>
      <c r="V499" s="7"/>
      <c r="W499" s="7"/>
      <c r="X499" s="7"/>
      <c r="Y499" s="7"/>
      <c r="Z499" s="7"/>
      <c r="AA499" s="7"/>
    </row>
    <row r="500" spans="1:27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>
        <v>31498</v>
      </c>
      <c r="P500" s="1">
        <f t="shared" si="25"/>
        <v>0.2159213125705719</v>
      </c>
      <c r="Q500" s="25">
        <f t="shared" si="26"/>
        <v>0.24409441903117113</v>
      </c>
      <c r="R500" s="24">
        <f t="shared" si="27"/>
        <v>0.43740659005919724</v>
      </c>
      <c r="S500" s="20"/>
      <c r="T500" s="7"/>
      <c r="U500" s="7"/>
      <c r="V500" s="7"/>
      <c r="W500" s="7"/>
      <c r="X500" s="7"/>
      <c r="Y500" s="7"/>
      <c r="Z500" s="7"/>
      <c r="AA500" s="7"/>
    </row>
    <row r="501" spans="1:27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>
        <v>31499</v>
      </c>
      <c r="P501" s="1">
        <f t="shared" si="25"/>
        <v>0.2161659300327301</v>
      </c>
      <c r="Q501" s="25">
        <f t="shared" si="26"/>
        <v>0.24453100559185259</v>
      </c>
      <c r="R501" s="24">
        <f t="shared" si="27"/>
        <v>0.4359156209332582</v>
      </c>
      <c r="S501" s="20"/>
      <c r="T501" s="7"/>
      <c r="U501" s="7"/>
      <c r="V501" s="7"/>
      <c r="W501" s="7"/>
      <c r="X501" s="7"/>
      <c r="Y501" s="7"/>
      <c r="Z501" s="7"/>
      <c r="AA501" s="7"/>
    </row>
    <row r="502" spans="1:27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>
        <v>31500</v>
      </c>
      <c r="P502" s="1">
        <f t="shared" si="25"/>
        <v>0.2164103090763092</v>
      </c>
      <c r="Q502" s="25">
        <f t="shared" si="26"/>
        <v>0.24496619516867213</v>
      </c>
      <c r="R502" s="24">
        <f t="shared" si="27"/>
        <v>0.43442268182758426</v>
      </c>
      <c r="S502" s="20"/>
      <c r="T502" s="7"/>
      <c r="U502" s="7"/>
      <c r="V502" s="7"/>
      <c r="W502" s="7"/>
      <c r="X502" s="7"/>
      <c r="Y502" s="7"/>
      <c r="Z502" s="7"/>
      <c r="AA502" s="7"/>
    </row>
    <row r="503" spans="1:27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>
        <v>31501</v>
      </c>
      <c r="P503" s="1">
        <f t="shared" si="25"/>
        <v>0.21665576100349426</v>
      </c>
      <c r="Q503" s="25">
        <f t="shared" si="26"/>
        <v>0.24539984224247746</v>
      </c>
      <c r="R503" s="24">
        <f t="shared" si="27"/>
        <v>0.43292781359838273</v>
      </c>
      <c r="S503" s="20"/>
      <c r="T503" s="7"/>
      <c r="U503" s="7"/>
      <c r="V503" s="7"/>
      <c r="W503" s="7"/>
      <c r="X503" s="7"/>
      <c r="Y503" s="7"/>
      <c r="Z503" s="7"/>
      <c r="AA503" s="7"/>
    </row>
    <row r="504" spans="1:27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>
        <v>31502</v>
      </c>
      <c r="P504" s="1">
        <f t="shared" si="25"/>
        <v>0.21690133213996887</v>
      </c>
      <c r="Q504" s="25">
        <f t="shared" si="26"/>
        <v>0.24583203412475996</v>
      </c>
      <c r="R504" s="24">
        <f t="shared" si="27"/>
        <v>0.43143104466736304</v>
      </c>
      <c r="S504" s="20"/>
      <c r="T504" s="7"/>
      <c r="U504" s="7"/>
      <c r="V504" s="7"/>
      <c r="W504" s="7"/>
      <c r="X504" s="7"/>
      <c r="Y504" s="7"/>
      <c r="Z504" s="7"/>
      <c r="AA504" s="7"/>
    </row>
    <row r="505" spans="1:27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>
        <v>31503</v>
      </c>
      <c r="P505" s="1">
        <f t="shared" si="25"/>
        <v>0.21714714169502258</v>
      </c>
      <c r="Q505" s="25">
        <f t="shared" si="26"/>
        <v>0.24626277081551962</v>
      </c>
      <c r="R505" s="24">
        <f t="shared" si="27"/>
        <v>0.42993242121980302</v>
      </c>
      <c r="S505" s="20"/>
      <c r="T505" s="7"/>
      <c r="U505" s="7"/>
      <c r="V505" s="7"/>
      <c r="W505" s="7"/>
      <c r="X505" s="7"/>
      <c r="Y505" s="7"/>
      <c r="Z505" s="7"/>
      <c r="AA505" s="7"/>
    </row>
    <row r="506" spans="1:27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>
        <v>31504</v>
      </c>
      <c r="P506" s="1">
        <f t="shared" si="25"/>
        <v>0.21739378571510315</v>
      </c>
      <c r="Q506" s="25">
        <f t="shared" si="26"/>
        <v>0.24669196500326507</v>
      </c>
      <c r="R506" s="24">
        <f t="shared" si="27"/>
        <v>0.42843197523012577</v>
      </c>
      <c r="S506" s="20"/>
      <c r="T506" s="7"/>
      <c r="U506" s="7"/>
      <c r="V506" s="7"/>
      <c r="W506" s="7"/>
      <c r="X506" s="7"/>
      <c r="Y506" s="7"/>
      <c r="Z506" s="7"/>
      <c r="AA506" s="7"/>
    </row>
    <row r="507" spans="1:27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>
        <v>31505</v>
      </c>
      <c r="P507" s="1">
        <f t="shared" si="25"/>
        <v>0.21764078736305237</v>
      </c>
      <c r="Q507" s="25">
        <f t="shared" si="26"/>
        <v>0.24711958758416586</v>
      </c>
      <c r="R507" s="24">
        <f t="shared" si="27"/>
        <v>0.42692973156732705</v>
      </c>
      <c r="S507" s="20"/>
      <c r="T507" s="7"/>
      <c r="U507" s="7"/>
      <c r="V507" s="7"/>
      <c r="W507" s="7"/>
      <c r="X507" s="7"/>
      <c r="Y507" s="7"/>
      <c r="Z507" s="7"/>
      <c r="AA507" s="7"/>
    </row>
    <row r="508" spans="1:27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>
        <v>31506</v>
      </c>
      <c r="P508" s="1">
        <f t="shared" si="25"/>
        <v>0.21788826584815979</v>
      </c>
      <c r="Q508" s="25">
        <f t="shared" si="26"/>
        <v>0.24754575497354381</v>
      </c>
      <c r="R508" s="24">
        <f t="shared" si="27"/>
        <v>0.42542574352211204</v>
      </c>
      <c r="S508" s="20"/>
      <c r="T508" s="7"/>
      <c r="U508" s="7"/>
      <c r="V508" s="7"/>
      <c r="W508" s="7"/>
      <c r="X508" s="7"/>
      <c r="Y508" s="7"/>
      <c r="Z508" s="7"/>
      <c r="AA508" s="7"/>
    </row>
    <row r="509" spans="1:27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>
        <v>31507</v>
      </c>
      <c r="P509" s="1">
        <f t="shared" si="25"/>
        <v>0.21813586354255676</v>
      </c>
      <c r="Q509" s="25">
        <f t="shared" si="26"/>
        <v>0.24797040896373801</v>
      </c>
      <c r="R509" s="24">
        <f t="shared" si="27"/>
        <v>0.42392003596347649</v>
      </c>
      <c r="S509" s="20"/>
      <c r="T509" s="7"/>
      <c r="U509" s="7"/>
      <c r="V509" s="7"/>
      <c r="W509" s="7"/>
      <c r="X509" s="7"/>
      <c r="Y509" s="7"/>
      <c r="Z509" s="7"/>
      <c r="AA509" s="7"/>
    </row>
    <row r="510" spans="1:27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>
        <v>31508</v>
      </c>
      <c r="P510" s="1">
        <f t="shared" si="25"/>
        <v>0.21838429570198059</v>
      </c>
      <c r="Q510" s="25">
        <f t="shared" si="26"/>
        <v>0.24839360776240937</v>
      </c>
      <c r="R510" s="24">
        <f t="shared" si="27"/>
        <v>0.42241264619491403</v>
      </c>
      <c r="S510" s="20"/>
      <c r="T510" s="7"/>
      <c r="U510" s="7"/>
      <c r="V510" s="7"/>
      <c r="W510" s="7"/>
      <c r="X510" s="7"/>
      <c r="Y510" s="7"/>
      <c r="Z510" s="7"/>
      <c r="AA510" s="7"/>
    </row>
    <row r="511" spans="1:27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>
        <v>31509</v>
      </c>
      <c r="P511" s="1">
        <f t="shared" si="25"/>
        <v>0.21863272786140442</v>
      </c>
      <c r="Q511" s="25">
        <f t="shared" si="26"/>
        <v>0.24881529316189699</v>
      </c>
      <c r="R511" s="24">
        <f t="shared" si="27"/>
        <v>0.42090361507263196</v>
      </c>
      <c r="S511" s="20"/>
      <c r="T511" s="7"/>
      <c r="U511" s="7"/>
      <c r="V511" s="7"/>
      <c r="W511" s="7"/>
      <c r="X511" s="7"/>
      <c r="Y511" s="7"/>
      <c r="Z511" s="7"/>
      <c r="AA511" s="7"/>
    </row>
    <row r="512" spans="1:27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>
        <v>31510</v>
      </c>
      <c r="P512" s="1">
        <f t="shared" si="25"/>
        <v>0.2188822329044342</v>
      </c>
      <c r="Q512" s="25">
        <f t="shared" si="26"/>
        <v>0.24923549426603131</v>
      </c>
      <c r="R512" s="24">
        <f t="shared" si="27"/>
        <v>0.41939297279469656</v>
      </c>
      <c r="S512" s="20"/>
      <c r="T512" s="7"/>
      <c r="U512" s="7"/>
      <c r="V512" s="7"/>
      <c r="W512" s="7"/>
      <c r="X512" s="7"/>
      <c r="Y512" s="7"/>
      <c r="Z512" s="7"/>
      <c r="AA512" s="7"/>
    </row>
    <row r="513" spans="1:27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>
        <v>31511</v>
      </c>
      <c r="P513" s="1">
        <f t="shared" si="25"/>
        <v>0.21913114190101624</v>
      </c>
      <c r="Q513" s="25">
        <f t="shared" si="26"/>
        <v>0.24965406555566005</v>
      </c>
      <c r="R513" s="24">
        <f t="shared" si="27"/>
        <v>0.41788074955917409</v>
      </c>
      <c r="S513" s="20"/>
      <c r="T513" s="7"/>
      <c r="U513" s="7"/>
      <c r="V513" s="7"/>
      <c r="W513" s="7"/>
      <c r="X513" s="7"/>
      <c r="Y513" s="7"/>
      <c r="Z513" s="7"/>
      <c r="AA513" s="7"/>
    </row>
    <row r="514" spans="1:27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>
        <v>31512</v>
      </c>
      <c r="P514" s="1">
        <f t="shared" si="25"/>
        <v>0.21938052773475647</v>
      </c>
      <c r="Q514" s="25">
        <f t="shared" si="26"/>
        <v>0.25007123986142687</v>
      </c>
      <c r="R514" s="24">
        <f t="shared" si="27"/>
        <v>0.41636699155134238</v>
      </c>
      <c r="S514" s="20"/>
      <c r="T514" s="7"/>
      <c r="U514" s="7"/>
      <c r="V514" s="7"/>
      <c r="W514" s="7"/>
      <c r="X514" s="7"/>
      <c r="Y514" s="7"/>
      <c r="Z514" s="7"/>
      <c r="AA514" s="7"/>
    </row>
    <row r="515" spans="1:27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>
        <v>31513</v>
      </c>
      <c r="P515" s="1">
        <f t="shared" si="25"/>
        <v>0.21963098645210266</v>
      </c>
      <c r="Q515" s="25">
        <f t="shared" si="26"/>
        <v>0.25048681345651858</v>
      </c>
      <c r="R515" s="24">
        <f t="shared" si="27"/>
        <v>0.41485172541655402</v>
      </c>
      <c r="S515" s="20"/>
      <c r="T515" s="7"/>
      <c r="U515" s="7"/>
      <c r="V515" s="7"/>
      <c r="W515" s="7"/>
      <c r="X515" s="7"/>
      <c r="Y515" s="7"/>
      <c r="Z515" s="7"/>
      <c r="AA515" s="7"/>
    </row>
    <row r="516" spans="1:27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>
        <v>31514</v>
      </c>
      <c r="P516" s="1">
        <f t="shared" si="25"/>
        <v>0.21988204121589661</v>
      </c>
      <c r="Q516" s="25">
        <f t="shared" si="26"/>
        <v>0.25090084454859607</v>
      </c>
      <c r="R516" s="24">
        <f t="shared" si="27"/>
        <v>0.41333499201101631</v>
      </c>
      <c r="S516" s="20"/>
      <c r="T516" s="7"/>
      <c r="U516" s="7"/>
      <c r="V516" s="7"/>
      <c r="W516" s="7"/>
      <c r="X516" s="7"/>
      <c r="Y516" s="7"/>
      <c r="Z516" s="7"/>
      <c r="AA516" s="7"/>
    </row>
    <row r="517" spans="1:27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>
        <v>31515</v>
      </c>
      <c r="P517" s="1">
        <f t="shared" si="25"/>
        <v>0.22013333439826965</v>
      </c>
      <c r="Q517" s="25">
        <f t="shared" si="26"/>
        <v>0.25131344955298118</v>
      </c>
      <c r="R517" s="24">
        <f t="shared" si="27"/>
        <v>0.41181681620372501</v>
      </c>
      <c r="S517" s="20"/>
      <c r="T517" s="7"/>
      <c r="U517" s="7"/>
      <c r="V517" s="7"/>
      <c r="W517" s="7"/>
      <c r="X517" s="7"/>
      <c r="Y517" s="7"/>
      <c r="Z517" s="7"/>
      <c r="AA517" s="7"/>
    </row>
    <row r="518" spans="1:27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>
        <v>31516</v>
      </c>
      <c r="P518" s="1">
        <f t="shared" si="25"/>
        <v>0.22038498520851135</v>
      </c>
      <c r="Q518" s="25">
        <f t="shared" si="26"/>
        <v>0.251724570262013</v>
      </c>
      <c r="R518" s="24">
        <f t="shared" si="27"/>
        <v>0.41029724773267162</v>
      </c>
      <c r="S518" s="20"/>
      <c r="T518" s="7"/>
      <c r="U518" s="7"/>
      <c r="V518" s="7"/>
      <c r="W518" s="7"/>
      <c r="X518" s="7"/>
      <c r="Y518" s="7"/>
      <c r="Z518" s="7"/>
      <c r="AA518" s="7"/>
    </row>
    <row r="519" spans="1:27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>
        <v>31517</v>
      </c>
      <c r="P519" s="1">
        <f t="shared" si="25"/>
        <v>0.2206362783908844</v>
      </c>
      <c r="Q519" s="25">
        <f t="shared" si="26"/>
        <v>0.2521340902603697</v>
      </c>
      <c r="R519" s="24">
        <f t="shared" si="27"/>
        <v>0.40877631324320873</v>
      </c>
      <c r="S519" s="20"/>
      <c r="T519" s="7"/>
      <c r="U519" s="7"/>
      <c r="V519" s="7"/>
      <c r="W519" s="7"/>
      <c r="X519" s="7"/>
      <c r="Y519" s="7"/>
      <c r="Z519" s="7"/>
      <c r="AA519" s="7"/>
    </row>
    <row r="520" spans="1:27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>
        <v>31518</v>
      </c>
      <c r="P520" s="1">
        <f t="shared" si="25"/>
        <v>0.22088876366615295</v>
      </c>
      <c r="Q520" s="25">
        <f t="shared" si="26"/>
        <v>0.2525420677557122</v>
      </c>
      <c r="R520" s="24">
        <f t="shared" si="27"/>
        <v>0.40725404293340262</v>
      </c>
      <c r="S520" s="20"/>
      <c r="T520" s="7"/>
      <c r="U520" s="7"/>
      <c r="V520" s="7"/>
      <c r="W520" s="7"/>
      <c r="X520" s="7"/>
      <c r="Y520" s="7"/>
      <c r="Z520" s="7"/>
      <c r="AA520" s="7"/>
    </row>
    <row r="521" spans="1:27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>
        <v>31519</v>
      </c>
      <c r="P521" s="1">
        <f t="shared" si="25"/>
        <v>0.22114136815071106</v>
      </c>
      <c r="Q521" s="25">
        <f t="shared" si="26"/>
        <v>0.25294859005953185</v>
      </c>
      <c r="R521" s="24">
        <f t="shared" si="27"/>
        <v>0.40573047233039006</v>
      </c>
      <c r="S521" s="20"/>
      <c r="T521" s="7"/>
      <c r="U521" s="7"/>
      <c r="V521" s="7"/>
      <c r="W521" s="7"/>
      <c r="X521" s="7"/>
      <c r="Y521" s="7"/>
      <c r="Z521" s="7"/>
      <c r="AA521" s="7"/>
    </row>
    <row r="522" spans="1:27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>
        <v>31520</v>
      </c>
      <c r="P522" s="1">
        <f t="shared" ref="P522:P585" si="28" xml:space="preserve"> -1.4681315616E-19*$O522^6 + 2.80493263066289E-14*$O522^5 - 2.23271907955907E-09*$O522^4 + 0.0000947783879077569*$O522^3 - 2.26293121558813*$O522^2 + 28813.4861268598*$O522 - 152852350.445896</f>
        <v>0.22139480710029602</v>
      </c>
      <c r="Q522" s="25">
        <f t="shared" ref="Q522:Q585" si="29" xml:space="preserve"> (6*-1.4681315616E-19*$O522^5 + 5*2.80493263066289E-14*$O522^4 - 4*2.23271907955907E-09*$O522^3 + 3*0.0000947783879077569*$O522^2 - 2*2.26293121558813*$O522^1 + 28813.4861268598)*1000</f>
        <v>0.25335351165267639</v>
      </c>
      <c r="R522" s="24">
        <f t="shared" ref="R522:R585" si="30" xml:space="preserve"> (5*6*-1.4681315616E-19*$O522^4 + 4*5*2.80493263066289E-14*$O522^3 - 3*4*2.23271907955907E-09*$O522^2 + 2*3*0.0000947783879077569*$O522^1 - 2*2.26293121558813)*1000*1000</f>
        <v>0.40420564229037836</v>
      </c>
      <c r="S522" s="20"/>
      <c r="T522" s="7"/>
      <c r="U522" s="7"/>
      <c r="V522" s="7"/>
      <c r="W522" s="7"/>
      <c r="X522" s="7"/>
      <c r="Y522" s="7"/>
      <c r="Z522" s="7"/>
      <c r="AA522" s="7"/>
    </row>
    <row r="523" spans="1:27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>
        <v>31521</v>
      </c>
      <c r="P523" s="1">
        <f t="shared" si="28"/>
        <v>0.22164848446846008</v>
      </c>
      <c r="Q523" s="25">
        <f t="shared" si="29"/>
        <v>0.25375700715812854</v>
      </c>
      <c r="R523" s="24">
        <f t="shared" si="30"/>
        <v>0.40267958123507697</v>
      </c>
      <c r="S523" s="20"/>
      <c r="T523" s="7"/>
      <c r="U523" s="7"/>
      <c r="V523" s="7"/>
      <c r="W523" s="7"/>
      <c r="X523" s="7"/>
      <c r="Y523" s="7"/>
      <c r="Z523" s="7"/>
      <c r="AA523" s="7"/>
    </row>
    <row r="524" spans="1:27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>
        <v>31522</v>
      </c>
      <c r="P524" s="1">
        <f t="shared" si="28"/>
        <v>0.2219025194644928</v>
      </c>
      <c r="Q524" s="25">
        <f t="shared" si="29"/>
        <v>0.25415890195290558</v>
      </c>
      <c r="R524" s="24">
        <f t="shared" si="30"/>
        <v>0.40115232824433633</v>
      </c>
      <c r="S524" s="20"/>
      <c r="T524" s="7"/>
      <c r="U524" s="7"/>
      <c r="V524" s="7"/>
      <c r="W524" s="7"/>
      <c r="X524" s="7"/>
      <c r="Y524" s="7"/>
      <c r="Z524" s="7"/>
      <c r="AA524" s="7"/>
    </row>
    <row r="525" spans="1:27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>
        <v>31523</v>
      </c>
      <c r="P525" s="1">
        <f t="shared" si="28"/>
        <v>0.22215643525123596</v>
      </c>
      <c r="Q525" s="25">
        <f t="shared" si="29"/>
        <v>0.25455931245232932</v>
      </c>
      <c r="R525" s="24">
        <f t="shared" si="30"/>
        <v>0.39962391173986589</v>
      </c>
      <c r="S525" s="20"/>
      <c r="T525" s="7"/>
      <c r="U525" s="7"/>
      <c r="V525" s="7"/>
      <c r="W525" s="7"/>
      <c r="X525" s="7"/>
      <c r="Y525" s="7"/>
      <c r="Z525" s="7"/>
      <c r="AA525" s="7"/>
    </row>
    <row r="526" spans="1:27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>
        <v>31524</v>
      </c>
      <c r="P526" s="1">
        <f t="shared" si="28"/>
        <v>0.22241178154945374</v>
      </c>
      <c r="Q526" s="25">
        <f t="shared" si="29"/>
        <v>0.25495812224107794</v>
      </c>
      <c r="R526" s="24">
        <f t="shared" si="30"/>
        <v>0.39809436547244559</v>
      </c>
      <c r="S526" s="20"/>
      <c r="T526" s="7"/>
      <c r="U526" s="7"/>
      <c r="V526" s="7"/>
      <c r="W526" s="7"/>
      <c r="X526" s="7"/>
      <c r="Y526" s="7"/>
      <c r="Z526" s="7"/>
      <c r="AA526" s="7"/>
    </row>
    <row r="527" spans="1:27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>
        <v>31525</v>
      </c>
      <c r="P527" s="1">
        <f t="shared" si="28"/>
        <v>0.22266629338264465</v>
      </c>
      <c r="Q527" s="25">
        <f t="shared" si="29"/>
        <v>0.25535547683830373</v>
      </c>
      <c r="R527" s="24">
        <f t="shared" si="30"/>
        <v>0.39656372496921222</v>
      </c>
      <c r="S527" s="20"/>
      <c r="T527" s="7"/>
      <c r="U527" s="7"/>
      <c r="V527" s="7"/>
      <c r="W527" s="7"/>
      <c r="X527" s="7"/>
      <c r="Y527" s="7"/>
      <c r="Z527" s="7"/>
      <c r="AA527" s="7"/>
    </row>
    <row r="528" spans="1:27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>
        <v>31526</v>
      </c>
      <c r="P528" s="1">
        <f t="shared" si="28"/>
        <v>0.22292187809944153</v>
      </c>
      <c r="Q528" s="25">
        <f t="shared" si="29"/>
        <v>0.25575125982868485</v>
      </c>
      <c r="R528" s="24">
        <f t="shared" si="30"/>
        <v>0.3950320275336594</v>
      </c>
      <c r="S528" s="20"/>
      <c r="T528" s="7"/>
      <c r="U528" s="7"/>
      <c r="V528" s="7"/>
      <c r="W528" s="7"/>
      <c r="X528" s="7"/>
      <c r="Y528" s="7"/>
      <c r="Z528" s="7"/>
      <c r="AA528" s="7"/>
    </row>
    <row r="529" spans="1:27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>
        <v>31527</v>
      </c>
      <c r="P529" s="1">
        <f t="shared" si="28"/>
        <v>0.22317793965339661</v>
      </c>
      <c r="Q529" s="25">
        <f t="shared" si="29"/>
        <v>0.25614552941988222</v>
      </c>
      <c r="R529" s="24">
        <f t="shared" si="30"/>
        <v>0.39349930336385341</v>
      </c>
      <c r="S529" s="20"/>
      <c r="T529" s="7"/>
      <c r="U529" s="7"/>
      <c r="V529" s="7"/>
      <c r="W529" s="7"/>
      <c r="X529" s="7"/>
      <c r="Y529" s="7"/>
      <c r="Z529" s="7"/>
      <c r="AA529" s="7"/>
    </row>
    <row r="530" spans="1:27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>
        <v>31528</v>
      </c>
      <c r="P530" s="1">
        <f t="shared" si="28"/>
        <v>0.22343388199806213</v>
      </c>
      <c r="Q530" s="25">
        <f t="shared" si="29"/>
        <v>0.2565383147157263</v>
      </c>
      <c r="R530" s="24">
        <f t="shared" si="30"/>
        <v>0.3919655862105742</v>
      </c>
      <c r="S530" s="20"/>
      <c r="T530" s="7"/>
      <c r="U530" s="7"/>
      <c r="V530" s="7"/>
      <c r="W530" s="7"/>
      <c r="X530" s="7"/>
      <c r="Y530" s="7"/>
      <c r="Z530" s="7"/>
      <c r="AA530" s="7"/>
    </row>
    <row r="531" spans="1:27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>
        <v>31529</v>
      </c>
      <c r="P531" s="1">
        <f t="shared" si="28"/>
        <v>0.22369065880775452</v>
      </c>
      <c r="Q531" s="25">
        <f t="shared" si="29"/>
        <v>0.25692944109323435</v>
      </c>
      <c r="R531" s="24">
        <f t="shared" si="30"/>
        <v>0.39043090804824487</v>
      </c>
      <c r="S531" s="20"/>
      <c r="T531" s="7"/>
      <c r="U531" s="7"/>
      <c r="V531" s="7"/>
      <c r="W531" s="7"/>
      <c r="X531" s="7"/>
      <c r="Y531" s="7"/>
      <c r="Z531" s="7"/>
      <c r="AA531" s="7"/>
    </row>
    <row r="532" spans="1:27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>
        <v>31530</v>
      </c>
      <c r="P532" s="1">
        <f t="shared" si="28"/>
        <v>0.22394862771034241</v>
      </c>
      <c r="Q532" s="25">
        <f t="shared" si="29"/>
        <v>0.25731914138305001</v>
      </c>
      <c r="R532" s="24">
        <f t="shared" si="30"/>
        <v>0.38889530440400222</v>
      </c>
      <c r="S532" s="20"/>
      <c r="T532" s="7"/>
      <c r="U532" s="7"/>
      <c r="V532" s="7"/>
      <c r="W532" s="7"/>
      <c r="X532" s="7"/>
      <c r="Y532" s="7"/>
      <c r="Z532" s="7"/>
      <c r="AA532" s="7"/>
    </row>
    <row r="533" spans="1:27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>
        <v>31531</v>
      </c>
      <c r="P533" s="1">
        <f t="shared" si="28"/>
        <v>0.22420528531074524</v>
      </c>
      <c r="Q533" s="25">
        <f t="shared" si="29"/>
        <v>0.25770727006602101</v>
      </c>
      <c r="R533" s="24">
        <f t="shared" si="30"/>
        <v>0.38735880369955566</v>
      </c>
      <c r="S533" s="20"/>
      <c r="T533" s="7"/>
      <c r="U533" s="7"/>
      <c r="V533" s="7"/>
      <c r="W533" s="7"/>
      <c r="X533" s="7"/>
      <c r="Y533" s="7"/>
      <c r="Z533" s="7"/>
      <c r="AA533" s="7"/>
    </row>
    <row r="534" spans="1:27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>
        <v>31532</v>
      </c>
      <c r="P534" s="1">
        <f t="shared" si="28"/>
        <v>0.22446373105049133</v>
      </c>
      <c r="Q534" s="25">
        <f t="shared" si="29"/>
        <v>0.2580938562459778</v>
      </c>
      <c r="R534" s="24">
        <f t="shared" si="30"/>
        <v>0.38582144856746936</v>
      </c>
      <c r="S534" s="20"/>
      <c r="T534" s="7"/>
      <c r="U534" s="7"/>
      <c r="V534" s="7"/>
      <c r="W534" s="7"/>
      <c r="X534" s="7"/>
      <c r="Y534" s="7"/>
      <c r="Z534" s="7"/>
      <c r="AA534" s="7"/>
    </row>
    <row r="535" spans="1:27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>
        <v>31533</v>
      </c>
      <c r="P535" s="1">
        <f t="shared" si="28"/>
        <v>0.22472217679023743</v>
      </c>
      <c r="Q535" s="25">
        <f t="shared" si="29"/>
        <v>0.25847887081908993</v>
      </c>
      <c r="R535" s="24">
        <f t="shared" si="30"/>
        <v>0.38428326210038222</v>
      </c>
      <c r="S535" s="20"/>
      <c r="T535" s="7"/>
      <c r="U535" s="7"/>
      <c r="V535" s="7"/>
      <c r="W535" s="7"/>
      <c r="X535" s="7"/>
      <c r="Y535" s="7"/>
      <c r="Z535" s="7"/>
      <c r="AA535" s="7"/>
    </row>
    <row r="536" spans="1:27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>
        <v>31534</v>
      </c>
      <c r="P536" s="1">
        <f t="shared" si="28"/>
        <v>0.22498098015785217</v>
      </c>
      <c r="Q536" s="25">
        <f t="shared" si="29"/>
        <v>0.25886243020067923</v>
      </c>
      <c r="R536" s="24">
        <f t="shared" si="30"/>
        <v>0.38274427982543102</v>
      </c>
      <c r="S536" s="20"/>
      <c r="T536" s="7"/>
      <c r="U536" s="7"/>
      <c r="V536" s="7"/>
      <c r="W536" s="7"/>
      <c r="X536" s="7"/>
      <c r="Y536" s="7"/>
      <c r="Z536" s="7"/>
      <c r="AA536" s="7"/>
    </row>
    <row r="537" spans="1:27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>
        <v>31535</v>
      </c>
      <c r="P537" s="1">
        <f t="shared" si="28"/>
        <v>0.22523942589759827</v>
      </c>
      <c r="Q537" s="25">
        <f t="shared" si="29"/>
        <v>0.2592443888715934</v>
      </c>
      <c r="R537" s="24">
        <f t="shared" si="30"/>
        <v>0.38120453726975256</v>
      </c>
      <c r="S537" s="20"/>
      <c r="T537" s="7"/>
      <c r="U537" s="7"/>
      <c r="V537" s="7"/>
      <c r="W537" s="7"/>
      <c r="X537" s="7"/>
      <c r="Y537" s="7"/>
      <c r="Z537" s="7"/>
      <c r="AA537" s="7"/>
    </row>
    <row r="538" spans="1:27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>
        <v>31536</v>
      </c>
      <c r="P538" s="1">
        <f t="shared" si="28"/>
        <v>0.22549930214881897</v>
      </c>
      <c r="Q538" s="25">
        <f t="shared" si="29"/>
        <v>0.25962480503949337</v>
      </c>
      <c r="R538" s="24">
        <f t="shared" si="30"/>
        <v>0.37966406463141311</v>
      </c>
      <c r="S538" s="20"/>
      <c r="T538" s="7"/>
      <c r="U538" s="7"/>
      <c r="V538" s="7"/>
      <c r="W538" s="7"/>
      <c r="X538" s="7"/>
      <c r="Y538" s="7"/>
      <c r="Z538" s="7"/>
      <c r="AA538" s="7"/>
    </row>
    <row r="539" spans="1:27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>
        <v>31537</v>
      </c>
      <c r="P539" s="1">
        <f t="shared" si="28"/>
        <v>0.22575882077217102</v>
      </c>
      <c r="Q539" s="25">
        <f t="shared" si="29"/>
        <v>0.2600037660158705</v>
      </c>
      <c r="R539" s="24">
        <f t="shared" si="30"/>
        <v>0.37812289566119262</v>
      </c>
      <c r="S539" s="20"/>
      <c r="T539" s="7"/>
      <c r="U539" s="7"/>
      <c r="V539" s="7"/>
      <c r="W539" s="7"/>
      <c r="X539" s="7"/>
      <c r="Y539" s="7"/>
      <c r="Z539" s="7"/>
      <c r="AA539" s="7"/>
    </row>
    <row r="540" spans="1:27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>
        <v>31538</v>
      </c>
      <c r="P540" s="1">
        <f t="shared" si="28"/>
        <v>0.22601917386054993</v>
      </c>
      <c r="Q540" s="25">
        <f t="shared" si="29"/>
        <v>0.26038106807391159</v>
      </c>
      <c r="R540" s="24">
        <f t="shared" si="30"/>
        <v>0.3765810587808005</v>
      </c>
      <c r="S540" s="20"/>
      <c r="T540" s="7"/>
      <c r="U540" s="7"/>
      <c r="V540" s="7"/>
      <c r="W540" s="7"/>
      <c r="X540" s="7"/>
      <c r="Y540" s="7"/>
      <c r="Z540" s="7"/>
      <c r="AA540" s="7"/>
    </row>
    <row r="541" spans="1:27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>
        <v>31539</v>
      </c>
      <c r="P541" s="1">
        <f t="shared" si="28"/>
        <v>0.22627976536750793</v>
      </c>
      <c r="Q541" s="25">
        <f t="shared" si="29"/>
        <v>0.26075688583659939</v>
      </c>
      <c r="R541" s="24">
        <f t="shared" si="30"/>
        <v>0.37503858774101673</v>
      </c>
      <c r="S541" s="20"/>
      <c r="T541" s="7"/>
      <c r="U541" s="7"/>
      <c r="V541" s="7"/>
      <c r="W541" s="7"/>
      <c r="X541" s="7"/>
      <c r="Y541" s="7"/>
      <c r="Z541" s="7"/>
      <c r="AA541" s="7"/>
    </row>
    <row r="542" spans="1:27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>
        <v>31540</v>
      </c>
      <c r="P542" s="1">
        <f t="shared" si="28"/>
        <v>0.22654047608375549</v>
      </c>
      <c r="Q542" s="25">
        <f t="shared" si="29"/>
        <v>0.26113119020010345</v>
      </c>
      <c r="R542" s="24">
        <f t="shared" si="30"/>
        <v>0.37349551806897807</v>
      </c>
      <c r="S542" s="20"/>
      <c r="T542" s="7"/>
      <c r="U542" s="7"/>
      <c r="V542" s="7"/>
      <c r="W542" s="7"/>
      <c r="X542" s="7"/>
      <c r="Y542" s="7"/>
      <c r="Z542" s="7"/>
      <c r="AA542" s="7"/>
    </row>
    <row r="543" spans="1:27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>
        <v>31541</v>
      </c>
      <c r="P543" s="1">
        <f t="shared" si="28"/>
        <v>0.22680178284645081</v>
      </c>
      <c r="Q543" s="25">
        <f t="shared" si="29"/>
        <v>0.26150386474910192</v>
      </c>
      <c r="R543" s="24">
        <f t="shared" si="30"/>
        <v>0.37195188173910765</v>
      </c>
      <c r="S543" s="20"/>
      <c r="T543" s="7"/>
      <c r="U543" s="7"/>
      <c r="V543" s="7"/>
      <c r="W543" s="7"/>
      <c r="X543" s="7"/>
      <c r="Y543" s="7"/>
      <c r="Z543" s="7"/>
      <c r="AA543" s="7"/>
    </row>
    <row r="544" spans="1:27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>
        <v>31542</v>
      </c>
      <c r="P544" s="1">
        <f t="shared" si="28"/>
        <v>0.22706404328346252</v>
      </c>
      <c r="Q544" s="25">
        <f t="shared" si="29"/>
        <v>0.26187508410657756</v>
      </c>
      <c r="R544" s="24">
        <f t="shared" si="30"/>
        <v>0.37040770184404437</v>
      </c>
      <c r="S544" s="20"/>
      <c r="T544" s="7"/>
      <c r="U544" s="7"/>
      <c r="V544" s="7"/>
      <c r="W544" s="7"/>
      <c r="X544" s="7"/>
      <c r="Y544" s="7"/>
      <c r="Z544" s="7"/>
      <c r="AA544" s="7"/>
    </row>
    <row r="545" spans="1:27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>
        <v>31543</v>
      </c>
      <c r="P545" s="1">
        <f t="shared" si="28"/>
        <v>0.22732546925544739</v>
      </c>
      <c r="Q545" s="25">
        <f t="shared" si="29"/>
        <v>0.26224470275337808</v>
      </c>
      <c r="R545" s="24">
        <f t="shared" si="30"/>
        <v>0.36886302456906606</v>
      </c>
      <c r="S545" s="20"/>
      <c r="T545" s="7"/>
      <c r="U545" s="7"/>
      <c r="V545" s="7"/>
      <c r="W545" s="7"/>
      <c r="X545" s="7"/>
      <c r="Y545" s="7"/>
      <c r="Z545" s="7"/>
      <c r="AA545" s="7"/>
    </row>
    <row r="546" spans="1:27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>
        <v>31544</v>
      </c>
      <c r="P546" s="1">
        <f t="shared" si="28"/>
        <v>0.22758796811103821</v>
      </c>
      <c r="Q546" s="25">
        <f t="shared" si="29"/>
        <v>0.2626128371048253</v>
      </c>
      <c r="R546" s="24">
        <f t="shared" si="30"/>
        <v>0.36731786945409794</v>
      </c>
      <c r="S546" s="20"/>
      <c r="T546" s="7"/>
      <c r="U546" s="7"/>
      <c r="V546" s="7"/>
      <c r="W546" s="7"/>
      <c r="X546" s="7"/>
      <c r="Y546" s="7"/>
      <c r="Z546" s="7"/>
      <c r="AA546" s="7"/>
    </row>
    <row r="547" spans="1:27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>
        <v>31545</v>
      </c>
      <c r="P547" s="1">
        <f t="shared" si="28"/>
        <v>0.22785070538520813</v>
      </c>
      <c r="Q547" s="25">
        <f t="shared" si="29"/>
        <v>0.26297931253793649</v>
      </c>
      <c r="R547" s="24">
        <f t="shared" si="30"/>
        <v>0.36577227735534734</v>
      </c>
      <c r="S547" s="20"/>
      <c r="T547" s="7"/>
      <c r="U547" s="7"/>
      <c r="V547" s="7"/>
      <c r="W547" s="7"/>
      <c r="X547" s="7"/>
      <c r="Y547" s="7"/>
      <c r="Z547" s="7"/>
      <c r="AA547" s="7"/>
    </row>
    <row r="548" spans="1:27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>
        <v>31546</v>
      </c>
      <c r="P548" s="1">
        <f t="shared" si="28"/>
        <v>0.2281138002872467</v>
      </c>
      <c r="Q548" s="25">
        <f t="shared" si="29"/>
        <v>0.26334430367569439</v>
      </c>
      <c r="R548" s="24">
        <f t="shared" si="30"/>
        <v>0.36422626958909632</v>
      </c>
      <c r="S548" s="20"/>
      <c r="T548" s="7"/>
      <c r="U548" s="7"/>
      <c r="V548" s="7"/>
      <c r="W548" s="7"/>
      <c r="X548" s="7"/>
      <c r="Y548" s="7"/>
      <c r="Z548" s="7"/>
      <c r="AA548" s="7"/>
    </row>
    <row r="549" spans="1:27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>
        <v>31547</v>
      </c>
      <c r="P549" s="1">
        <f t="shared" si="28"/>
        <v>0.22837701439857483</v>
      </c>
      <c r="Q549" s="25">
        <f t="shared" si="29"/>
        <v>0.263707810518099</v>
      </c>
      <c r="R549" s="24">
        <f t="shared" si="30"/>
        <v>0.36267988878790902</v>
      </c>
      <c r="S549" s="20"/>
      <c r="T549" s="7"/>
      <c r="U549" s="7"/>
      <c r="V549" s="7"/>
      <c r="W549" s="7"/>
      <c r="X549" s="7"/>
      <c r="Y549" s="7"/>
      <c r="Z549" s="7"/>
      <c r="AA549" s="7"/>
    </row>
    <row r="550" spans="1:27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>
        <v>31548</v>
      </c>
      <c r="P550" s="1">
        <f t="shared" si="28"/>
        <v>0.22864142060279846</v>
      </c>
      <c r="Q550" s="25">
        <f t="shared" si="29"/>
        <v>0.26406968754599802</v>
      </c>
      <c r="R550" s="24">
        <f t="shared" si="30"/>
        <v>0.36113315449171068</v>
      </c>
      <c r="S550" s="20"/>
      <c r="T550" s="7"/>
      <c r="U550" s="7"/>
      <c r="V550" s="7"/>
      <c r="W550" s="7"/>
      <c r="X550" s="7"/>
      <c r="Y550" s="7"/>
      <c r="Z550" s="7"/>
      <c r="AA550" s="7"/>
    </row>
    <row r="551" spans="1:27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>
        <v>31549</v>
      </c>
      <c r="P551" s="1">
        <f t="shared" si="28"/>
        <v>0.22890570759773254</v>
      </c>
      <c r="Q551" s="25">
        <f t="shared" si="29"/>
        <v>0.26443008027854376</v>
      </c>
      <c r="R551" s="24">
        <f t="shared" si="30"/>
        <v>0.35958610755670861</v>
      </c>
      <c r="S551" s="20"/>
      <c r="T551" s="7"/>
      <c r="U551" s="7"/>
      <c r="V551" s="7"/>
      <c r="W551" s="7"/>
      <c r="X551" s="7"/>
      <c r="Y551" s="7"/>
      <c r="Z551" s="7"/>
      <c r="AA551" s="7"/>
    </row>
    <row r="552" spans="1:27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>
        <v>31550</v>
      </c>
      <c r="P552" s="1">
        <f t="shared" si="28"/>
        <v>0.22917011380195618</v>
      </c>
      <c r="Q552" s="25">
        <f t="shared" si="29"/>
        <v>0.26478887230041437</v>
      </c>
      <c r="R552" s="24">
        <f t="shared" si="30"/>
        <v>0.35803876929918488</v>
      </c>
      <c r="S552" s="20"/>
      <c r="T552" s="7"/>
      <c r="U552" s="7"/>
      <c r="V552" s="7"/>
      <c r="W552" s="7"/>
      <c r="X552" s="7"/>
      <c r="Y552" s="7"/>
      <c r="Z552" s="7"/>
      <c r="AA552" s="7"/>
    </row>
    <row r="553" spans="1:27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>
        <v>31551</v>
      </c>
      <c r="P553" s="1">
        <f t="shared" si="28"/>
        <v>0.22943523526191711</v>
      </c>
      <c r="Q553" s="25">
        <f t="shared" si="29"/>
        <v>0.26514615092310123</v>
      </c>
      <c r="R553" s="24">
        <f t="shared" si="30"/>
        <v>0.35649118590441731</v>
      </c>
      <c r="S553" s="20"/>
      <c r="T553" s="7"/>
      <c r="U553" s="7"/>
      <c r="V553" s="7"/>
      <c r="W553" s="7"/>
      <c r="X553" s="7"/>
      <c r="Y553" s="7"/>
      <c r="Z553" s="7"/>
      <c r="AA553" s="7"/>
    </row>
    <row r="554" spans="1:27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>
        <v>31552</v>
      </c>
      <c r="P554" s="1">
        <f t="shared" si="28"/>
        <v>0.2297007143497467</v>
      </c>
      <c r="Q554" s="25">
        <f t="shared" si="29"/>
        <v>0.26550179973128252</v>
      </c>
      <c r="R554" s="24">
        <f t="shared" si="30"/>
        <v>0.35494337335961745</v>
      </c>
      <c r="S554" s="20"/>
      <c r="T554" s="7"/>
      <c r="U554" s="7"/>
      <c r="V554" s="7"/>
      <c r="W554" s="7"/>
      <c r="X554" s="7"/>
      <c r="Y554" s="7"/>
      <c r="Z554" s="7"/>
      <c r="AA554" s="7"/>
    </row>
    <row r="555" spans="1:27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>
        <v>31553</v>
      </c>
      <c r="P555" s="1">
        <f t="shared" si="28"/>
        <v>0.22996607422828674</v>
      </c>
      <c r="Q555" s="25">
        <f t="shared" si="29"/>
        <v>0.26585605155560188</v>
      </c>
      <c r="R555" s="24">
        <f t="shared" si="30"/>
        <v>0.35339537252099262</v>
      </c>
      <c r="S555" s="20"/>
      <c r="T555" s="7"/>
      <c r="U555" s="7"/>
      <c r="V555" s="7"/>
      <c r="W555" s="7"/>
      <c r="X555" s="7"/>
      <c r="Y555" s="7"/>
      <c r="Z555" s="7"/>
      <c r="AA555" s="7"/>
    </row>
    <row r="556" spans="1:27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>
        <v>31554</v>
      </c>
      <c r="P556" s="1">
        <f t="shared" si="28"/>
        <v>0.23023238778114319</v>
      </c>
      <c r="Q556" s="25">
        <f t="shared" si="29"/>
        <v>0.26620867356541567</v>
      </c>
      <c r="R556" s="24">
        <f t="shared" si="30"/>
        <v>0.35184720648118173</v>
      </c>
      <c r="S556" s="20"/>
      <c r="T556" s="7"/>
      <c r="U556" s="7"/>
      <c r="V556" s="7"/>
      <c r="W556" s="7"/>
      <c r="X556" s="7"/>
      <c r="Y556" s="7"/>
      <c r="Z556" s="7"/>
      <c r="AA556" s="7"/>
    </row>
    <row r="557" spans="1:27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>
        <v>31555</v>
      </c>
      <c r="P557" s="1">
        <f t="shared" si="28"/>
        <v>0.23049858212471008</v>
      </c>
      <c r="Q557" s="25">
        <f t="shared" si="29"/>
        <v>0.26655969486455433</v>
      </c>
      <c r="R557" s="24">
        <f t="shared" si="30"/>
        <v>0.35029890899096472</v>
      </c>
      <c r="S557" s="20"/>
      <c r="T557" s="7"/>
      <c r="U557" s="7"/>
      <c r="V557" s="7"/>
      <c r="W557" s="7"/>
      <c r="X557" s="7"/>
      <c r="Y557" s="7"/>
      <c r="Z557" s="7"/>
      <c r="AA557" s="7"/>
    </row>
    <row r="558" spans="1:27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>
        <v>31556</v>
      </c>
      <c r="P558" s="1">
        <f t="shared" si="28"/>
        <v>0.23076513409614563</v>
      </c>
      <c r="Q558" s="25">
        <f t="shared" si="29"/>
        <v>0.2669092318683397</v>
      </c>
      <c r="R558" s="24">
        <f t="shared" si="30"/>
        <v>0.3487505120247647</v>
      </c>
      <c r="S558" s="20"/>
      <c r="T558" s="7"/>
      <c r="U558" s="7"/>
      <c r="V558" s="7"/>
      <c r="W558" s="7"/>
      <c r="X558" s="7"/>
      <c r="Y558" s="7"/>
      <c r="Z558" s="7"/>
      <c r="AA558" s="7"/>
    </row>
    <row r="559" spans="1:27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>
        <v>31557</v>
      </c>
      <c r="P559" s="1">
        <f t="shared" si="28"/>
        <v>0.23103263974189758</v>
      </c>
      <c r="Q559" s="25">
        <f t="shared" si="29"/>
        <v>0.26725725547294132</v>
      </c>
      <c r="R559" s="24">
        <f t="shared" si="30"/>
        <v>0.34720204045157743</v>
      </c>
      <c r="S559" s="20"/>
      <c r="T559" s="7"/>
      <c r="U559" s="7"/>
      <c r="V559" s="7"/>
      <c r="W559" s="7"/>
      <c r="X559" s="7"/>
      <c r="Y559" s="7"/>
      <c r="Z559" s="7"/>
      <c r="AA559" s="7"/>
    </row>
    <row r="560" spans="1:27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>
        <v>31558</v>
      </c>
      <c r="P560" s="1">
        <f t="shared" si="28"/>
        <v>0.23129978775978088</v>
      </c>
      <c r="Q560" s="25">
        <f t="shared" si="29"/>
        <v>0.26760367836686783</v>
      </c>
      <c r="R560" s="24">
        <f t="shared" si="30"/>
        <v>0.34565353335125337</v>
      </c>
      <c r="S560" s="20"/>
      <c r="T560" s="7"/>
      <c r="U560" s="7"/>
      <c r="V560" s="7"/>
      <c r="W560" s="7"/>
      <c r="X560" s="7"/>
      <c r="Y560" s="7"/>
      <c r="Z560" s="7"/>
      <c r="AA560" s="7"/>
    </row>
    <row r="561" spans="1:27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>
        <v>31559</v>
      </c>
      <c r="P561" s="1">
        <f t="shared" si="28"/>
        <v>0.23156800866127014</v>
      </c>
      <c r="Q561" s="25">
        <f t="shared" si="29"/>
        <v>0.26794855875778012</v>
      </c>
      <c r="R561" s="24">
        <f t="shared" si="30"/>
        <v>0.34410501381643144</v>
      </c>
      <c r="S561" s="20"/>
      <c r="T561" s="7"/>
      <c r="U561" s="7"/>
      <c r="V561" s="7"/>
      <c r="W561" s="7"/>
      <c r="X561" s="7"/>
      <c r="Y561" s="7"/>
      <c r="Z561" s="7"/>
      <c r="AA561" s="7"/>
    </row>
    <row r="562" spans="1:27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>
        <v>31560</v>
      </c>
      <c r="P562" s="1">
        <f t="shared" si="28"/>
        <v>0.2318359911441803</v>
      </c>
      <c r="Q562" s="25">
        <f t="shared" si="29"/>
        <v>0.26829178023035638</v>
      </c>
      <c r="R562" s="24">
        <f t="shared" si="30"/>
        <v>0.34255651559789158</v>
      </c>
      <c r="S562" s="20"/>
      <c r="T562" s="7"/>
      <c r="U562" s="7"/>
      <c r="V562" s="7"/>
      <c r="W562" s="7"/>
      <c r="X562" s="7"/>
      <c r="Y562" s="7"/>
      <c r="Z562" s="7"/>
      <c r="AA562" s="7"/>
    </row>
    <row r="563" spans="1:27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>
        <v>31561</v>
      </c>
      <c r="P563" s="1">
        <f t="shared" si="28"/>
        <v>0.23210433125495911</v>
      </c>
      <c r="Q563" s="25">
        <f t="shared" si="29"/>
        <v>0.26863360471907072</v>
      </c>
      <c r="R563" s="24">
        <f t="shared" si="30"/>
        <v>0.3410080617882727</v>
      </c>
      <c r="S563" s="20"/>
      <c r="T563" s="7"/>
      <c r="U563" s="7"/>
      <c r="V563" s="7"/>
      <c r="W563" s="7"/>
      <c r="X563" s="7"/>
      <c r="Y563" s="7"/>
      <c r="Z563" s="7"/>
      <c r="AA563" s="7"/>
    </row>
    <row r="564" spans="1:27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>
        <v>31562</v>
      </c>
      <c r="P564" s="1">
        <f t="shared" si="28"/>
        <v>0.23237302899360657</v>
      </c>
      <c r="Q564" s="25">
        <f t="shared" si="29"/>
        <v>0.26897382849710993</v>
      </c>
      <c r="R564" s="24">
        <f t="shared" si="30"/>
        <v>0.33945969324378211</v>
      </c>
      <c r="S564" s="20"/>
      <c r="T564" s="7"/>
      <c r="U564" s="7"/>
      <c r="V564" s="7"/>
      <c r="W564" s="7"/>
      <c r="X564" s="7"/>
      <c r="Y564" s="7"/>
      <c r="Z564" s="7"/>
      <c r="AA564" s="7"/>
    </row>
    <row r="565" spans="1:27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>
        <v>31563</v>
      </c>
      <c r="P565" s="1">
        <f t="shared" si="28"/>
        <v>0.23264268040657043</v>
      </c>
      <c r="Q565" s="25">
        <f t="shared" si="29"/>
        <v>0.2693125388759654</v>
      </c>
      <c r="R565" s="24">
        <f t="shared" si="30"/>
        <v>0.33791143128070189</v>
      </c>
      <c r="S565" s="20"/>
      <c r="T565" s="7"/>
      <c r="U565" s="7"/>
      <c r="V565" s="7"/>
      <c r="W565" s="7"/>
      <c r="X565" s="7"/>
      <c r="Y565" s="7"/>
      <c r="Z565" s="7"/>
      <c r="AA565" s="7"/>
    </row>
    <row r="566" spans="1:27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>
        <v>31564</v>
      </c>
      <c r="P566" s="1">
        <f t="shared" si="28"/>
        <v>0.23291197419166565</v>
      </c>
      <c r="Q566" s="25">
        <f t="shared" si="29"/>
        <v>0.2696496776479762</v>
      </c>
      <c r="R566" s="24">
        <f t="shared" si="30"/>
        <v>0.33636330787345514</v>
      </c>
      <c r="S566" s="20"/>
      <c r="T566" s="7"/>
      <c r="U566" s="7"/>
      <c r="V566" s="7"/>
      <c r="W566" s="7"/>
      <c r="X566" s="7"/>
      <c r="Y566" s="7"/>
      <c r="Z566" s="7"/>
      <c r="AA566" s="7"/>
    </row>
    <row r="567" spans="1:27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>
        <v>31565</v>
      </c>
      <c r="P567" s="1">
        <f t="shared" si="28"/>
        <v>0.23318138718605042</v>
      </c>
      <c r="Q567" s="25">
        <f t="shared" si="29"/>
        <v>0.26998524481314234</v>
      </c>
      <c r="R567" s="24">
        <f t="shared" si="30"/>
        <v>0.3348153514437513</v>
      </c>
      <c r="S567" s="20"/>
      <c r="T567" s="7"/>
      <c r="U567" s="7"/>
      <c r="V567" s="7"/>
      <c r="W567" s="7"/>
      <c r="X567" s="7"/>
      <c r="Y567" s="7"/>
      <c r="Z567" s="7"/>
      <c r="AA567" s="7"/>
    </row>
    <row r="568" spans="1:27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>
        <v>31566</v>
      </c>
      <c r="P568" s="1">
        <f t="shared" si="28"/>
        <v>0.23345175385475159</v>
      </c>
      <c r="Q568" s="25">
        <f t="shared" si="29"/>
        <v>0.27031932768295519</v>
      </c>
      <c r="R568" s="24">
        <f t="shared" si="30"/>
        <v>0.33326759041329979</v>
      </c>
      <c r="S568" s="20"/>
      <c r="T568" s="7"/>
      <c r="U568" s="7"/>
      <c r="V568" s="7"/>
      <c r="W568" s="7"/>
      <c r="X568" s="7"/>
      <c r="Y568" s="7"/>
      <c r="Z568" s="7"/>
      <c r="AA568" s="7"/>
    </row>
    <row r="569" spans="1:27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>
        <v>31567</v>
      </c>
      <c r="P569" s="1">
        <f t="shared" si="28"/>
        <v>0.23372176289558411</v>
      </c>
      <c r="Q569" s="25">
        <f t="shared" si="29"/>
        <v>0.27065180984209292</v>
      </c>
      <c r="R569" s="24">
        <f t="shared" si="30"/>
        <v>0.3317200603092374</v>
      </c>
      <c r="S569" s="20"/>
      <c r="T569" s="7"/>
      <c r="U569" s="7"/>
      <c r="V569" s="7"/>
      <c r="W569" s="7"/>
      <c r="X569" s="7"/>
      <c r="Y569" s="7"/>
      <c r="Z569" s="7"/>
      <c r="AA569" s="7"/>
    </row>
    <row r="570" spans="1:27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>
        <v>31568</v>
      </c>
      <c r="P570" s="1">
        <f t="shared" si="28"/>
        <v>0.23399284482002258</v>
      </c>
      <c r="Q570" s="25">
        <f t="shared" si="29"/>
        <v>0.27098277860204689</v>
      </c>
      <c r="R570" s="24">
        <f t="shared" si="30"/>
        <v>0.33017278600055988</v>
      </c>
      <c r="S570" s="20"/>
      <c r="T570" s="7"/>
      <c r="U570" s="7"/>
      <c r="V570" s="7"/>
      <c r="W570" s="7"/>
      <c r="X570" s="7"/>
      <c r="Y570" s="7"/>
      <c r="Z570" s="7"/>
      <c r="AA570" s="7"/>
    </row>
    <row r="571" spans="1:27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>
        <v>31569</v>
      </c>
      <c r="P571" s="1">
        <f t="shared" si="28"/>
        <v>0.23426392674446106</v>
      </c>
      <c r="Q571" s="25">
        <f t="shared" si="29"/>
        <v>0.27131214665132575</v>
      </c>
      <c r="R571" s="24">
        <f t="shared" si="30"/>
        <v>0.32862579413261983</v>
      </c>
      <c r="S571" s="20"/>
      <c r="T571" s="7"/>
      <c r="U571" s="7"/>
      <c r="V571" s="7"/>
      <c r="W571" s="7"/>
      <c r="X571" s="7"/>
      <c r="Y571" s="7"/>
      <c r="Z571" s="7"/>
      <c r="AA571" s="7"/>
    </row>
    <row r="572" spans="1:27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>
        <v>31570</v>
      </c>
      <c r="P572" s="1">
        <f t="shared" si="28"/>
        <v>0.23453608155250549</v>
      </c>
      <c r="Q572" s="25">
        <f t="shared" si="29"/>
        <v>0.2716399721975904</v>
      </c>
      <c r="R572" s="24">
        <f t="shared" si="30"/>
        <v>0.32707912556162455</v>
      </c>
      <c r="S572" s="20"/>
      <c r="T572" s="7"/>
      <c r="U572" s="7"/>
      <c r="V572" s="7"/>
      <c r="W572" s="7"/>
      <c r="X572" s="7"/>
      <c r="Y572" s="7"/>
      <c r="Z572" s="7"/>
      <c r="AA572" s="7"/>
    </row>
    <row r="573" spans="1:27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>
        <v>31571</v>
      </c>
      <c r="P573" s="1">
        <f t="shared" si="28"/>
        <v>0.23480764031410217</v>
      </c>
      <c r="Q573" s="25">
        <f t="shared" si="29"/>
        <v>0.27196637165616266</v>
      </c>
      <c r="R573" s="24">
        <f t="shared" si="30"/>
        <v>0.32553278916935824</v>
      </c>
      <c r="S573" s="20"/>
      <c r="T573" s="7"/>
      <c r="U573" s="7"/>
      <c r="V573" s="7"/>
      <c r="W573" s="7"/>
      <c r="X573" s="7"/>
      <c r="Y573" s="7"/>
      <c r="Z573" s="7"/>
      <c r="AA573" s="7"/>
    </row>
    <row r="574" spans="1:27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>
        <v>31572</v>
      </c>
      <c r="P574" s="1">
        <f t="shared" si="28"/>
        <v>0.23507943749427795</v>
      </c>
      <c r="Q574" s="25">
        <f t="shared" si="29"/>
        <v>0.27229108309256844</v>
      </c>
      <c r="R574" s="24">
        <f t="shared" si="30"/>
        <v>0.3239868258120282</v>
      </c>
      <c r="S574" s="20"/>
      <c r="T574" s="7"/>
      <c r="U574" s="7"/>
      <c r="V574" s="7"/>
      <c r="W574" s="7"/>
      <c r="X574" s="7"/>
      <c r="Y574" s="7"/>
      <c r="Z574" s="7"/>
      <c r="AA574" s="7"/>
    </row>
    <row r="575" spans="1:27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>
        <v>31573</v>
      </c>
      <c r="P575" s="1">
        <f t="shared" si="28"/>
        <v>0.23535206913948059</v>
      </c>
      <c r="Q575" s="25">
        <f t="shared" si="29"/>
        <v>0.27261428112979047</v>
      </c>
      <c r="R575" s="24">
        <f t="shared" si="30"/>
        <v>0.32244126391134387</v>
      </c>
      <c r="S575" s="20"/>
      <c r="T575" s="7"/>
      <c r="U575" s="7"/>
      <c r="V575" s="7"/>
      <c r="W575" s="7"/>
      <c r="X575" s="7"/>
      <c r="Y575" s="7"/>
      <c r="Z575" s="7"/>
      <c r="AA575" s="7"/>
    </row>
    <row r="576" spans="1:27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>
        <v>31574</v>
      </c>
      <c r="P576" s="1">
        <f t="shared" si="28"/>
        <v>0.23562505841255188</v>
      </c>
      <c r="Q576" s="25">
        <f t="shared" si="29"/>
        <v>0.27293593666399829</v>
      </c>
      <c r="R576" s="24">
        <f t="shared" si="30"/>
        <v>0.32089613544172835</v>
      </c>
      <c r="S576" s="20"/>
      <c r="T576" s="7"/>
      <c r="U576" s="7"/>
      <c r="V576" s="7"/>
      <c r="W576" s="7"/>
      <c r="X576" s="7"/>
      <c r="Y576" s="7"/>
      <c r="Z576" s="7"/>
      <c r="AA576" s="7"/>
    </row>
    <row r="577" spans="1:27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>
        <v>31575</v>
      </c>
      <c r="P577" s="1">
        <f t="shared" si="28"/>
        <v>0.23589769005775452</v>
      </c>
      <c r="Q577" s="25">
        <f t="shared" si="29"/>
        <v>0.27325613700668328</v>
      </c>
      <c r="R577" s="24">
        <f t="shared" si="30"/>
        <v>0.31935145816675004</v>
      </c>
      <c r="S577" s="20"/>
      <c r="T577" s="7"/>
      <c r="U577" s="7"/>
      <c r="V577" s="7"/>
      <c r="W577" s="7"/>
      <c r="X577" s="7"/>
      <c r="Y577" s="7"/>
      <c r="Z577" s="7"/>
      <c r="AA577" s="7"/>
    </row>
    <row r="578" spans="1:27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>
        <v>31576</v>
      </c>
      <c r="P578" s="1">
        <f t="shared" si="28"/>
        <v>0.23617139458656311</v>
      </c>
      <c r="Q578" s="25">
        <f t="shared" si="29"/>
        <v>0.27357459111954086</v>
      </c>
      <c r="R578" s="24">
        <f t="shared" si="30"/>
        <v>0.31780726583718888</v>
      </c>
      <c r="S578" s="20"/>
      <c r="T578" s="7"/>
      <c r="U578" s="7"/>
      <c r="V578" s="7"/>
      <c r="W578" s="7"/>
      <c r="X578" s="7"/>
      <c r="Y578" s="7"/>
      <c r="Z578" s="7"/>
      <c r="AA578" s="7"/>
    </row>
    <row r="579" spans="1:27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>
        <v>31577</v>
      </c>
      <c r="P579" s="1">
        <f t="shared" si="28"/>
        <v>0.2364448606967926</v>
      </c>
      <c r="Q579" s="25">
        <f t="shared" si="29"/>
        <v>0.27389167735236697</v>
      </c>
      <c r="R579" s="24">
        <f t="shared" si="30"/>
        <v>0.31626358687475431</v>
      </c>
      <c r="S579" s="20"/>
      <c r="T579" s="7"/>
      <c r="U579" s="7"/>
      <c r="V579" s="7"/>
      <c r="W579" s="7"/>
      <c r="X579" s="7"/>
      <c r="Y579" s="7"/>
      <c r="Z579" s="7"/>
      <c r="AA579" s="7"/>
    </row>
    <row r="580" spans="1:27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>
        <v>31578</v>
      </c>
      <c r="P580" s="1">
        <f t="shared" si="28"/>
        <v>0.23671939969062805</v>
      </c>
      <c r="Q580" s="25">
        <f t="shared" si="29"/>
        <v>0.27420713377068751</v>
      </c>
      <c r="R580" s="24">
        <f t="shared" si="30"/>
        <v>0.31472045325386944</v>
      </c>
      <c r="S580" s="20"/>
      <c r="T580" s="7"/>
      <c r="U580" s="7"/>
      <c r="V580" s="7"/>
      <c r="W580" s="7"/>
      <c r="X580" s="7"/>
      <c r="Y580" s="7"/>
      <c r="Z580" s="7"/>
      <c r="AA580" s="7"/>
    </row>
    <row r="581" spans="1:27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>
        <v>31579</v>
      </c>
      <c r="P581" s="1">
        <f t="shared" si="28"/>
        <v>0.23699310421943665</v>
      </c>
      <c r="Q581" s="25">
        <f t="shared" si="29"/>
        <v>0.27452110589365475</v>
      </c>
      <c r="R581" s="24">
        <f t="shared" si="30"/>
        <v>0.31317788629081633</v>
      </c>
      <c r="S581" s="20"/>
      <c r="T581" s="7"/>
      <c r="U581" s="7"/>
      <c r="V581" s="7"/>
      <c r="W581" s="7"/>
      <c r="X581" s="7"/>
      <c r="Y581" s="7"/>
      <c r="Z581" s="7"/>
      <c r="AA581" s="7"/>
    </row>
    <row r="582" spans="1:27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>
        <v>31580</v>
      </c>
      <c r="P582" s="1">
        <f t="shared" si="28"/>
        <v>0.23726776242256165</v>
      </c>
      <c r="Q582" s="25">
        <f t="shared" si="29"/>
        <v>0.27483350640977733</v>
      </c>
      <c r="R582" s="24">
        <f t="shared" si="30"/>
        <v>0.31163591973637494</v>
      </c>
      <c r="S582" s="20"/>
      <c r="T582" s="7"/>
      <c r="U582" s="7"/>
      <c r="V582" s="7"/>
      <c r="W582" s="7"/>
      <c r="X582" s="7"/>
      <c r="Y582" s="7"/>
      <c r="Z582" s="7"/>
      <c r="AA582" s="7"/>
    </row>
    <row r="583" spans="1:27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>
        <v>31581</v>
      </c>
      <c r="P583" s="1">
        <f t="shared" si="28"/>
        <v>0.2375430166721344</v>
      </c>
      <c r="Q583" s="25">
        <f t="shared" si="29"/>
        <v>0.27514442263054661</v>
      </c>
      <c r="R583" s="24">
        <f t="shared" si="30"/>
        <v>0.31009457845954103</v>
      </c>
      <c r="S583" s="20"/>
      <c r="T583" s="7"/>
      <c r="U583" s="7"/>
      <c r="V583" s="7"/>
      <c r="W583" s="7"/>
      <c r="X583" s="7"/>
      <c r="Y583" s="7"/>
      <c r="Z583" s="7"/>
      <c r="AA583" s="7"/>
    </row>
    <row r="584" spans="1:27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>
        <v>31582</v>
      </c>
      <c r="P584" s="1">
        <f t="shared" si="28"/>
        <v>0.2378183901309967</v>
      </c>
      <c r="Q584" s="25">
        <f t="shared" si="29"/>
        <v>0.27545376724447124</v>
      </c>
      <c r="R584" s="24">
        <f t="shared" si="30"/>
        <v>0.30855389088202401</v>
      </c>
      <c r="S584" s="20"/>
      <c r="T584" s="7"/>
      <c r="U584" s="7"/>
      <c r="V584" s="7"/>
      <c r="W584" s="7"/>
      <c r="X584" s="7"/>
      <c r="Y584" s="7"/>
      <c r="Z584" s="7"/>
      <c r="AA584" s="7"/>
    </row>
    <row r="585" spans="1:27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>
        <v>31583</v>
      </c>
      <c r="P585" s="1">
        <f t="shared" si="28"/>
        <v>0.23809424042701721</v>
      </c>
      <c r="Q585" s="25">
        <f t="shared" si="29"/>
        <v>0.27576151114772074</v>
      </c>
      <c r="R585" s="24">
        <f t="shared" si="30"/>
        <v>0.30701388187281964</v>
      </c>
      <c r="S585" s="20"/>
      <c r="T585" s="7"/>
      <c r="U585" s="7"/>
      <c r="V585" s="7"/>
      <c r="W585" s="7"/>
      <c r="X585" s="7"/>
      <c r="Y585" s="7"/>
      <c r="Z585" s="7"/>
      <c r="AA585" s="7"/>
    </row>
    <row r="586" spans="1:27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>
        <v>31584</v>
      </c>
      <c r="P586" s="1">
        <f t="shared" ref="P586:P649" si="31" xml:space="preserve"> -1.4681315616E-19*$O586^6 + 2.80493263066289E-14*$O586^5 - 2.23271907955907E-09*$O586^4 + 0.0000947783879077569*$O586^3 - 2.26293121558813*$O586^2 + 28813.4861268598*$O586 - 152852350.445896</f>
        <v>0.23836997151374817</v>
      </c>
      <c r="Q586" s="25">
        <f t="shared" ref="Q586:Q649" si="32" xml:space="preserve"> (6*-1.4681315616E-19*$O586^5 + 5*2.80493263066289E-14*$O586^4 - 4*2.23271907955907E-09*$O586^3 + 3*0.0000947783879077569*$O586^2 - 2*2.26293121558813*$O586^1 + 28813.4861268598)*1000</f>
        <v>0.2760677998594474</v>
      </c>
      <c r="R586" s="24">
        <f t="shared" ref="R586:R649" si="33" xml:space="preserve"> (5*6*-1.4681315616E-19*$O586^4 + 4*5*2.80493263066289E-14*$O586^3 - 3*4*2.23271907955907E-09*$O586^2 + 2*3*0.0000947783879077569*$O586^1 - 2*2.26293121558813)*1000*1000</f>
        <v>0.30547457985363735</v>
      </c>
      <c r="S586" s="20"/>
      <c r="T586" s="7"/>
      <c r="U586" s="7"/>
      <c r="V586" s="7"/>
      <c r="W586" s="7"/>
      <c r="X586" s="7"/>
      <c r="Y586" s="7"/>
      <c r="Z586" s="7"/>
      <c r="AA586" s="7"/>
    </row>
    <row r="587" spans="1:27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>
        <v>31585</v>
      </c>
      <c r="P587" s="1">
        <f t="shared" si="31"/>
        <v>0.23864629864692688</v>
      </c>
      <c r="Q587" s="25">
        <f t="shared" si="32"/>
        <v>0.27637251696432941</v>
      </c>
      <c r="R587" s="24">
        <f t="shared" si="33"/>
        <v>0.30393601679890025</v>
      </c>
      <c r="S587" s="20"/>
      <c r="T587" s="7"/>
      <c r="U587" s="7"/>
      <c r="V587" s="7"/>
      <c r="W587" s="7"/>
      <c r="X587" s="7"/>
      <c r="Y587" s="7"/>
      <c r="Z587" s="7"/>
      <c r="AA587" s="7"/>
    </row>
    <row r="588" spans="1:27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>
        <v>31586</v>
      </c>
      <c r="P588" s="1">
        <f t="shared" si="31"/>
        <v>0.23892286419868469</v>
      </c>
      <c r="Q588" s="25">
        <f t="shared" si="32"/>
        <v>0.27667560425470583</v>
      </c>
      <c r="R588" s="24">
        <f t="shared" si="33"/>
        <v>0.3023982175776041</v>
      </c>
      <c r="S588" s="20"/>
      <c r="T588" s="7"/>
      <c r="U588" s="7"/>
      <c r="V588" s="7"/>
      <c r="W588" s="7"/>
      <c r="X588" s="7"/>
      <c r="Y588" s="7"/>
      <c r="Z588" s="7"/>
      <c r="AA588" s="7"/>
    </row>
    <row r="589" spans="1:27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>
        <v>31587</v>
      </c>
      <c r="P589" s="1">
        <f t="shared" si="31"/>
        <v>0.23919954895973206</v>
      </c>
      <c r="Q589" s="25">
        <f t="shared" si="32"/>
        <v>0.27697729456122033</v>
      </c>
      <c r="R589" s="24">
        <f t="shared" si="33"/>
        <v>0.30086120705874464</v>
      </c>
      <c r="S589" s="20"/>
      <c r="T589" s="7"/>
      <c r="U589" s="7"/>
      <c r="V589" s="7"/>
      <c r="W589" s="7"/>
      <c r="X589" s="7"/>
      <c r="Y589" s="7"/>
      <c r="Z589" s="7"/>
      <c r="AA589" s="7"/>
    </row>
    <row r="590" spans="1:27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>
        <v>31588</v>
      </c>
      <c r="P590" s="1">
        <f t="shared" si="31"/>
        <v>0.23947706818580627</v>
      </c>
      <c r="Q590" s="25">
        <f t="shared" si="32"/>
        <v>0.27727735505322926</v>
      </c>
      <c r="R590" s="24">
        <f t="shared" si="33"/>
        <v>0.29932501544038814</v>
      </c>
      <c r="S590" s="20"/>
      <c r="T590" s="7"/>
      <c r="U590" s="7"/>
      <c r="V590" s="7"/>
      <c r="W590" s="7"/>
      <c r="X590" s="7"/>
      <c r="Y590" s="7"/>
      <c r="Z590" s="7"/>
      <c r="AA590" s="7"/>
    </row>
    <row r="591" spans="1:27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>
        <v>31589</v>
      </c>
      <c r="P591" s="1">
        <f t="shared" si="31"/>
        <v>0.23975387215614319</v>
      </c>
      <c r="Q591" s="25">
        <f t="shared" si="32"/>
        <v>0.27757596035371535</v>
      </c>
      <c r="R591" s="24">
        <f t="shared" si="33"/>
        <v>0.29778966581517352</v>
      </c>
      <c r="S591" s="20"/>
      <c r="T591" s="7"/>
      <c r="U591" s="7"/>
      <c r="V591" s="7"/>
      <c r="W591" s="7"/>
      <c r="X591" s="7"/>
      <c r="Y591" s="7"/>
      <c r="Z591" s="7"/>
      <c r="AA591" s="7"/>
    </row>
    <row r="592" spans="1:27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>
        <v>31590</v>
      </c>
      <c r="P592" s="1">
        <f t="shared" si="31"/>
        <v>0.24003174901008606</v>
      </c>
      <c r="Q592" s="25">
        <f t="shared" si="32"/>
        <v>0.27787293583969586</v>
      </c>
      <c r="R592" s="24">
        <f t="shared" si="33"/>
        <v>0.29625518838116705</v>
      </c>
      <c r="S592" s="20"/>
      <c r="T592" s="7"/>
      <c r="U592" s="7"/>
      <c r="V592" s="7"/>
      <c r="W592" s="7"/>
      <c r="X592" s="7"/>
      <c r="Y592" s="7"/>
      <c r="Z592" s="7"/>
      <c r="AA592" s="7"/>
    </row>
    <row r="593" spans="1:27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>
        <v>31591</v>
      </c>
      <c r="P593" s="1">
        <f t="shared" si="31"/>
        <v>0.24030998349189758</v>
      </c>
      <c r="Q593" s="25">
        <f t="shared" si="32"/>
        <v>0.27816839792649262</v>
      </c>
      <c r="R593" s="24">
        <f t="shared" si="33"/>
        <v>0.29472160623100763</v>
      </c>
      <c r="S593" s="20"/>
      <c r="T593" s="7"/>
      <c r="U593" s="7"/>
      <c r="V593" s="7"/>
      <c r="W593" s="7"/>
      <c r="X593" s="7"/>
      <c r="Y593" s="7"/>
      <c r="Z593" s="7"/>
      <c r="AA593" s="7"/>
    </row>
    <row r="594" spans="1:27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>
        <v>31592</v>
      </c>
      <c r="P594" s="1">
        <f t="shared" si="31"/>
        <v>0.24058821797370911</v>
      </c>
      <c r="Q594" s="25">
        <f t="shared" si="32"/>
        <v>0.27846237571793608</v>
      </c>
      <c r="R594" s="24">
        <f t="shared" si="33"/>
        <v>0.29318894423369102</v>
      </c>
      <c r="S594" s="20"/>
      <c r="T594" s="7"/>
      <c r="U594" s="7"/>
      <c r="V594" s="7"/>
      <c r="W594" s="7"/>
      <c r="X594" s="7"/>
      <c r="Y594" s="7"/>
      <c r="Z594" s="7"/>
      <c r="AA594" s="7"/>
    </row>
    <row r="595" spans="1:27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>
        <v>31593</v>
      </c>
      <c r="P595" s="1">
        <f t="shared" si="31"/>
        <v>0.24086657166481018</v>
      </c>
      <c r="Q595" s="25">
        <f t="shared" si="32"/>
        <v>0.27875478190253489</v>
      </c>
      <c r="R595" s="24">
        <f t="shared" si="33"/>
        <v>0.29165723969271085</v>
      </c>
      <c r="S595" s="20"/>
      <c r="T595" s="7"/>
      <c r="U595" s="7"/>
      <c r="V595" s="7"/>
      <c r="W595" s="7"/>
      <c r="X595" s="7"/>
      <c r="Y595" s="7"/>
      <c r="Z595" s="7"/>
      <c r="AA595" s="7"/>
    </row>
    <row r="596" spans="1:27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>
        <v>31594</v>
      </c>
      <c r="P596" s="1">
        <f t="shared" si="31"/>
        <v>0.24114575982093811</v>
      </c>
      <c r="Q596" s="25">
        <f t="shared" si="32"/>
        <v>0.2790457037917804</v>
      </c>
      <c r="R596" s="24">
        <f t="shared" si="33"/>
        <v>0.29012650859527866</v>
      </c>
      <c r="S596" s="20"/>
      <c r="T596" s="7"/>
      <c r="U596" s="7"/>
      <c r="V596" s="7"/>
      <c r="W596" s="7"/>
      <c r="X596" s="7"/>
      <c r="Y596" s="7"/>
      <c r="Z596" s="7"/>
      <c r="AA596" s="7"/>
    </row>
    <row r="597" spans="1:27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>
        <v>31595</v>
      </c>
      <c r="P597" s="1">
        <f t="shared" si="31"/>
        <v>0.24142470955848694</v>
      </c>
      <c r="Q597" s="25">
        <f t="shared" si="32"/>
        <v>0.27933502497035079</v>
      </c>
      <c r="R597" s="24">
        <f t="shared" si="33"/>
        <v>0.28859678469217442</v>
      </c>
      <c r="S597" s="20"/>
      <c r="T597" s="7"/>
      <c r="U597" s="7"/>
      <c r="V597" s="7"/>
      <c r="W597" s="7"/>
      <c r="X597" s="7"/>
      <c r="Y597" s="7"/>
      <c r="Z597" s="7"/>
      <c r="AA597" s="7"/>
    </row>
    <row r="598" spans="1:27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>
        <v>31596</v>
      </c>
      <c r="P598" s="1">
        <f t="shared" si="31"/>
        <v>0.24170425534248352</v>
      </c>
      <c r="Q598" s="25">
        <f t="shared" si="32"/>
        <v>0.27962289095739834</v>
      </c>
      <c r="R598" s="24">
        <f t="shared" si="33"/>
        <v>0.28706808752332336</v>
      </c>
      <c r="S598" s="20"/>
      <c r="T598" s="7"/>
      <c r="U598" s="7"/>
      <c r="V598" s="7"/>
      <c r="W598" s="7"/>
      <c r="X598" s="7"/>
      <c r="Y598" s="7"/>
      <c r="Z598" s="7"/>
      <c r="AA598" s="7"/>
    </row>
    <row r="599" spans="1:27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>
        <v>31597</v>
      </c>
      <c r="P599" s="1">
        <f t="shared" si="31"/>
        <v>0.24198392033576965</v>
      </c>
      <c r="Q599" s="25">
        <f t="shared" si="32"/>
        <v>0.27990921444143169</v>
      </c>
      <c r="R599" s="24">
        <f t="shared" si="33"/>
        <v>0.28554044906314857</v>
      </c>
      <c r="S599" s="20"/>
      <c r="T599" s="7"/>
      <c r="U599" s="7"/>
      <c r="V599" s="7"/>
      <c r="W599" s="7"/>
      <c r="X599" s="7"/>
      <c r="Y599" s="7"/>
      <c r="Z599" s="7"/>
      <c r="AA599" s="7"/>
    </row>
    <row r="600" spans="1:27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>
        <v>31598</v>
      </c>
      <c r="P600" s="1">
        <f t="shared" si="31"/>
        <v>0.24226406216621399</v>
      </c>
      <c r="Q600" s="25">
        <f t="shared" si="32"/>
        <v>0.28019399542245083</v>
      </c>
      <c r="R600" s="24">
        <f t="shared" si="33"/>
        <v>0.28401389062793214</v>
      </c>
      <c r="S600" s="20"/>
      <c r="T600" s="7"/>
      <c r="U600" s="7"/>
      <c r="V600" s="7"/>
      <c r="W600" s="7"/>
      <c r="X600" s="7"/>
      <c r="Y600" s="7"/>
      <c r="Z600" s="7"/>
      <c r="AA600" s="7"/>
    </row>
    <row r="601" spans="1:27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>
        <v>31599</v>
      </c>
      <c r="P601" s="1">
        <f t="shared" si="31"/>
        <v>0.24254408478736877</v>
      </c>
      <c r="Q601" s="25">
        <f t="shared" si="32"/>
        <v>0.28047726300428621</v>
      </c>
      <c r="R601" s="24">
        <f t="shared" si="33"/>
        <v>0.28248843708666982</v>
      </c>
      <c r="S601" s="20"/>
      <c r="T601" s="7"/>
      <c r="U601" s="7"/>
      <c r="V601" s="7"/>
      <c r="W601" s="7"/>
      <c r="X601" s="7"/>
      <c r="Y601" s="7"/>
      <c r="Z601" s="7"/>
      <c r="AA601" s="7"/>
    </row>
    <row r="602" spans="1:27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>
        <v>31600</v>
      </c>
      <c r="P602" s="1">
        <f t="shared" si="31"/>
        <v>0.24282541871070862</v>
      </c>
      <c r="Q602" s="25">
        <f t="shared" si="32"/>
        <v>0.28075892987544648</v>
      </c>
      <c r="R602" s="24">
        <f t="shared" si="33"/>
        <v>0.28096411863742787</v>
      </c>
      <c r="S602" s="20"/>
      <c r="T602" s="7"/>
      <c r="U602" s="7"/>
      <c r="V602" s="7"/>
      <c r="W602" s="7"/>
      <c r="X602" s="7"/>
      <c r="Y602" s="7"/>
      <c r="Z602" s="7"/>
      <c r="AA602" s="7"/>
    </row>
    <row r="603" spans="1:27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>
        <v>31601</v>
      </c>
      <c r="P603" s="1">
        <f t="shared" si="31"/>
        <v>0.24310579895973206</v>
      </c>
      <c r="Q603" s="25">
        <f t="shared" si="32"/>
        <v>0.28103914155508392</v>
      </c>
      <c r="R603" s="24">
        <f t="shared" si="33"/>
        <v>0.27944096370191573</v>
      </c>
      <c r="S603" s="20"/>
      <c r="T603" s="7"/>
      <c r="U603" s="7"/>
      <c r="V603" s="7"/>
      <c r="W603" s="7"/>
      <c r="X603" s="7"/>
      <c r="Y603" s="7"/>
      <c r="Z603" s="7"/>
      <c r="AA603" s="7"/>
    </row>
    <row r="604" spans="1:27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>
        <v>31602</v>
      </c>
      <c r="P604" s="1">
        <f t="shared" si="31"/>
        <v>0.24338701367378235</v>
      </c>
      <c r="Q604" s="25">
        <f t="shared" si="32"/>
        <v>0.28131781073170714</v>
      </c>
      <c r="R604" s="24">
        <f t="shared" si="33"/>
        <v>0.27791898649098812</v>
      </c>
      <c r="S604" s="20"/>
      <c r="T604" s="7"/>
      <c r="U604" s="7"/>
      <c r="V604" s="7"/>
      <c r="W604" s="7"/>
      <c r="X604" s="7"/>
      <c r="Y604" s="7"/>
      <c r="Z604" s="7"/>
      <c r="AA604" s="7"/>
    </row>
    <row r="605" spans="1:27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>
        <v>31603</v>
      </c>
      <c r="P605" s="1">
        <f t="shared" si="31"/>
        <v>0.2436690628528595</v>
      </c>
      <c r="Q605" s="25">
        <f t="shared" si="32"/>
        <v>0.28159496650914662</v>
      </c>
      <c r="R605" s="24">
        <f t="shared" si="33"/>
        <v>0.27639822608449549</v>
      </c>
      <c r="S605" s="20"/>
      <c r="T605" s="7"/>
      <c r="U605" s="7"/>
      <c r="V605" s="7"/>
      <c r="W605" s="7"/>
      <c r="X605" s="7"/>
      <c r="Y605" s="7"/>
      <c r="Z605" s="7"/>
      <c r="AA605" s="7"/>
    </row>
    <row r="606" spans="1:27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>
        <v>31604</v>
      </c>
      <c r="P606" s="1">
        <f t="shared" si="31"/>
        <v>0.24395063519477844</v>
      </c>
      <c r="Q606" s="25">
        <f t="shared" si="32"/>
        <v>0.2818706379912328</v>
      </c>
      <c r="R606" s="24">
        <f t="shared" si="33"/>
        <v>0.27487869846964941</v>
      </c>
      <c r="S606" s="20"/>
      <c r="T606" s="7"/>
      <c r="U606" s="7"/>
      <c r="V606" s="7"/>
      <c r="W606" s="7"/>
      <c r="X606" s="7"/>
      <c r="Y606" s="7"/>
      <c r="Z606" s="7"/>
      <c r="AA606" s="7"/>
    </row>
    <row r="607" spans="1:27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>
        <v>31605</v>
      </c>
      <c r="P607" s="1">
        <f t="shared" si="31"/>
        <v>0.24423208832740784</v>
      </c>
      <c r="Q607" s="25">
        <f t="shared" si="32"/>
        <v>0.28214470876264386</v>
      </c>
      <c r="R607" s="24">
        <f t="shared" si="33"/>
        <v>0.27336042851544562</v>
      </c>
      <c r="S607" s="20"/>
      <c r="T607" s="7"/>
      <c r="U607" s="7"/>
      <c r="V607" s="7"/>
      <c r="W607" s="7"/>
      <c r="X607" s="7"/>
      <c r="Y607" s="7"/>
      <c r="Z607" s="7"/>
      <c r="AA607" s="7"/>
    </row>
    <row r="608" spans="1:27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>
        <v>31606</v>
      </c>
      <c r="P608" s="1">
        <f t="shared" si="31"/>
        <v>0.24451461434364319</v>
      </c>
      <c r="Q608" s="25">
        <f t="shared" si="32"/>
        <v>0.28241735344636254</v>
      </c>
      <c r="R608" s="24">
        <f t="shared" si="33"/>
        <v>0.27184345174902091</v>
      </c>
      <c r="S608" s="20"/>
      <c r="T608" s="7"/>
      <c r="U608" s="7"/>
      <c r="V608" s="7"/>
      <c r="W608" s="7"/>
      <c r="X608" s="7"/>
      <c r="Y608" s="7"/>
      <c r="Z608" s="7"/>
      <c r="AA608" s="7"/>
    </row>
    <row r="609" spans="1:27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>
        <v>31607</v>
      </c>
      <c r="P609" s="1">
        <f t="shared" si="31"/>
        <v>0.24479690194129944</v>
      </c>
      <c r="Q609" s="25">
        <f t="shared" si="32"/>
        <v>0.2826883974194061</v>
      </c>
      <c r="R609" s="24">
        <f t="shared" si="33"/>
        <v>0.27032778593394369</v>
      </c>
      <c r="S609" s="20"/>
      <c r="T609" s="7"/>
      <c r="U609" s="7"/>
      <c r="V609" s="7"/>
      <c r="W609" s="7"/>
      <c r="X609" s="7"/>
      <c r="Y609" s="7"/>
      <c r="Z609" s="7"/>
      <c r="AA609" s="7"/>
    </row>
    <row r="610" spans="1:27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>
        <v>31608</v>
      </c>
      <c r="P610" s="1">
        <f t="shared" si="31"/>
        <v>0.24508002400398254</v>
      </c>
      <c r="Q610" s="25">
        <f t="shared" si="32"/>
        <v>0.28295801530475728</v>
      </c>
      <c r="R610" s="24">
        <f t="shared" si="33"/>
        <v>0.26881344883378233</v>
      </c>
      <c r="S610" s="20"/>
      <c r="T610" s="7"/>
      <c r="U610" s="7"/>
      <c r="V610" s="7"/>
      <c r="W610" s="7"/>
      <c r="X610" s="7"/>
      <c r="Y610" s="7"/>
      <c r="Z610" s="7"/>
      <c r="AA610" s="7"/>
    </row>
    <row r="611" spans="1:27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>
        <v>31609</v>
      </c>
      <c r="P611" s="1">
        <f t="shared" si="31"/>
        <v>0.2453637421131134</v>
      </c>
      <c r="Q611" s="25">
        <f t="shared" si="32"/>
        <v>0.2832260615832638</v>
      </c>
      <c r="R611" s="24">
        <f t="shared" si="33"/>
        <v>0.2673004741993168</v>
      </c>
      <c r="S611" s="20"/>
      <c r="T611" s="7"/>
      <c r="U611" s="7"/>
      <c r="V611" s="7"/>
      <c r="W611" s="7"/>
      <c r="X611" s="7"/>
      <c r="Y611" s="7"/>
      <c r="Z611" s="7"/>
      <c r="AA611" s="7"/>
    </row>
    <row r="612" spans="1:27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>
        <v>31610</v>
      </c>
      <c r="P612" s="1">
        <f t="shared" si="31"/>
        <v>0.24564650654792786</v>
      </c>
      <c r="Q612" s="25">
        <f t="shared" si="32"/>
        <v>0.28349262356641702</v>
      </c>
      <c r="R612" s="24">
        <f t="shared" si="33"/>
        <v>0.26578888512318599</v>
      </c>
      <c r="S612" s="20"/>
      <c r="T612" s="7"/>
      <c r="U612" s="7"/>
      <c r="V612" s="7"/>
      <c r="W612" s="7"/>
      <c r="X612" s="7"/>
      <c r="Y612" s="7"/>
      <c r="Z612" s="7"/>
      <c r="AA612" s="7"/>
    </row>
    <row r="613" spans="1:27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>
        <v>31611</v>
      </c>
      <c r="P613" s="1">
        <f t="shared" si="31"/>
        <v>0.24592986702919006</v>
      </c>
      <c r="Q613" s="25">
        <f t="shared" si="32"/>
        <v>0.2837576721503865</v>
      </c>
      <c r="R613" s="24">
        <f t="shared" si="33"/>
        <v>0.26427871180345619</v>
      </c>
      <c r="S613" s="20"/>
      <c r="T613" s="7"/>
      <c r="U613" s="7"/>
      <c r="V613" s="7"/>
      <c r="W613" s="7"/>
      <c r="X613" s="7"/>
      <c r="Y613" s="7"/>
      <c r="Z613" s="7"/>
      <c r="AA613" s="7"/>
    </row>
    <row r="614" spans="1:27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>
        <v>31612</v>
      </c>
      <c r="P614" s="1">
        <f t="shared" si="31"/>
        <v>0.24621382355690002</v>
      </c>
      <c r="Q614" s="25">
        <f t="shared" si="32"/>
        <v>0.28402117823134176</v>
      </c>
      <c r="R614" s="24">
        <f t="shared" si="33"/>
        <v>0.26276996667462527</v>
      </c>
      <c r="S614" s="20"/>
      <c r="T614" s="7"/>
      <c r="U614" s="7"/>
      <c r="V614" s="7"/>
      <c r="W614" s="7"/>
      <c r="X614" s="7"/>
      <c r="Y614" s="7"/>
      <c r="Z614" s="7"/>
      <c r="AA614" s="7"/>
    </row>
    <row r="615" spans="1:27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>
        <v>31613</v>
      </c>
      <c r="P615" s="1">
        <f t="shared" si="31"/>
        <v>0.24649849534034729</v>
      </c>
      <c r="Q615" s="25">
        <f t="shared" si="32"/>
        <v>0.28428317091311328</v>
      </c>
      <c r="R615" s="24">
        <f t="shared" si="33"/>
        <v>0.26126267993475949</v>
      </c>
      <c r="S615" s="20"/>
      <c r="T615" s="7"/>
      <c r="U615" s="7"/>
      <c r="V615" s="7"/>
      <c r="W615" s="7"/>
      <c r="X615" s="7"/>
      <c r="Y615" s="7"/>
      <c r="Z615" s="7"/>
      <c r="AA615" s="7"/>
    </row>
    <row r="616" spans="1:27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>
        <v>31614</v>
      </c>
      <c r="P616" s="1">
        <f t="shared" si="31"/>
        <v>0.2467820942401886</v>
      </c>
      <c r="Q616" s="25">
        <f t="shared" si="32"/>
        <v>0.28454365019570105</v>
      </c>
      <c r="R616" s="24">
        <f t="shared" si="33"/>
        <v>0.25975688533463881</v>
      </c>
      <c r="S616" s="20"/>
      <c r="T616" s="7"/>
      <c r="U616" s="7"/>
      <c r="V616" s="7"/>
      <c r="W616" s="7"/>
      <c r="X616" s="7"/>
      <c r="Y616" s="7"/>
      <c r="Z616" s="7"/>
      <c r="AA616" s="7"/>
    </row>
    <row r="617" spans="1:27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>
        <v>31615</v>
      </c>
      <c r="P617" s="1">
        <f t="shared" si="31"/>
        <v>0.24706724286079407</v>
      </c>
      <c r="Q617" s="25">
        <f t="shared" si="32"/>
        <v>0.28480267428676598</v>
      </c>
      <c r="R617" s="24">
        <f t="shared" si="33"/>
        <v>0.25825258820333374</v>
      </c>
      <c r="S617" s="20"/>
      <c r="T617" s="7"/>
      <c r="U617" s="7"/>
      <c r="V617" s="7"/>
      <c r="W617" s="7"/>
      <c r="X617" s="7"/>
      <c r="Y617" s="7"/>
      <c r="Z617" s="7"/>
      <c r="AA617" s="7"/>
    </row>
    <row r="618" spans="1:27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>
        <v>31616</v>
      </c>
      <c r="P618" s="1">
        <f t="shared" si="31"/>
        <v>0.24735239148139954</v>
      </c>
      <c r="Q618" s="25">
        <f t="shared" si="32"/>
        <v>0.2850601558748167</v>
      </c>
      <c r="R618" s="24">
        <f t="shared" si="33"/>
        <v>0.25674982584433792</v>
      </c>
      <c r="S618" s="20"/>
      <c r="T618" s="7"/>
      <c r="U618" s="7"/>
      <c r="V618" s="7"/>
      <c r="W618" s="7"/>
      <c r="X618" s="7"/>
      <c r="Y618" s="7"/>
      <c r="Z618" s="7"/>
      <c r="AA618" s="7"/>
    </row>
    <row r="619" spans="1:27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>
        <v>31617</v>
      </c>
      <c r="P619" s="1">
        <f t="shared" si="31"/>
        <v>0.24763742089271545</v>
      </c>
      <c r="Q619" s="25">
        <f t="shared" si="32"/>
        <v>0.28531618227134459</v>
      </c>
      <c r="R619" s="24">
        <f t="shared" si="33"/>
        <v>0.25524862312664709</v>
      </c>
      <c r="S619" s="20"/>
      <c r="T619" s="7"/>
      <c r="U619" s="7"/>
      <c r="V619" s="7"/>
      <c r="W619" s="7"/>
      <c r="X619" s="7"/>
      <c r="Y619" s="7"/>
      <c r="Z619" s="7"/>
      <c r="AA619" s="7"/>
    </row>
    <row r="620" spans="1:27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>
        <v>31618</v>
      </c>
      <c r="P620" s="1">
        <f t="shared" si="31"/>
        <v>0.24792280793190002</v>
      </c>
      <c r="Q620" s="25">
        <f t="shared" si="32"/>
        <v>0.28557069526868872</v>
      </c>
      <c r="R620" s="24">
        <f t="shared" si="33"/>
        <v>0.25374899781382965</v>
      </c>
      <c r="S620" s="20"/>
      <c r="T620" s="7"/>
      <c r="U620" s="7"/>
      <c r="V620" s="7"/>
      <c r="W620" s="7"/>
      <c r="X620" s="7"/>
      <c r="Y620" s="7"/>
      <c r="Z620" s="7"/>
      <c r="AA620" s="7"/>
    </row>
    <row r="621" spans="1:27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>
        <v>31619</v>
      </c>
      <c r="P621" s="1">
        <f t="shared" si="31"/>
        <v>0.2482086718082428</v>
      </c>
      <c r="Q621" s="25">
        <f t="shared" si="32"/>
        <v>0.28582369486684911</v>
      </c>
      <c r="R621" s="24">
        <f t="shared" si="33"/>
        <v>0.25225097122216766</v>
      </c>
      <c r="S621" s="20"/>
      <c r="T621" s="7"/>
      <c r="U621" s="7"/>
      <c r="V621" s="7"/>
      <c r="W621" s="7"/>
      <c r="X621" s="7"/>
      <c r="Y621" s="7"/>
      <c r="Z621" s="7"/>
      <c r="AA621" s="7"/>
    </row>
    <row r="622" spans="1:27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>
        <v>31620</v>
      </c>
      <c r="P622" s="1">
        <f t="shared" si="31"/>
        <v>0.24849417805671692</v>
      </c>
      <c r="Q622" s="25">
        <f t="shared" si="32"/>
        <v>0.2860752101696562</v>
      </c>
      <c r="R622" s="24">
        <f t="shared" si="33"/>
        <v>0.25075457710244109</v>
      </c>
      <c r="S622" s="20"/>
      <c r="T622" s="7"/>
      <c r="U622" s="7"/>
      <c r="V622" s="7"/>
      <c r="W622" s="7"/>
      <c r="X622" s="7"/>
      <c r="Y622" s="7"/>
      <c r="Z622" s="7"/>
      <c r="AA622" s="7"/>
    </row>
    <row r="623" spans="1:27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>
        <v>31621</v>
      </c>
      <c r="P623" s="1">
        <f t="shared" si="31"/>
        <v>0.248780757188797</v>
      </c>
      <c r="Q623" s="25">
        <f t="shared" si="32"/>
        <v>0.28632521207327954</v>
      </c>
      <c r="R623" s="24">
        <f t="shared" si="33"/>
        <v>0.24925983144186148</v>
      </c>
      <c r="S623" s="20"/>
      <c r="T623" s="7"/>
      <c r="U623" s="7"/>
      <c r="V623" s="7"/>
      <c r="W623" s="7"/>
      <c r="X623" s="7"/>
      <c r="Y623" s="7"/>
      <c r="Z623" s="7"/>
      <c r="AA623" s="7"/>
    </row>
    <row r="624" spans="1:27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>
        <v>31622</v>
      </c>
      <c r="P624" s="1">
        <f t="shared" si="31"/>
        <v>0.24906685948371887</v>
      </c>
      <c r="Q624" s="25">
        <f t="shared" si="32"/>
        <v>0.28657370057771914</v>
      </c>
      <c r="R624" s="24">
        <f t="shared" si="33"/>
        <v>0.24776676088578142</v>
      </c>
      <c r="S624" s="20"/>
      <c r="T624" s="7"/>
      <c r="U624" s="7"/>
      <c r="V624" s="7"/>
      <c r="W624" s="7"/>
      <c r="X624" s="7"/>
      <c r="Y624" s="7"/>
      <c r="Z624" s="7"/>
      <c r="AA624" s="7"/>
    </row>
    <row r="625" spans="1:27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>
        <v>31623</v>
      </c>
      <c r="P625" s="1">
        <f t="shared" si="31"/>
        <v>0.2493540346622467</v>
      </c>
      <c r="Q625" s="25">
        <f t="shared" si="32"/>
        <v>0.28682070478680544</v>
      </c>
      <c r="R625" s="24">
        <f t="shared" si="33"/>
        <v>0.24627538852683983</v>
      </c>
      <c r="S625" s="20"/>
      <c r="T625" s="7"/>
      <c r="U625" s="7"/>
      <c r="V625" s="7"/>
      <c r="W625" s="7"/>
      <c r="X625" s="7"/>
      <c r="Y625" s="7"/>
      <c r="Z625" s="7"/>
      <c r="AA625" s="7"/>
    </row>
    <row r="626" spans="1:27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>
        <v>31624</v>
      </c>
      <c r="P626" s="1">
        <f t="shared" si="31"/>
        <v>0.24964085221290588</v>
      </c>
      <c r="Q626" s="25">
        <f t="shared" si="32"/>
        <v>0.28706634111586027</v>
      </c>
      <c r="R626" s="24">
        <f t="shared" si="33"/>
        <v>0.24478573923403246</v>
      </c>
      <c r="S626" s="20"/>
      <c r="T626" s="7"/>
      <c r="U626" s="7"/>
      <c r="V626" s="7"/>
      <c r="W626" s="7"/>
      <c r="X626" s="7"/>
      <c r="Y626" s="7"/>
      <c r="Z626" s="7"/>
      <c r="AA626" s="7"/>
    </row>
    <row r="627" spans="1:27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>
        <v>31625</v>
      </c>
      <c r="P627" s="1">
        <f t="shared" si="31"/>
        <v>0.24992766976356506</v>
      </c>
      <c r="Q627" s="25">
        <f t="shared" si="32"/>
        <v>0.28731028942274861</v>
      </c>
      <c r="R627" s="24">
        <f t="shared" si="33"/>
        <v>0.24329782721821402</v>
      </c>
      <c r="S627" s="20"/>
      <c r="T627" s="7"/>
      <c r="U627" s="7"/>
      <c r="V627" s="7"/>
      <c r="W627" s="7"/>
      <c r="X627" s="7"/>
      <c r="Y627" s="7"/>
      <c r="Z627" s="7"/>
      <c r="AA627" s="7"/>
    </row>
    <row r="628" spans="1:27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>
        <v>31626</v>
      </c>
      <c r="P628" s="1">
        <f t="shared" si="31"/>
        <v>0.2502155601978302</v>
      </c>
      <c r="Q628" s="25">
        <f t="shared" si="32"/>
        <v>0.28755289895343594</v>
      </c>
      <c r="R628" s="24">
        <f t="shared" si="33"/>
        <v>0.24181168445380763</v>
      </c>
      <c r="S628" s="20"/>
      <c r="T628" s="7"/>
      <c r="U628" s="7"/>
      <c r="V628" s="7"/>
      <c r="W628" s="7"/>
      <c r="X628" s="7"/>
      <c r="Y628" s="7"/>
      <c r="Z628" s="7"/>
      <c r="AA628" s="7"/>
    </row>
    <row r="629" spans="1:27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>
        <v>31627</v>
      </c>
      <c r="P629" s="1">
        <f t="shared" si="31"/>
        <v>0.25050261616706848</v>
      </c>
      <c r="Q629" s="25">
        <f t="shared" si="32"/>
        <v>0.28779390777344815</v>
      </c>
      <c r="R629" s="24">
        <f t="shared" si="33"/>
        <v>0.24032733580980903</v>
      </c>
      <c r="S629" s="20"/>
      <c r="T629" s="7"/>
      <c r="U629" s="7"/>
      <c r="V629" s="7"/>
      <c r="W629" s="7"/>
      <c r="X629" s="7"/>
      <c r="Y629" s="7"/>
      <c r="Z629" s="7"/>
      <c r="AA629" s="7"/>
    </row>
    <row r="630" spans="1:27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>
        <v>31628</v>
      </c>
      <c r="P630" s="1">
        <f t="shared" si="31"/>
        <v>0.25079086422920227</v>
      </c>
      <c r="Q630" s="25">
        <f t="shared" si="32"/>
        <v>0.28803351960959844</v>
      </c>
      <c r="R630" s="24">
        <f t="shared" si="33"/>
        <v>0.23884479194435926</v>
      </c>
      <c r="S630" s="20"/>
      <c r="T630" s="7"/>
      <c r="U630" s="7"/>
      <c r="V630" s="7"/>
      <c r="W630" s="7"/>
      <c r="X630" s="7"/>
      <c r="Y630" s="7"/>
      <c r="Z630" s="7"/>
      <c r="AA630" s="7"/>
    </row>
    <row r="631" spans="1:27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>
        <v>31629</v>
      </c>
      <c r="P631" s="1">
        <f t="shared" si="31"/>
        <v>0.25107970833778381</v>
      </c>
      <c r="Q631" s="25">
        <f t="shared" si="32"/>
        <v>0.28827164715039544</v>
      </c>
      <c r="R631" s="24">
        <f t="shared" si="33"/>
        <v>0.23736408483188143</v>
      </c>
      <c r="S631" s="20"/>
      <c r="T631" s="7"/>
      <c r="U631" s="7"/>
      <c r="V631" s="7"/>
      <c r="W631" s="7"/>
      <c r="X631" s="7"/>
      <c r="Y631" s="7"/>
      <c r="Z631" s="7"/>
      <c r="AA631" s="7"/>
    </row>
    <row r="632" spans="1:27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>
        <v>31630</v>
      </c>
      <c r="P632" s="1">
        <f t="shared" si="31"/>
        <v>0.2513674795627594</v>
      </c>
      <c r="Q632" s="25">
        <f t="shared" si="32"/>
        <v>0.28850820308434777</v>
      </c>
      <c r="R632" s="24">
        <f t="shared" si="33"/>
        <v>0.23588523934137129</v>
      </c>
      <c r="S632" s="20"/>
      <c r="T632" s="7"/>
      <c r="U632" s="7"/>
      <c r="V632" s="7"/>
      <c r="W632" s="7"/>
      <c r="X632" s="7"/>
      <c r="Y632" s="7"/>
      <c r="Z632" s="7"/>
      <c r="AA632" s="7"/>
    </row>
    <row r="633" spans="1:27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>
        <v>31631</v>
      </c>
      <c r="P633" s="1">
        <f t="shared" si="31"/>
        <v>0.25165596604347229</v>
      </c>
      <c r="Q633" s="25">
        <f t="shared" si="32"/>
        <v>0.28874342024209909</v>
      </c>
      <c r="R633" s="24">
        <f t="shared" si="33"/>
        <v>0.23440827323639724</v>
      </c>
      <c r="S633" s="20"/>
      <c r="T633" s="7"/>
      <c r="U633" s="7"/>
      <c r="V633" s="7"/>
      <c r="W633" s="7"/>
      <c r="X633" s="7"/>
      <c r="Y633" s="7"/>
      <c r="Z633" s="7"/>
      <c r="AA633" s="7"/>
    </row>
    <row r="634" spans="1:27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>
        <v>31632</v>
      </c>
      <c r="P634" s="1">
        <f t="shared" si="31"/>
        <v>0.25194528698921204</v>
      </c>
      <c r="Q634" s="25">
        <f t="shared" si="32"/>
        <v>0.28897703668917529</v>
      </c>
      <c r="R634" s="24">
        <f t="shared" si="33"/>
        <v>0.2329332060568845</v>
      </c>
      <c r="S634" s="20"/>
      <c r="T634" s="7"/>
      <c r="U634" s="7"/>
      <c r="V634" s="7"/>
      <c r="W634" s="7"/>
      <c r="X634" s="7"/>
      <c r="Y634" s="7"/>
      <c r="Z634" s="7"/>
      <c r="AA634" s="7"/>
    </row>
    <row r="635" spans="1:27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>
        <v>31633</v>
      </c>
      <c r="P635" s="1">
        <f t="shared" si="31"/>
        <v>0.25223425030708313</v>
      </c>
      <c r="Q635" s="25">
        <f t="shared" si="32"/>
        <v>0.28920928525622003</v>
      </c>
      <c r="R635" s="24">
        <f t="shared" si="33"/>
        <v>0.23146006800089935</v>
      </c>
      <c r="S635" s="20"/>
      <c r="T635" s="7"/>
      <c r="U635" s="7"/>
      <c r="V635" s="7"/>
      <c r="W635" s="7"/>
      <c r="X635" s="7"/>
      <c r="Y635" s="7"/>
      <c r="Z635" s="7"/>
      <c r="AA635" s="7"/>
    </row>
    <row r="636" spans="1:27" x14ac:dyDescent="0.2">
      <c r="A636" s="7"/>
      <c r="B636" s="7"/>
      <c r="C636" s="7"/>
      <c r="D636" s="7"/>
      <c r="E636" s="7"/>
      <c r="F636" s="9"/>
      <c r="G636" s="7"/>
      <c r="H636" s="7"/>
      <c r="I636" s="7"/>
      <c r="J636" s="7"/>
      <c r="K636" s="7"/>
      <c r="L636" s="7"/>
      <c r="M636" s="7"/>
      <c r="N636" s="7"/>
      <c r="O636" s="7">
        <v>31634</v>
      </c>
      <c r="P636" s="1">
        <f t="shared" si="31"/>
        <v>0.25252392888069153</v>
      </c>
      <c r="Q636" s="25">
        <f t="shared" si="32"/>
        <v>0.28944004952791147</v>
      </c>
      <c r="R636" s="24">
        <f t="shared" si="33"/>
        <v>0.22998887683201019</v>
      </c>
      <c r="S636" s="20"/>
      <c r="T636" s="7"/>
      <c r="U636" s="7"/>
      <c r="V636" s="7"/>
      <c r="W636" s="7"/>
      <c r="X636" s="7"/>
      <c r="Y636" s="7"/>
      <c r="Z636" s="7"/>
      <c r="AA636" s="7"/>
    </row>
    <row r="637" spans="1:27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>
        <v>31635</v>
      </c>
      <c r="P637" s="1">
        <f t="shared" si="31"/>
        <v>0.25281277298927307</v>
      </c>
      <c r="Q637" s="25">
        <f t="shared" si="32"/>
        <v>0.28966921308892779</v>
      </c>
      <c r="R637" s="24">
        <f t="shared" si="33"/>
        <v>0.22851965564285592</v>
      </c>
      <c r="S637" s="20"/>
      <c r="T637" s="7"/>
      <c r="U637" s="7"/>
      <c r="V637" s="7"/>
      <c r="W637" s="7"/>
      <c r="X637" s="7"/>
      <c r="Y637" s="7"/>
      <c r="Z637" s="7"/>
      <c r="AA637" s="7"/>
    </row>
    <row r="638" spans="1:27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>
        <v>31636</v>
      </c>
      <c r="P638" s="1">
        <f t="shared" si="31"/>
        <v>0.25310268998146057</v>
      </c>
      <c r="Q638" s="25">
        <f t="shared" si="32"/>
        <v>0.2898970378737431</v>
      </c>
      <c r="R638" s="24">
        <f t="shared" si="33"/>
        <v>0.2270524204206481</v>
      </c>
      <c r="S638" s="20"/>
      <c r="T638" s="7"/>
      <c r="U638" s="7"/>
      <c r="V638" s="7"/>
      <c r="W638" s="7"/>
      <c r="X638" s="7"/>
      <c r="Y638" s="7"/>
      <c r="Z638" s="7"/>
      <c r="AA638" s="7"/>
    </row>
    <row r="639" spans="1:27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>
        <v>31637</v>
      </c>
      <c r="P639" s="1">
        <f t="shared" si="31"/>
        <v>0.25339308381080627</v>
      </c>
      <c r="Q639" s="25">
        <f t="shared" si="32"/>
        <v>0.29012334925937466</v>
      </c>
      <c r="R639" s="24">
        <f t="shared" si="33"/>
        <v>0.22558720313980984</v>
      </c>
      <c r="S639" s="20"/>
      <c r="T639" s="7"/>
      <c r="U639" s="7"/>
      <c r="V639" s="7"/>
      <c r="W639" s="7"/>
      <c r="X639" s="7"/>
      <c r="Y639" s="7"/>
      <c r="Z639" s="7"/>
      <c r="AA639" s="7"/>
    </row>
    <row r="640" spans="1:27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>
        <v>31638</v>
      </c>
      <c r="P640" s="1">
        <f t="shared" si="31"/>
        <v>0.25368240475654602</v>
      </c>
      <c r="Q640" s="25">
        <f t="shared" si="32"/>
        <v>0.29034823455731384</v>
      </c>
      <c r="R640" s="24">
        <f t="shared" si="33"/>
        <v>0.2241240197875527</v>
      </c>
      <c r="S640" s="20"/>
      <c r="T640" s="7"/>
      <c r="U640" s="7"/>
      <c r="V640" s="7"/>
      <c r="W640" s="7"/>
      <c r="X640" s="7"/>
      <c r="Y640" s="7"/>
      <c r="Z640" s="7"/>
      <c r="AA640" s="7"/>
    </row>
    <row r="641" spans="1:27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>
        <v>31639</v>
      </c>
      <c r="P641" s="1">
        <f t="shared" si="31"/>
        <v>0.25397375226020813</v>
      </c>
      <c r="Q641" s="25">
        <f t="shared" si="32"/>
        <v>0.29057157735223882</v>
      </c>
      <c r="R641" s="24">
        <f t="shared" si="33"/>
        <v>0.22266289345651558</v>
      </c>
      <c r="S641" s="20"/>
      <c r="T641" s="7"/>
      <c r="U641" s="7"/>
      <c r="V641" s="7"/>
      <c r="W641" s="7"/>
      <c r="X641" s="7"/>
      <c r="Y641" s="7"/>
      <c r="Z641" s="7"/>
      <c r="AA641" s="7"/>
    </row>
    <row r="642" spans="1:27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>
        <v>31640</v>
      </c>
      <c r="P642" s="1">
        <f t="shared" si="31"/>
        <v>0.25426390767097473</v>
      </c>
      <c r="Q642" s="25">
        <f t="shared" si="32"/>
        <v>0.29079352316330187</v>
      </c>
      <c r="R642" s="24">
        <f t="shared" si="33"/>
        <v>0.22120384723933739</v>
      </c>
      <c r="S642" s="20"/>
      <c r="T642" s="7"/>
      <c r="U642" s="7"/>
      <c r="V642" s="7"/>
      <c r="W642" s="7"/>
      <c r="X642" s="7"/>
      <c r="Y642" s="7"/>
      <c r="Z642" s="7"/>
      <c r="AA642" s="7"/>
    </row>
    <row r="643" spans="1:27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>
        <v>31641</v>
      </c>
      <c r="P643" s="1">
        <f t="shared" si="31"/>
        <v>0.25455489754676819</v>
      </c>
      <c r="Q643" s="25">
        <f t="shared" si="32"/>
        <v>0.29101398467901163</v>
      </c>
      <c r="R643" s="24">
        <f t="shared" si="33"/>
        <v>0.21974689889958654</v>
      </c>
      <c r="S643" s="20"/>
      <c r="T643" s="7"/>
      <c r="U643" s="7"/>
      <c r="V643" s="7"/>
      <c r="W643" s="7"/>
      <c r="X643" s="7"/>
      <c r="Y643" s="7"/>
      <c r="Z643" s="7"/>
      <c r="AA643" s="7"/>
    </row>
    <row r="644" spans="1:27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>
        <v>31642</v>
      </c>
      <c r="P644" s="1">
        <f t="shared" si="31"/>
        <v>0.2548460066318512</v>
      </c>
      <c r="Q644" s="25">
        <f t="shared" si="32"/>
        <v>0.29123307831468992</v>
      </c>
      <c r="R644" s="24">
        <f t="shared" si="33"/>
        <v>0.21829206975354509</v>
      </c>
      <c r="S644" s="20"/>
      <c r="T644" s="7"/>
      <c r="U644" s="7"/>
      <c r="V644" s="7"/>
      <c r="W644" s="7"/>
      <c r="X644" s="7"/>
      <c r="Y644" s="7"/>
      <c r="Z644" s="7"/>
      <c r="AA644" s="7"/>
    </row>
    <row r="645" spans="1:27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>
        <v>31643</v>
      </c>
      <c r="P645" s="1">
        <f t="shared" si="31"/>
        <v>0.25513759255409241</v>
      </c>
      <c r="Q645" s="25">
        <f t="shared" si="32"/>
        <v>0.29145057123969309</v>
      </c>
      <c r="R645" s="24">
        <f t="shared" si="33"/>
        <v>0.21683938999927932</v>
      </c>
      <c r="S645" s="20"/>
      <c r="T645" s="7"/>
      <c r="U645" s="7"/>
      <c r="V645" s="7"/>
      <c r="W645" s="7"/>
      <c r="X645" s="7"/>
      <c r="Y645" s="7"/>
      <c r="Z645" s="7"/>
      <c r="AA645" s="7"/>
    </row>
    <row r="646" spans="1:27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>
        <v>31644</v>
      </c>
      <c r="P646" s="1">
        <f t="shared" si="31"/>
        <v>0.25542882084846497</v>
      </c>
      <c r="Q646" s="25">
        <f t="shared" si="32"/>
        <v>0.29166672538849525</v>
      </c>
      <c r="R646" s="24">
        <f t="shared" si="33"/>
        <v>0.2153888631895029</v>
      </c>
      <c r="S646" s="20"/>
      <c r="T646" s="7"/>
      <c r="U646" s="7"/>
      <c r="V646" s="7"/>
      <c r="W646" s="7"/>
      <c r="X646" s="7"/>
      <c r="Y646" s="7"/>
      <c r="Z646" s="7"/>
      <c r="AA646" s="7"/>
    </row>
    <row r="647" spans="1:27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>
        <v>31645</v>
      </c>
      <c r="P647" s="1">
        <f t="shared" si="31"/>
        <v>0.25572088360786438</v>
      </c>
      <c r="Q647" s="25">
        <f t="shared" si="32"/>
        <v>0.29188136613811366</v>
      </c>
      <c r="R647" s="24">
        <f t="shared" si="33"/>
        <v>0.2139405284040663</v>
      </c>
      <c r="S647" s="20"/>
      <c r="T647" s="7"/>
      <c r="U647" s="7"/>
      <c r="V647" s="7"/>
      <c r="W647" s="7"/>
      <c r="X647" s="7"/>
      <c r="Y647" s="7"/>
      <c r="Z647" s="7"/>
      <c r="AA647" s="7"/>
    </row>
    <row r="648" spans="1:27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>
        <v>31646</v>
      </c>
      <c r="P648" s="1">
        <f t="shared" si="31"/>
        <v>0.25601294636726379</v>
      </c>
      <c r="Q648" s="25">
        <f t="shared" si="32"/>
        <v>0.29209455169620924</v>
      </c>
      <c r="R648" s="24">
        <f t="shared" si="33"/>
        <v>0.21249439274839688</v>
      </c>
      <c r="S648" s="20"/>
      <c r="T648" s="7"/>
      <c r="U648" s="7"/>
      <c r="V648" s="7"/>
      <c r="W648" s="7"/>
      <c r="X648" s="7"/>
      <c r="Y648" s="7"/>
      <c r="Z648" s="7"/>
      <c r="AA648" s="7"/>
    </row>
    <row r="649" spans="1:27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>
        <v>31647</v>
      </c>
      <c r="P649" s="1">
        <f t="shared" si="31"/>
        <v>0.25630512833595276</v>
      </c>
      <c r="Q649" s="25">
        <f t="shared" si="32"/>
        <v>0.29230636937427334</v>
      </c>
      <c r="R649" s="24">
        <f t="shared" si="33"/>
        <v>0.21105048997327458</v>
      </c>
      <c r="S649" s="20"/>
      <c r="T649" s="7"/>
      <c r="U649" s="7"/>
      <c r="V649" s="7"/>
      <c r="W649" s="7"/>
      <c r="X649" s="7"/>
      <c r="Y649" s="7"/>
      <c r="Z649" s="7"/>
      <c r="AA649" s="7"/>
    </row>
    <row r="650" spans="1:27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>
        <v>31648</v>
      </c>
      <c r="P650" s="1">
        <f t="shared" ref="P650:P713" si="34" xml:space="preserve"> -1.4681315616E-19*$O650^6 + 2.80493263066289E-14*$O650^5 - 2.23271907955907E-09*$O650^4 + 0.0000947783879077569*$O650^3 - 2.26293121558813*$O650^2 + 28813.4861268598*$O650 - 152852350.445896</f>
        <v>0.25659766793251038</v>
      </c>
      <c r="Q650" s="25">
        <f t="shared" ref="Q650:Q713" si="35" xml:space="preserve"> (6*-1.4681315616E-19*$O650^5 + 5*2.80493263066289E-14*$O650^4 - 4*2.23271907955907E-09*$O650^3 + 3*0.0000947783879077569*$O650^2 - 2*2.26293121558813*$O650^1 + 28813.4861268598)*1000</f>
        <v>0.29251670275698416</v>
      </c>
      <c r="R650" s="24">
        <f t="shared" ref="R650:R713" si="36" xml:space="preserve"> (5*6*-1.4681315616E-19*$O650^4 + 4*5*2.80493263066289E-14*$O650^3 - 3*4*2.23271907955907E-09*$O650^2 + 2*3*0.0000947783879077569*$O650^1 - 2*2.26293121558813)*1000*1000</f>
        <v>0.20960883073684045</v>
      </c>
      <c r="S650" s="20"/>
      <c r="T650" s="7"/>
      <c r="U650" s="7"/>
      <c r="V650" s="7"/>
      <c r="W650" s="7"/>
      <c r="X650" s="7"/>
      <c r="Y650" s="7"/>
      <c r="Z650" s="7"/>
      <c r="AA650" s="7"/>
    </row>
    <row r="651" spans="1:27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>
        <v>31649</v>
      </c>
      <c r="P651" s="1">
        <f t="shared" si="34"/>
        <v>0.25689020752906799</v>
      </c>
      <c r="Q651" s="25">
        <f t="shared" si="35"/>
        <v>0.29272558094817214</v>
      </c>
      <c r="R651" s="24">
        <f t="shared" si="36"/>
        <v>0.20816943635537655</v>
      </c>
      <c r="S651" s="20"/>
      <c r="T651" s="7"/>
      <c r="U651" s="7"/>
      <c r="V651" s="7"/>
      <c r="W651" s="7"/>
      <c r="X651" s="7"/>
      <c r="Y651" s="7"/>
      <c r="Z651" s="7"/>
      <c r="AA651" s="7"/>
    </row>
    <row r="652" spans="1:27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>
        <v>31650</v>
      </c>
      <c r="P652" s="1">
        <f t="shared" si="34"/>
        <v>0.25718262791633606</v>
      </c>
      <c r="Q652" s="25">
        <f t="shared" si="35"/>
        <v>0.29293306215549819</v>
      </c>
      <c r="R652" s="24">
        <f t="shared" si="36"/>
        <v>0.20673233525059231</v>
      </c>
      <c r="S652" s="20"/>
      <c r="T652" s="7"/>
      <c r="U652" s="7"/>
      <c r="V652" s="7"/>
      <c r="W652" s="7"/>
      <c r="X652" s="7"/>
      <c r="Y652" s="7"/>
      <c r="Z652" s="7"/>
      <c r="AA652" s="7"/>
    </row>
    <row r="653" spans="1:27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>
        <v>31651</v>
      </c>
      <c r="P653" s="1">
        <f t="shared" si="34"/>
        <v>0.25747588276863098</v>
      </c>
      <c r="Q653" s="25">
        <f t="shared" si="35"/>
        <v>0.29313908817130141</v>
      </c>
      <c r="R653" s="24">
        <f t="shared" si="36"/>
        <v>0.20529753630427194</v>
      </c>
      <c r="S653" s="20"/>
      <c r="T653" s="7"/>
      <c r="U653" s="7"/>
      <c r="V653" s="7"/>
      <c r="W653" s="7"/>
      <c r="X653" s="7"/>
      <c r="Y653" s="7"/>
      <c r="Z653" s="7"/>
      <c r="AA653" s="7"/>
    </row>
    <row r="654" spans="1:27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>
        <v>31652</v>
      </c>
      <c r="P654" s="1">
        <f t="shared" si="34"/>
        <v>0.2577691376209259</v>
      </c>
      <c r="Q654" s="25">
        <f t="shared" si="35"/>
        <v>0.29334360078792088</v>
      </c>
      <c r="R654" s="24">
        <f t="shared" si="36"/>
        <v>0.20386507149083855</v>
      </c>
      <c r="S654" s="20"/>
      <c r="T654" s="7"/>
      <c r="U654" s="7"/>
      <c r="V654" s="7"/>
      <c r="W654" s="7"/>
      <c r="X654" s="7"/>
      <c r="Y654" s="7"/>
      <c r="Z654" s="7"/>
      <c r="AA654" s="7"/>
    </row>
    <row r="655" spans="1:27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>
        <v>31653</v>
      </c>
      <c r="P655" s="1">
        <f t="shared" si="34"/>
        <v>0.25806227326393127</v>
      </c>
      <c r="Q655" s="25">
        <f t="shared" si="35"/>
        <v>0.29354680373216979</v>
      </c>
      <c r="R655" s="24">
        <f t="shared" si="36"/>
        <v>0.20243495324478999</v>
      </c>
      <c r="S655" s="20"/>
      <c r="T655" s="7"/>
      <c r="U655" s="7"/>
      <c r="V655" s="7"/>
      <c r="W655" s="7"/>
      <c r="X655" s="7"/>
      <c r="Y655" s="7"/>
      <c r="Z655" s="7"/>
      <c r="AA655" s="7"/>
    </row>
    <row r="656" spans="1:27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>
        <v>31654</v>
      </c>
      <c r="P656" s="1">
        <f t="shared" si="34"/>
        <v>0.2583562433719635</v>
      </c>
      <c r="Q656" s="25">
        <f t="shared" si="35"/>
        <v>0.2937484641734045</v>
      </c>
      <c r="R656" s="24">
        <f t="shared" si="36"/>
        <v>0.2010072046587652</v>
      </c>
      <c r="S656" s="20"/>
      <c r="T656" s="7"/>
      <c r="U656" s="7"/>
      <c r="V656" s="7"/>
      <c r="W656" s="7"/>
      <c r="X656" s="7"/>
      <c r="Y656" s="7"/>
      <c r="Z656" s="7"/>
      <c r="AA656" s="7"/>
    </row>
    <row r="657" spans="1:27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>
        <v>31655</v>
      </c>
      <c r="P657" s="1">
        <f t="shared" si="34"/>
        <v>0.25865045189857483</v>
      </c>
      <c r="Q657" s="25">
        <f t="shared" si="35"/>
        <v>0.29394875673460774</v>
      </c>
      <c r="R657" s="24">
        <f t="shared" si="36"/>
        <v>0.19958184171997573</v>
      </c>
      <c r="S657" s="20"/>
      <c r="T657" s="7"/>
      <c r="U657" s="7"/>
      <c r="V657" s="7"/>
      <c r="W657" s="7"/>
      <c r="X657" s="7"/>
      <c r="Y657" s="7"/>
      <c r="Z657" s="7"/>
      <c r="AA657" s="7"/>
    </row>
    <row r="658" spans="1:27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>
        <v>31656</v>
      </c>
      <c r="P658" s="1">
        <f t="shared" si="34"/>
        <v>0.2589440643787384</v>
      </c>
      <c r="Q658" s="25">
        <f t="shared" si="35"/>
        <v>0.2941476232081186</v>
      </c>
      <c r="R658" s="24">
        <f t="shared" si="36"/>
        <v>0.19815889107377416</v>
      </c>
      <c r="S658" s="20"/>
      <c r="T658" s="7"/>
      <c r="U658" s="7"/>
      <c r="V658" s="7"/>
      <c r="W658" s="7"/>
      <c r="X658" s="7"/>
      <c r="Y658" s="7"/>
      <c r="Z658" s="7"/>
      <c r="AA658" s="7"/>
    </row>
    <row r="659" spans="1:27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>
        <v>31657</v>
      </c>
      <c r="P659" s="1">
        <f t="shared" si="34"/>
        <v>0.25923851132392883</v>
      </c>
      <c r="Q659" s="25">
        <f t="shared" si="35"/>
        <v>0.29434509269776754</v>
      </c>
      <c r="R659" s="24">
        <f t="shared" si="36"/>
        <v>0.19673836870737205</v>
      </c>
      <c r="S659" s="20"/>
      <c r="T659" s="7"/>
      <c r="U659" s="7"/>
      <c r="V659" s="7"/>
      <c r="W659" s="7"/>
      <c r="X659" s="7"/>
      <c r="Y659" s="7"/>
      <c r="Z659" s="7"/>
      <c r="AA659" s="7"/>
    </row>
    <row r="660" spans="1:27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>
        <v>31658</v>
      </c>
      <c r="P660" s="1">
        <f t="shared" si="34"/>
        <v>0.25953319668769836</v>
      </c>
      <c r="Q660" s="25">
        <f t="shared" si="35"/>
        <v>0.2945411360997241</v>
      </c>
      <c r="R660" s="24">
        <f t="shared" si="36"/>
        <v>0.19532029060798095</v>
      </c>
      <c r="S660" s="20"/>
      <c r="T660" s="7"/>
      <c r="U660" s="7"/>
      <c r="V660" s="7"/>
      <c r="W660" s="7"/>
      <c r="X660" s="7"/>
      <c r="Y660" s="7"/>
      <c r="Z660" s="7"/>
      <c r="AA660" s="7"/>
    </row>
    <row r="661" spans="1:27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>
        <v>31659</v>
      </c>
      <c r="P661" s="1">
        <f t="shared" si="34"/>
        <v>0.25982704758644104</v>
      </c>
      <c r="Q661" s="25">
        <f t="shared" si="35"/>
        <v>0.29473575341398828</v>
      </c>
      <c r="R661" s="24">
        <f t="shared" si="36"/>
        <v>0.19390468875002398</v>
      </c>
      <c r="S661" s="20"/>
      <c r="T661" s="7"/>
      <c r="U661" s="7"/>
      <c r="V661" s="7"/>
      <c r="W661" s="7"/>
      <c r="X661" s="7"/>
      <c r="Y661" s="7"/>
      <c r="Z661" s="7"/>
      <c r="AA661" s="7"/>
    </row>
    <row r="662" spans="1:27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>
        <v>31660</v>
      </c>
      <c r="P662" s="1">
        <f t="shared" si="34"/>
        <v>0.26012197136878967</v>
      </c>
      <c r="Q662" s="25">
        <f t="shared" si="35"/>
        <v>0.29492897374439053</v>
      </c>
      <c r="R662" s="24">
        <f t="shared" si="36"/>
        <v>0.19249156846257165</v>
      </c>
      <c r="S662" s="20"/>
      <c r="T662" s="7"/>
      <c r="U662" s="7"/>
      <c r="V662" s="7"/>
      <c r="W662" s="7"/>
      <c r="X662" s="7"/>
      <c r="Y662" s="7"/>
      <c r="Z662" s="7"/>
      <c r="AA662" s="7"/>
    </row>
    <row r="663" spans="1:27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>
        <v>31661</v>
      </c>
      <c r="P663" s="1">
        <f t="shared" si="34"/>
        <v>0.26041761040687561</v>
      </c>
      <c r="Q663" s="25">
        <f t="shared" si="35"/>
        <v>0.29512068067560904</v>
      </c>
      <c r="R663" s="24">
        <f t="shared" si="36"/>
        <v>0.19108095461461971</v>
      </c>
      <c r="S663" s="20"/>
      <c r="T663" s="7"/>
      <c r="U663" s="7"/>
      <c r="V663" s="7"/>
      <c r="W663" s="7"/>
      <c r="X663" s="7"/>
      <c r="Y663" s="7"/>
      <c r="Z663" s="7"/>
      <c r="AA663" s="7"/>
    </row>
    <row r="664" spans="1:27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>
        <v>31662</v>
      </c>
      <c r="P664" s="1">
        <f t="shared" si="34"/>
        <v>0.26071265339851379</v>
      </c>
      <c r="Q664" s="25">
        <f t="shared" si="35"/>
        <v>0.29531107793445699</v>
      </c>
      <c r="R664" s="24">
        <f t="shared" si="36"/>
        <v>0.18967286852245024</v>
      </c>
      <c r="S664" s="20"/>
      <c r="T664" s="7"/>
      <c r="U664" s="7"/>
      <c r="V664" s="7"/>
      <c r="W664" s="7"/>
      <c r="X664" s="7"/>
      <c r="Y664" s="7"/>
      <c r="Z664" s="7"/>
      <c r="AA664" s="7"/>
    </row>
    <row r="665" spans="1:27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>
        <v>31663</v>
      </c>
      <c r="P665" s="1">
        <f t="shared" si="34"/>
        <v>0.26100757718086243</v>
      </c>
      <c r="Q665" s="25">
        <f t="shared" si="35"/>
        <v>0.29550013641710393</v>
      </c>
      <c r="R665" s="24">
        <f t="shared" si="36"/>
        <v>0.1882673261732748</v>
      </c>
      <c r="S665" s="20"/>
      <c r="T665" s="7"/>
      <c r="U665" s="7"/>
      <c r="V665" s="7"/>
      <c r="W665" s="7"/>
      <c r="X665" s="7"/>
      <c r="Y665" s="7"/>
      <c r="Z665" s="7"/>
      <c r="AA665" s="7"/>
    </row>
    <row r="666" spans="1:27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>
        <v>31664</v>
      </c>
      <c r="P666" s="1">
        <f t="shared" si="34"/>
        <v>0.26130345463752747</v>
      </c>
      <c r="Q666" s="25">
        <f t="shared" si="35"/>
        <v>0.29568765239673667</v>
      </c>
      <c r="R666" s="24">
        <f t="shared" si="36"/>
        <v>0.18686434355430492</v>
      </c>
      <c r="S666" s="20"/>
      <c r="T666" s="7"/>
      <c r="U666" s="7"/>
      <c r="V666" s="7"/>
      <c r="W666" s="7"/>
      <c r="X666" s="7"/>
      <c r="Y666" s="7"/>
      <c r="Z666" s="7"/>
      <c r="AA666" s="7"/>
    </row>
    <row r="667" spans="1:27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>
        <v>31665</v>
      </c>
      <c r="P667" s="1">
        <f t="shared" si="34"/>
        <v>0.26159921288490295</v>
      </c>
      <c r="Q667" s="25">
        <f t="shared" si="35"/>
        <v>0.29587385870399885</v>
      </c>
      <c r="R667" s="24">
        <f t="shared" si="36"/>
        <v>0.18546394553453638</v>
      </c>
      <c r="S667" s="20"/>
      <c r="T667" s="7"/>
      <c r="U667" s="7"/>
      <c r="V667" s="7"/>
      <c r="W667" s="7"/>
      <c r="X667" s="7"/>
      <c r="Y667" s="7"/>
      <c r="Z667" s="7"/>
      <c r="AA667" s="7"/>
    </row>
    <row r="668" spans="1:27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>
        <v>31666</v>
      </c>
      <c r="P668" s="1">
        <f t="shared" si="34"/>
        <v>0.26189532876014709</v>
      </c>
      <c r="Q668" s="25">
        <f t="shared" si="35"/>
        <v>0.29605858071590774</v>
      </c>
      <c r="R668" s="24">
        <f t="shared" si="36"/>
        <v>0.18406614987753755</v>
      </c>
      <c r="S668" s="20"/>
      <c r="T668" s="7"/>
      <c r="U668" s="7"/>
      <c r="V668" s="7"/>
      <c r="W668" s="7"/>
      <c r="X668" s="7"/>
      <c r="Y668" s="7"/>
      <c r="Z668" s="7"/>
      <c r="AA668" s="7"/>
    </row>
    <row r="669" spans="1:27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>
        <v>31667</v>
      </c>
      <c r="P669" s="1">
        <f t="shared" si="34"/>
        <v>0.26219168305397034</v>
      </c>
      <c r="Q669" s="25">
        <f t="shared" si="35"/>
        <v>0.29624196395161562</v>
      </c>
      <c r="R669" s="24">
        <f t="shared" si="36"/>
        <v>0.18267097789959053</v>
      </c>
      <c r="S669" s="20"/>
      <c r="T669" s="7"/>
      <c r="U669" s="7"/>
      <c r="V669" s="7"/>
      <c r="W669" s="7"/>
      <c r="X669" s="7"/>
      <c r="Y669" s="7"/>
      <c r="Z669" s="7"/>
      <c r="AA669" s="7"/>
    </row>
    <row r="670" spans="1:27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>
        <v>31668</v>
      </c>
      <c r="P670" s="1">
        <f t="shared" si="34"/>
        <v>0.26248791813850403</v>
      </c>
      <c r="Q670" s="25">
        <f t="shared" si="35"/>
        <v>0.29642389199580066</v>
      </c>
      <c r="R670" s="24">
        <f t="shared" si="36"/>
        <v>0.18127844025883633</v>
      </c>
      <c r="S670" s="20"/>
      <c r="T670" s="7"/>
      <c r="U670" s="7"/>
      <c r="V670" s="7"/>
      <c r="W670" s="7"/>
      <c r="X670" s="7"/>
      <c r="Y670" s="7"/>
      <c r="Z670" s="7"/>
      <c r="AA670" s="7"/>
    </row>
    <row r="671" spans="1:27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>
        <v>31669</v>
      </c>
      <c r="P671" s="1">
        <f t="shared" si="34"/>
        <v>0.26278474926948547</v>
      </c>
      <c r="Q671" s="25">
        <f t="shared" si="35"/>
        <v>0.29660448126378469</v>
      </c>
      <c r="R671" s="24">
        <f t="shared" si="36"/>
        <v>0.17988856360062755</v>
      </c>
      <c r="S671" s="20"/>
      <c r="T671" s="7"/>
      <c r="U671" s="7"/>
      <c r="V671" s="7"/>
      <c r="W671" s="7"/>
      <c r="X671" s="7"/>
      <c r="Y671" s="7"/>
      <c r="Z671" s="7"/>
      <c r="AA671" s="7"/>
    </row>
    <row r="672" spans="1:27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>
        <v>31670</v>
      </c>
      <c r="P672" s="1">
        <f t="shared" si="34"/>
        <v>0.26308086514472961</v>
      </c>
      <c r="Q672" s="25">
        <f t="shared" si="35"/>
        <v>0.29678373175556771</v>
      </c>
      <c r="R672" s="24">
        <f t="shared" si="36"/>
        <v>0.17850136035946207</v>
      </c>
      <c r="S672" s="20"/>
      <c r="T672" s="7"/>
      <c r="U672" s="7"/>
      <c r="V672" s="7"/>
      <c r="W672" s="7"/>
      <c r="X672" s="7"/>
      <c r="Y672" s="7"/>
      <c r="Z672" s="7"/>
      <c r="AA672" s="7"/>
    </row>
    <row r="673" spans="1:27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>
        <v>31671</v>
      </c>
      <c r="P673" s="1">
        <f t="shared" si="34"/>
        <v>0.26337805390357971</v>
      </c>
      <c r="Q673" s="25">
        <f t="shared" si="35"/>
        <v>0.29696149795199744</v>
      </c>
      <c r="R673" s="24">
        <f t="shared" si="36"/>
        <v>0.17711685007526512</v>
      </c>
      <c r="S673" s="20"/>
      <c r="T673" s="7"/>
      <c r="U673" s="7"/>
      <c r="V673" s="7"/>
      <c r="W673" s="7"/>
      <c r="X673" s="7"/>
      <c r="Y673" s="7"/>
      <c r="Z673" s="7"/>
      <c r="AA673" s="7"/>
    </row>
    <row r="674" spans="1:27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>
        <v>31672</v>
      </c>
      <c r="P674" s="1">
        <f t="shared" si="34"/>
        <v>0.26367488503456116</v>
      </c>
      <c r="Q674" s="25">
        <f t="shared" si="35"/>
        <v>0.29713789626839571</v>
      </c>
      <c r="R674" s="24">
        <f t="shared" si="36"/>
        <v>0.17573505228796193</v>
      </c>
      <c r="S674" s="20"/>
      <c r="T674" s="7"/>
      <c r="U674" s="7"/>
      <c r="V674" s="7"/>
      <c r="W674" s="7"/>
      <c r="X674" s="7"/>
      <c r="Y674" s="7"/>
      <c r="Z674" s="7"/>
      <c r="AA674" s="7"/>
    </row>
    <row r="675" spans="1:27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>
        <v>31673</v>
      </c>
      <c r="P675" s="1">
        <f t="shared" si="34"/>
        <v>0.26397219300270081</v>
      </c>
      <c r="Q675" s="25">
        <f t="shared" si="35"/>
        <v>0.29731301401625387</v>
      </c>
      <c r="R675" s="24">
        <f t="shared" si="36"/>
        <v>0.17435598653747775</v>
      </c>
      <c r="S675" s="20"/>
      <c r="T675" s="7"/>
      <c r="U675" s="7"/>
      <c r="V675" s="7"/>
      <c r="W675" s="7"/>
      <c r="X675" s="7"/>
      <c r="Y675" s="7"/>
      <c r="Z675" s="7"/>
      <c r="AA675" s="7"/>
    </row>
    <row r="676" spans="1:27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>
        <v>31674</v>
      </c>
      <c r="P676" s="1">
        <f t="shared" si="34"/>
        <v>0.2642689049243927</v>
      </c>
      <c r="Q676" s="25">
        <f t="shared" si="35"/>
        <v>0.29748664746875875</v>
      </c>
      <c r="R676" s="24">
        <f t="shared" si="36"/>
        <v>0.17297966703466727</v>
      </c>
      <c r="S676" s="20"/>
      <c r="T676" s="7"/>
      <c r="U676" s="7"/>
      <c r="V676" s="7"/>
      <c r="W676" s="7"/>
      <c r="X676" s="7"/>
      <c r="Y676" s="7"/>
      <c r="Z676" s="7"/>
      <c r="AA676" s="7"/>
    </row>
    <row r="677" spans="1:27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>
        <v>31675</v>
      </c>
      <c r="P677" s="1">
        <f t="shared" si="34"/>
        <v>0.26456716656684875</v>
      </c>
      <c r="Q677" s="25">
        <f t="shared" si="35"/>
        <v>0.2976588839374017</v>
      </c>
      <c r="R677" s="24">
        <f t="shared" si="36"/>
        <v>0.17160611687216942</v>
      </c>
      <c r="S677" s="20"/>
      <c r="T677" s="7"/>
      <c r="U677" s="7"/>
      <c r="V677" s="7"/>
      <c r="W677" s="7"/>
      <c r="X677" s="7"/>
      <c r="Y677" s="7"/>
      <c r="Z677" s="7"/>
      <c r="AA677" s="7"/>
    </row>
    <row r="678" spans="1:27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>
        <v>31676</v>
      </c>
      <c r="P678" s="1">
        <f t="shared" si="34"/>
        <v>0.2648647129535675</v>
      </c>
      <c r="Q678" s="25">
        <f t="shared" si="35"/>
        <v>0.29782989804516546</v>
      </c>
      <c r="R678" s="24">
        <f t="shared" si="36"/>
        <v>0.17023535026083891</v>
      </c>
      <c r="S678" s="20"/>
      <c r="T678" s="7"/>
      <c r="U678" s="7"/>
      <c r="V678" s="7"/>
      <c r="W678" s="7"/>
      <c r="X678" s="7"/>
      <c r="Y678" s="7"/>
      <c r="Z678" s="7"/>
      <c r="AA678" s="7"/>
    </row>
    <row r="679" spans="1:27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>
        <v>31677</v>
      </c>
      <c r="P679" s="1">
        <f t="shared" si="34"/>
        <v>0.26516261696815491</v>
      </c>
      <c r="Q679" s="25">
        <f t="shared" si="35"/>
        <v>0.29799936964991502</v>
      </c>
      <c r="R679" s="24">
        <f t="shared" si="36"/>
        <v>0.16886738141153046</v>
      </c>
      <c r="S679" s="20"/>
      <c r="T679" s="7"/>
      <c r="U679" s="7"/>
      <c r="V679" s="7"/>
      <c r="W679" s="7"/>
      <c r="X679" s="7"/>
      <c r="Y679" s="7"/>
      <c r="Z679" s="7"/>
      <c r="AA679" s="7"/>
    </row>
    <row r="680" spans="1:27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>
        <v>31678</v>
      </c>
      <c r="P680" s="1">
        <f t="shared" si="34"/>
        <v>0.26546087861061096</v>
      </c>
      <c r="Q680" s="25">
        <f t="shared" si="35"/>
        <v>0.29816758978995495</v>
      </c>
      <c r="R680" s="24">
        <f t="shared" si="36"/>
        <v>0.16750223696959665</v>
      </c>
      <c r="S680" s="20"/>
      <c r="T680" s="7"/>
      <c r="U680" s="7"/>
      <c r="V680" s="7"/>
      <c r="W680" s="7"/>
      <c r="X680" s="7"/>
      <c r="Y680" s="7"/>
      <c r="Z680" s="7"/>
      <c r="AA680" s="7"/>
    </row>
    <row r="681" spans="1:27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>
        <v>31679</v>
      </c>
      <c r="P681" s="1">
        <f t="shared" si="34"/>
        <v>0.26575914025306702</v>
      </c>
      <c r="Q681" s="25">
        <f t="shared" si="35"/>
        <v>0.2983344420499634</v>
      </c>
      <c r="R681" s="24">
        <f t="shared" si="36"/>
        <v>0.16613992759317853</v>
      </c>
      <c r="S681" s="20"/>
      <c r="T681" s="7"/>
      <c r="U681" s="7"/>
      <c r="V681" s="7"/>
      <c r="W681" s="7"/>
      <c r="X681" s="7"/>
      <c r="Y681" s="7"/>
      <c r="Z681" s="7"/>
      <c r="AA681" s="7"/>
    </row>
    <row r="682" spans="1:27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>
        <v>31680</v>
      </c>
      <c r="P682" s="1">
        <f t="shared" si="34"/>
        <v>0.26605752110481262</v>
      </c>
      <c r="Q682" s="25">
        <f t="shared" si="35"/>
        <v>0.29849983911844902</v>
      </c>
      <c r="R682" s="24">
        <f t="shared" si="36"/>
        <v>0.1647804674931308</v>
      </c>
      <c r="S682" s="20"/>
      <c r="T682" s="7"/>
      <c r="U682" s="7"/>
      <c r="V682" s="7"/>
      <c r="W682" s="7"/>
      <c r="X682" s="7"/>
      <c r="Y682" s="7"/>
      <c r="Z682" s="7"/>
      <c r="AA682" s="7"/>
    </row>
    <row r="683" spans="1:27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>
        <v>31681</v>
      </c>
      <c r="P683" s="1">
        <f t="shared" si="34"/>
        <v>0.26635625958442688</v>
      </c>
      <c r="Q683" s="25">
        <f t="shared" si="35"/>
        <v>0.29866392651456408</v>
      </c>
      <c r="R683" s="24">
        <f t="shared" si="36"/>
        <v>0.16342387976209238</v>
      </c>
      <c r="S683" s="20"/>
      <c r="T683" s="7"/>
      <c r="U683" s="7"/>
      <c r="V683" s="7"/>
      <c r="W683" s="7"/>
      <c r="X683" s="7"/>
      <c r="Y683" s="7"/>
      <c r="Z683" s="7"/>
      <c r="AA683" s="7"/>
    </row>
    <row r="684" spans="1:27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>
        <v>31682</v>
      </c>
      <c r="P684" s="1">
        <f t="shared" si="34"/>
        <v>0.26665499806404114</v>
      </c>
      <c r="Q684" s="25">
        <f t="shared" si="35"/>
        <v>0.29882673334213905</v>
      </c>
      <c r="R684" s="24">
        <f t="shared" si="36"/>
        <v>0.16207018393998851</v>
      </c>
      <c r="S684" s="20"/>
      <c r="T684" s="7"/>
      <c r="U684" s="7"/>
      <c r="V684" s="7"/>
      <c r="W684" s="7"/>
      <c r="X684" s="7"/>
      <c r="Y684" s="7"/>
      <c r="Z684" s="7"/>
      <c r="AA684" s="7"/>
    </row>
    <row r="685" spans="1:27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>
        <v>31683</v>
      </c>
      <c r="P685" s="1">
        <f t="shared" si="34"/>
        <v>0.26695337891578674</v>
      </c>
      <c r="Q685" s="25">
        <f t="shared" si="35"/>
        <v>0.29898811408202164</v>
      </c>
      <c r="R685" s="24">
        <f t="shared" si="36"/>
        <v>0.16071938890860338</v>
      </c>
      <c r="S685" s="20"/>
      <c r="T685" s="7"/>
      <c r="U685" s="7"/>
      <c r="V685" s="7"/>
      <c r="W685" s="7"/>
      <c r="X685" s="7"/>
      <c r="Y685" s="7"/>
      <c r="Z685" s="7"/>
      <c r="AA685" s="7"/>
    </row>
    <row r="686" spans="1:27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>
        <v>31684</v>
      </c>
      <c r="P686" s="1">
        <f t="shared" si="34"/>
        <v>0.2672525942325592</v>
      </c>
      <c r="Q686" s="25">
        <f t="shared" si="35"/>
        <v>0.29914812694187276</v>
      </c>
      <c r="R686" s="24">
        <f t="shared" si="36"/>
        <v>0.1593715177605759</v>
      </c>
      <c r="S686" s="20"/>
      <c r="T686" s="7"/>
      <c r="U686" s="7"/>
      <c r="V686" s="7"/>
      <c r="W686" s="7"/>
      <c r="X686" s="7"/>
      <c r="Y686" s="7"/>
      <c r="Z686" s="7"/>
      <c r="AA686" s="7"/>
    </row>
    <row r="687" spans="1:27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>
        <v>31685</v>
      </c>
      <c r="P687" s="1">
        <f t="shared" si="34"/>
        <v>0.26755204796791077</v>
      </c>
      <c r="Q687" s="25">
        <f t="shared" si="35"/>
        <v>0.29930688833701424</v>
      </c>
      <c r="R687" s="24">
        <f t="shared" si="36"/>
        <v>0.15802658470676079</v>
      </c>
      <c r="S687" s="20"/>
      <c r="T687" s="7"/>
      <c r="U687" s="7"/>
      <c r="V687" s="7"/>
      <c r="W687" s="7"/>
      <c r="X687" s="7"/>
      <c r="Y687" s="7"/>
      <c r="Z687" s="7"/>
      <c r="AA687" s="7"/>
    </row>
    <row r="688" spans="1:27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>
        <v>31686</v>
      </c>
      <c r="P688" s="1">
        <f t="shared" si="34"/>
        <v>0.26785114407539368</v>
      </c>
      <c r="Q688" s="25">
        <f t="shared" si="35"/>
        <v>0.29946416543680243</v>
      </c>
      <c r="R688" s="24">
        <f t="shared" si="36"/>
        <v>0.15668460751072644</v>
      </c>
      <c r="S688" s="20"/>
      <c r="T688" s="7"/>
      <c r="U688" s="7"/>
      <c r="V688" s="7"/>
      <c r="W688" s="7"/>
      <c r="X688" s="7"/>
      <c r="Y688" s="7"/>
      <c r="Z688" s="7"/>
      <c r="AA688" s="7"/>
    </row>
    <row r="689" spans="1:27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>
        <v>31687</v>
      </c>
      <c r="P689" s="1">
        <f t="shared" si="34"/>
        <v>0.26815083622932434</v>
      </c>
      <c r="Q689" s="25">
        <f t="shared" si="35"/>
        <v>0.29962022017571144</v>
      </c>
      <c r="R689" s="24">
        <f t="shared" si="36"/>
        <v>0.15534560393604124</v>
      </c>
      <c r="S689" s="20"/>
      <c r="T689" s="7"/>
      <c r="U689" s="7"/>
      <c r="V689" s="7"/>
      <c r="W689" s="7"/>
      <c r="X689" s="7"/>
      <c r="Y689" s="7"/>
      <c r="Z689" s="7"/>
      <c r="AA689" s="7"/>
    </row>
    <row r="690" spans="1:27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>
        <v>31688</v>
      </c>
      <c r="P690" s="1">
        <f t="shared" si="34"/>
        <v>0.26845100522041321</v>
      </c>
      <c r="Q690" s="25">
        <f t="shared" si="35"/>
        <v>0.29977493613841943</v>
      </c>
      <c r="R690" s="24">
        <f t="shared" si="36"/>
        <v>0.15400958819355992</v>
      </c>
      <c r="S690" s="20"/>
      <c r="T690" s="7"/>
      <c r="U690" s="7"/>
      <c r="V690" s="7"/>
      <c r="W690" s="7"/>
      <c r="X690" s="7"/>
      <c r="Y690" s="7"/>
      <c r="Z690" s="7"/>
      <c r="AA690" s="7"/>
    </row>
    <row r="691" spans="1:27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>
        <v>31689</v>
      </c>
      <c r="P691" s="1">
        <f t="shared" si="34"/>
        <v>0.26875081658363342</v>
      </c>
      <c r="Q691" s="25">
        <f t="shared" si="35"/>
        <v>0.29992825511726551</v>
      </c>
      <c r="R691" s="24">
        <f t="shared" si="36"/>
        <v>0.15267657449413718</v>
      </c>
      <c r="S691" s="20"/>
      <c r="T691" s="7"/>
      <c r="U691" s="7"/>
      <c r="V691" s="7"/>
      <c r="W691" s="7"/>
      <c r="X691" s="7"/>
      <c r="Y691" s="7"/>
      <c r="Z691" s="7"/>
      <c r="AA691" s="7"/>
    </row>
    <row r="692" spans="1:27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>
        <v>31690</v>
      </c>
      <c r="P692" s="1">
        <f t="shared" si="34"/>
        <v>0.26905074715614319</v>
      </c>
      <c r="Q692" s="25">
        <f t="shared" si="35"/>
        <v>0.30008023531991057</v>
      </c>
      <c r="R692" s="24">
        <f t="shared" si="36"/>
        <v>0.15134658415405511</v>
      </c>
      <c r="S692" s="20"/>
      <c r="T692" s="7"/>
      <c r="U692" s="7"/>
      <c r="V692" s="7"/>
      <c r="W692" s="7"/>
      <c r="X692" s="7"/>
      <c r="Y692" s="7"/>
      <c r="Z692" s="7"/>
      <c r="AA692" s="7"/>
    </row>
    <row r="693" spans="1:27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>
        <v>31691</v>
      </c>
      <c r="P693" s="1">
        <f t="shared" si="34"/>
        <v>0.26935091614723206</v>
      </c>
      <c r="Q693" s="25">
        <f t="shared" si="35"/>
        <v>0.30023096405784599</v>
      </c>
      <c r="R693" s="24">
        <f t="shared" si="36"/>
        <v>0.15001963138416841</v>
      </c>
      <c r="S693" s="20"/>
      <c r="T693" s="7"/>
      <c r="U693" s="7"/>
      <c r="V693" s="7"/>
      <c r="W693" s="7"/>
      <c r="X693" s="7"/>
      <c r="Y693" s="7"/>
      <c r="Z693" s="7"/>
      <c r="AA693" s="7"/>
    </row>
    <row r="694" spans="1:27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>
        <v>31692</v>
      </c>
      <c r="P694" s="1">
        <f t="shared" si="34"/>
        <v>0.26965096592903137</v>
      </c>
      <c r="Q694" s="25">
        <f t="shared" si="35"/>
        <v>0.30038026670808904</v>
      </c>
      <c r="R694" s="24">
        <f t="shared" si="36"/>
        <v>0.14869573394804547</v>
      </c>
      <c r="S694" s="20"/>
      <c r="T694" s="7"/>
      <c r="U694" s="7"/>
      <c r="V694" s="7"/>
      <c r="W694" s="7"/>
      <c r="X694" s="7"/>
      <c r="Y694" s="7"/>
      <c r="Z694" s="7"/>
      <c r="AA694" s="7"/>
    </row>
    <row r="695" spans="1:27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>
        <v>31693</v>
      </c>
      <c r="P695" s="1">
        <f t="shared" si="34"/>
        <v>0.26995137333869934</v>
      </c>
      <c r="Q695" s="25">
        <f t="shared" si="35"/>
        <v>0.30052837610128336</v>
      </c>
      <c r="R695" s="24">
        <f t="shared" si="36"/>
        <v>0.14737490605654102</v>
      </c>
      <c r="S695" s="20"/>
      <c r="T695" s="7"/>
      <c r="U695" s="7"/>
      <c r="V695" s="7"/>
      <c r="W695" s="7"/>
      <c r="X695" s="7"/>
      <c r="Y695" s="7"/>
      <c r="Z695" s="7"/>
      <c r="AA695" s="7"/>
    </row>
    <row r="696" spans="1:27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>
        <v>31694</v>
      </c>
      <c r="P696" s="1">
        <f t="shared" si="34"/>
        <v>0.27025178074836731</v>
      </c>
      <c r="Q696" s="25">
        <f t="shared" si="35"/>
        <v>0.30067508851061575</v>
      </c>
      <c r="R696" s="24">
        <f t="shared" si="36"/>
        <v>0.14605715836779609</v>
      </c>
      <c r="S696" s="20"/>
      <c r="T696" s="7"/>
      <c r="U696" s="7"/>
      <c r="V696" s="7"/>
      <c r="W696" s="7"/>
      <c r="X696" s="7"/>
      <c r="Y696" s="7"/>
      <c r="Z696" s="7"/>
      <c r="AA696" s="7"/>
    </row>
    <row r="697" spans="1:27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>
        <v>31695</v>
      </c>
      <c r="P697" s="1">
        <f t="shared" si="34"/>
        <v>0.27055302262306213</v>
      </c>
      <c r="Q697" s="25">
        <f t="shared" si="35"/>
        <v>0.30082046214374714</v>
      </c>
      <c r="R697" s="24">
        <f t="shared" si="36"/>
        <v>0.14474251930352011</v>
      </c>
      <c r="S697" s="20"/>
      <c r="T697" s="7"/>
      <c r="U697" s="7"/>
      <c r="V697" s="7"/>
      <c r="W697" s="7"/>
      <c r="X697" s="7"/>
      <c r="Y697" s="7"/>
      <c r="Z697" s="7"/>
      <c r="AA697" s="7"/>
    </row>
    <row r="698" spans="1:27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>
        <v>31696</v>
      </c>
      <c r="P698" s="1">
        <f t="shared" si="34"/>
        <v>0.27085390686988831</v>
      </c>
      <c r="Q698" s="25">
        <f t="shared" si="35"/>
        <v>0.30096452610450797</v>
      </c>
      <c r="R698" s="24">
        <f t="shared" si="36"/>
        <v>0.14343099241642676</v>
      </c>
      <c r="S698" s="20"/>
      <c r="T698" s="7"/>
      <c r="U698" s="7"/>
      <c r="V698" s="7"/>
      <c r="W698" s="7"/>
      <c r="X698" s="7"/>
      <c r="Y698" s="7"/>
      <c r="Z698" s="7"/>
      <c r="AA698" s="7"/>
    </row>
    <row r="699" spans="1:27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>
        <v>31697</v>
      </c>
      <c r="P699" s="1">
        <f t="shared" si="34"/>
        <v>0.27115455269813538</v>
      </c>
      <c r="Q699" s="25">
        <f t="shared" si="35"/>
        <v>0.3011073094967287</v>
      </c>
      <c r="R699" s="24">
        <f t="shared" si="36"/>
        <v>0.14212259547008443</v>
      </c>
      <c r="S699" s="20"/>
      <c r="T699" s="7"/>
      <c r="U699" s="7"/>
      <c r="V699" s="7"/>
      <c r="W699" s="7"/>
      <c r="X699" s="7"/>
      <c r="Y699" s="7"/>
      <c r="Z699" s="7"/>
      <c r="AA699" s="7"/>
    </row>
    <row r="700" spans="1:27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>
        <v>31698</v>
      </c>
      <c r="P700" s="1">
        <f t="shared" si="34"/>
        <v>0.2714560329914093</v>
      </c>
      <c r="Q700" s="25">
        <f t="shared" si="35"/>
        <v>0.30124872500891797</v>
      </c>
      <c r="R700" s="24">
        <f t="shared" si="36"/>
        <v>0.14081735155713204</v>
      </c>
      <c r="S700" s="20"/>
      <c r="T700" s="7"/>
      <c r="U700" s="7"/>
      <c r="V700" s="7"/>
      <c r="W700" s="7"/>
      <c r="X700" s="7"/>
      <c r="Y700" s="7"/>
      <c r="Z700" s="7"/>
      <c r="AA700" s="7"/>
    </row>
    <row r="701" spans="1:27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>
        <v>31699</v>
      </c>
      <c r="P701" s="1">
        <f t="shared" si="34"/>
        <v>0.27175667881965637</v>
      </c>
      <c r="Q701" s="25">
        <f t="shared" si="35"/>
        <v>0.30138894726405852</v>
      </c>
      <c r="R701" s="24">
        <f t="shared" si="36"/>
        <v>0.1395152660066401</v>
      </c>
      <c r="S701" s="20"/>
      <c r="T701" s="7"/>
      <c r="U701" s="7"/>
      <c r="V701" s="7"/>
      <c r="W701" s="7"/>
      <c r="X701" s="7"/>
      <c r="Y701" s="7"/>
      <c r="Z701" s="7"/>
      <c r="AA701" s="7"/>
    </row>
    <row r="702" spans="1:27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>
        <v>31700</v>
      </c>
      <c r="P702" s="1">
        <f t="shared" si="34"/>
        <v>0.27205851674079895</v>
      </c>
      <c r="Q702" s="25">
        <f t="shared" si="35"/>
        <v>0.30152785984682851</v>
      </c>
      <c r="R702" s="24">
        <f t="shared" si="36"/>
        <v>0.13821635835853385</v>
      </c>
      <c r="S702" s="20"/>
      <c r="T702" s="7"/>
      <c r="U702" s="7"/>
      <c r="V702" s="7"/>
      <c r="W702" s="7"/>
      <c r="X702" s="7"/>
      <c r="Y702" s="7"/>
      <c r="Z702" s="7"/>
      <c r="AA702" s="7"/>
    </row>
    <row r="703" spans="1:27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>
        <v>31701</v>
      </c>
      <c r="P703" s="1">
        <f t="shared" si="34"/>
        <v>0.27236023545265198</v>
      </c>
      <c r="Q703" s="25">
        <f t="shared" si="35"/>
        <v>0.30166540454956703</v>
      </c>
      <c r="R703" s="24">
        <f t="shared" si="36"/>
        <v>0.13692064815273852</v>
      </c>
      <c r="S703" s="20"/>
      <c r="T703" s="7"/>
      <c r="U703" s="7"/>
      <c r="V703" s="7"/>
      <c r="W703" s="7"/>
      <c r="X703" s="7"/>
      <c r="Y703" s="7"/>
      <c r="Z703" s="7"/>
      <c r="AA703" s="7"/>
    </row>
    <row r="704" spans="1:27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>
        <v>31702</v>
      </c>
      <c r="P704" s="1">
        <f t="shared" si="34"/>
        <v>0.27266207337379456</v>
      </c>
      <c r="Q704" s="25">
        <f t="shared" si="35"/>
        <v>0.30180161047610454</v>
      </c>
      <c r="R704" s="24">
        <f t="shared" si="36"/>
        <v>0.13562814249468147</v>
      </c>
      <c r="S704" s="20"/>
      <c r="T704" s="7"/>
      <c r="U704" s="7"/>
      <c r="V704" s="7"/>
      <c r="W704" s="7"/>
      <c r="X704" s="7"/>
      <c r="Y704" s="7"/>
      <c r="Z704" s="7"/>
      <c r="AA704" s="7"/>
    </row>
    <row r="705" spans="1:27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>
        <v>31703</v>
      </c>
      <c r="P705" s="1">
        <f t="shared" si="34"/>
        <v>0.27296367287635803</v>
      </c>
      <c r="Q705" s="25">
        <f t="shared" si="35"/>
        <v>0.30193665224942379</v>
      </c>
      <c r="R705" s="24">
        <f t="shared" si="36"/>
        <v>0.13433886092428793</v>
      </c>
      <c r="S705" s="20"/>
      <c r="T705" s="7"/>
      <c r="U705" s="7"/>
      <c r="V705" s="7"/>
      <c r="W705" s="7"/>
      <c r="X705" s="7"/>
      <c r="Y705" s="7"/>
      <c r="Z705" s="7"/>
      <c r="AA705" s="7"/>
    </row>
    <row r="706" spans="1:27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>
        <v>31704</v>
      </c>
      <c r="P706" s="1">
        <f t="shared" si="34"/>
        <v>0.27326634526252747</v>
      </c>
      <c r="Q706" s="25">
        <f t="shared" si="35"/>
        <v>0.30207038435037248</v>
      </c>
      <c r="R706" s="24">
        <f t="shared" si="36"/>
        <v>0.13305282120512629</v>
      </c>
      <c r="S706" s="20"/>
      <c r="T706" s="7"/>
      <c r="U706" s="7"/>
      <c r="V706" s="7"/>
      <c r="W706" s="7"/>
      <c r="X706" s="7"/>
      <c r="Y706" s="7"/>
      <c r="Z706" s="7"/>
      <c r="AA706" s="7"/>
    </row>
    <row r="707" spans="1:27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>
        <v>31705</v>
      </c>
      <c r="P707" s="1">
        <f t="shared" si="34"/>
        <v>0.27356770634651184</v>
      </c>
      <c r="Q707" s="25">
        <f t="shared" si="35"/>
        <v>0.30220280677895062</v>
      </c>
      <c r="R707" s="24">
        <f t="shared" si="36"/>
        <v>0.13177002866626708</v>
      </c>
      <c r="S707" s="20"/>
      <c r="T707" s="7"/>
      <c r="U707" s="7"/>
      <c r="V707" s="7"/>
      <c r="W707" s="7"/>
      <c r="X707" s="7"/>
      <c r="Y707" s="7"/>
      <c r="Z707" s="7"/>
      <c r="AA707" s="7"/>
    </row>
    <row r="708" spans="1:27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>
        <v>31706</v>
      </c>
      <c r="P708" s="1">
        <f t="shared" si="34"/>
        <v>0.27387025952339172</v>
      </c>
      <c r="Q708" s="25">
        <f t="shared" si="35"/>
        <v>0.3023339195351582</v>
      </c>
      <c r="R708" s="24">
        <f t="shared" si="36"/>
        <v>0.1304905064003492</v>
      </c>
      <c r="S708" s="20"/>
      <c r="T708" s="7"/>
      <c r="U708" s="7"/>
      <c r="V708" s="7"/>
      <c r="W708" s="7"/>
      <c r="X708" s="7"/>
      <c r="Y708" s="7"/>
      <c r="Z708" s="7"/>
      <c r="AA708" s="7"/>
    </row>
    <row r="709" spans="1:27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>
        <v>31707</v>
      </c>
      <c r="P709" s="1">
        <f t="shared" si="34"/>
        <v>0.27417221665382385</v>
      </c>
      <c r="Q709" s="25">
        <f t="shared" si="35"/>
        <v>0.30246375172282569</v>
      </c>
      <c r="R709" s="24">
        <f t="shared" si="36"/>
        <v>0.12921426151280002</v>
      </c>
      <c r="S709" s="20"/>
      <c r="T709" s="7"/>
      <c r="U709" s="7"/>
      <c r="V709" s="7"/>
      <c r="W709" s="7"/>
      <c r="X709" s="7"/>
      <c r="Y709" s="7"/>
      <c r="Z709" s="7"/>
      <c r="AA709" s="7"/>
    </row>
    <row r="710" spans="1:27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>
        <v>31708</v>
      </c>
      <c r="P710" s="1">
        <f t="shared" si="34"/>
        <v>0.27447548508644104</v>
      </c>
      <c r="Q710" s="25">
        <f t="shared" si="35"/>
        <v>0.30259230334195308</v>
      </c>
      <c r="R710" s="24">
        <f t="shared" si="36"/>
        <v>0.12794132064897212</v>
      </c>
      <c r="S710" s="20"/>
      <c r="T710" s="7"/>
      <c r="U710" s="7"/>
      <c r="V710" s="7"/>
      <c r="W710" s="7"/>
      <c r="X710" s="7"/>
      <c r="Y710" s="7"/>
      <c r="Z710" s="7"/>
      <c r="AA710" s="7"/>
    </row>
    <row r="711" spans="1:27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>
        <v>31709</v>
      </c>
      <c r="P711" s="1">
        <f t="shared" si="34"/>
        <v>0.27477779984474182</v>
      </c>
      <c r="Q711" s="25">
        <f t="shared" si="35"/>
        <v>0.30271960349637084</v>
      </c>
      <c r="R711" s="24">
        <f t="shared" si="36"/>
        <v>0.12667168025615183</v>
      </c>
      <c r="S711" s="20"/>
      <c r="T711" s="7"/>
      <c r="U711" s="7"/>
      <c r="V711" s="7"/>
      <c r="W711" s="7"/>
      <c r="X711" s="7"/>
      <c r="Y711" s="7"/>
      <c r="Z711" s="7"/>
      <c r="AA711" s="7"/>
    </row>
    <row r="712" spans="1:27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>
        <v>31710</v>
      </c>
      <c r="P712" s="1">
        <f t="shared" si="34"/>
        <v>0.27508047223091125</v>
      </c>
      <c r="Q712" s="25">
        <f t="shared" si="35"/>
        <v>0.30284568128990941</v>
      </c>
      <c r="R712" s="24">
        <f t="shared" si="36"/>
        <v>0.12540536875604857</v>
      </c>
      <c r="S712" s="20"/>
      <c r="T712" s="7"/>
      <c r="U712" s="7"/>
      <c r="V712" s="7"/>
      <c r="W712" s="7"/>
      <c r="X712" s="7"/>
      <c r="Y712" s="7"/>
      <c r="Z712" s="7"/>
      <c r="AA712" s="7"/>
    </row>
    <row r="713" spans="1:27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>
        <v>31711</v>
      </c>
      <c r="P713" s="1">
        <f t="shared" si="34"/>
        <v>0.27538374066352844</v>
      </c>
      <c r="Q713" s="25">
        <f t="shared" si="35"/>
        <v>0.30297042030724697</v>
      </c>
      <c r="R713" s="24">
        <f t="shared" si="36"/>
        <v>0.12414239680680339</v>
      </c>
      <c r="S713" s="20"/>
      <c r="T713" s="7"/>
      <c r="U713" s="7"/>
      <c r="V713" s="7"/>
      <c r="W713" s="7"/>
      <c r="X713" s="7"/>
      <c r="Y713" s="7"/>
      <c r="Z713" s="7"/>
      <c r="AA713" s="7"/>
    </row>
    <row r="714" spans="1:27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>
        <v>31712</v>
      </c>
      <c r="P714" s="1">
        <f t="shared" ref="P714:P777" si="37" xml:space="preserve"> -1.4681315616E-19*$O714^6 + 2.80493263066289E-14*$O714^5 - 2.23271907955907E-09*$O714^4 + 0.0000947783879077569*$O714^3 - 2.26293121558813*$O714^2 + 28813.4861268598*$O714 - 152852350.445896</f>
        <v>0.27568653225898743</v>
      </c>
      <c r="Q714" s="25">
        <f t="shared" ref="Q714:Q777" si="38" xml:space="preserve"> (6*-1.4681315616E-19*$O714^5 + 5*2.80493263066289E-14*$O714^4 - 4*2.23271907955907E-09*$O714^3 + 3*0.0000947783879077569*$O714^2 - 2*2.26293121558813*$O714^1 + 28813.4861268598)*1000</f>
        <v>0.30309390785987489</v>
      </c>
      <c r="R714" s="24">
        <f t="shared" ref="R714:R777" si="39" xml:space="preserve"> (5*6*-1.4681315616E-19*$O714^4 + 4*5*2.80493263066289E-14*$O714^3 - 3*4*2.23271907955907E-09*$O714^2 + 2*3*0.0000947783879077569*$O714^1 - 2*2.26293121558813)*1000*1000</f>
        <v>0.12288278217198467</v>
      </c>
      <c r="S714" s="20"/>
      <c r="T714" s="7"/>
      <c r="U714" s="7"/>
      <c r="V714" s="7"/>
      <c r="W714" s="7"/>
      <c r="X714" s="7"/>
      <c r="Y714" s="7"/>
      <c r="Z714" s="7"/>
      <c r="AA714" s="7"/>
    </row>
    <row r="715" spans="1:27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>
        <v>31713</v>
      </c>
      <c r="P715" s="1">
        <f t="shared" si="37"/>
        <v>0.27598968148231506</v>
      </c>
      <c r="Q715" s="25">
        <f t="shared" si="38"/>
        <v>0.30321614394779317</v>
      </c>
      <c r="R715" s="24">
        <f t="shared" si="39"/>
        <v>0.1216265284043061</v>
      </c>
      <c r="S715" s="20"/>
      <c r="T715" s="7"/>
      <c r="U715" s="7"/>
      <c r="V715" s="7"/>
      <c r="W715" s="7"/>
      <c r="X715" s="7"/>
      <c r="Y715" s="7"/>
      <c r="Z715" s="7"/>
      <c r="AA715" s="7"/>
    </row>
    <row r="716" spans="1:27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>
        <v>31714</v>
      </c>
      <c r="P716" s="1">
        <f t="shared" si="37"/>
        <v>0.27629294991493225</v>
      </c>
      <c r="Q716" s="25">
        <f t="shared" si="38"/>
        <v>0.30333718677866273</v>
      </c>
      <c r="R716" s="24">
        <f t="shared" si="39"/>
        <v>0.12037365326733607</v>
      </c>
      <c r="S716" s="20"/>
      <c r="T716" s="7"/>
      <c r="U716" s="7"/>
      <c r="V716" s="7"/>
      <c r="W716" s="7"/>
      <c r="X716" s="7"/>
      <c r="Y716" s="7"/>
      <c r="Z716" s="7"/>
      <c r="AA716" s="7"/>
    </row>
    <row r="717" spans="1:27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>
        <v>31715</v>
      </c>
      <c r="P717" s="1">
        <f t="shared" si="37"/>
        <v>0.27659645676612854</v>
      </c>
      <c r="Q717" s="25">
        <f t="shared" si="38"/>
        <v>0.30345689083333127</v>
      </c>
      <c r="R717" s="24">
        <f t="shared" si="39"/>
        <v>0.11912417452464297</v>
      </c>
      <c r="S717" s="20"/>
      <c r="T717" s="7"/>
      <c r="U717" s="7"/>
      <c r="V717" s="7"/>
      <c r="W717" s="7"/>
      <c r="X717" s="7"/>
      <c r="Y717" s="7"/>
      <c r="Z717" s="7"/>
      <c r="AA717" s="7"/>
    </row>
    <row r="718" spans="1:27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>
        <v>31716</v>
      </c>
      <c r="P718" s="1">
        <f t="shared" si="37"/>
        <v>0.27690008282661438</v>
      </c>
      <c r="Q718" s="25">
        <f t="shared" si="38"/>
        <v>0.30357543073478155</v>
      </c>
      <c r="R718" s="24">
        <f t="shared" si="39"/>
        <v>0.11787810283436784</v>
      </c>
      <c r="S718" s="20"/>
      <c r="T718" s="7"/>
      <c r="U718" s="7"/>
      <c r="V718" s="7"/>
      <c r="W718" s="7"/>
      <c r="X718" s="7"/>
      <c r="Y718" s="7"/>
      <c r="Z718" s="7"/>
      <c r="AA718" s="7"/>
    </row>
    <row r="719" spans="1:27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>
        <v>31717</v>
      </c>
      <c r="P719" s="1">
        <f t="shared" si="37"/>
        <v>0.27720358967781067</v>
      </c>
      <c r="Q719" s="25">
        <f t="shared" si="38"/>
        <v>0.30369269006769173</v>
      </c>
      <c r="R719" s="24">
        <f t="shared" si="39"/>
        <v>0.11663544885465171</v>
      </c>
      <c r="S719" s="20"/>
      <c r="T719" s="7"/>
      <c r="U719" s="7"/>
      <c r="V719" s="7"/>
      <c r="W719" s="7"/>
      <c r="X719" s="7"/>
      <c r="Y719" s="7"/>
      <c r="Z719" s="7"/>
      <c r="AA719" s="7"/>
    </row>
    <row r="720" spans="1:27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>
        <v>31718</v>
      </c>
      <c r="P720" s="1">
        <f t="shared" si="37"/>
        <v>0.27750733494758606</v>
      </c>
      <c r="Q720" s="25">
        <f t="shared" si="38"/>
        <v>0.30380869793589227</v>
      </c>
      <c r="R720" s="24">
        <f t="shared" si="39"/>
        <v>0.11539623390177667</v>
      </c>
      <c r="S720" s="20"/>
      <c r="T720" s="7"/>
      <c r="U720" s="7"/>
      <c r="V720" s="7"/>
      <c r="W720" s="7"/>
      <c r="X720" s="7"/>
      <c r="Y720" s="7"/>
      <c r="Z720" s="7"/>
      <c r="AA720" s="7"/>
    </row>
    <row r="721" spans="1:27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>
        <v>31719</v>
      </c>
      <c r="P721" s="1">
        <f t="shared" si="37"/>
        <v>0.2778116762638092</v>
      </c>
      <c r="Q721" s="25">
        <f t="shared" si="38"/>
        <v>0.30392351254704408</v>
      </c>
      <c r="R721" s="24">
        <f t="shared" si="39"/>
        <v>0.1141604579757427</v>
      </c>
      <c r="S721" s="20"/>
      <c r="T721" s="7"/>
      <c r="U721" s="7"/>
      <c r="V721" s="7"/>
      <c r="W721" s="7"/>
      <c r="X721" s="7"/>
      <c r="Y721" s="7"/>
      <c r="Z721" s="7"/>
      <c r="AA721" s="7"/>
    </row>
    <row r="722" spans="1:27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>
        <v>31720</v>
      </c>
      <c r="P722" s="1">
        <f t="shared" si="37"/>
        <v>0.27811542153358459</v>
      </c>
      <c r="Q722" s="25">
        <f t="shared" si="38"/>
        <v>0.30403698838199489</v>
      </c>
      <c r="R722" s="24">
        <f t="shared" si="39"/>
        <v>0.11292814949825924</v>
      </c>
      <c r="S722" s="20"/>
      <c r="T722" s="7"/>
      <c r="U722" s="7"/>
      <c r="V722" s="7"/>
      <c r="W722" s="7"/>
      <c r="X722" s="7"/>
      <c r="Y722" s="7"/>
      <c r="Z722" s="7"/>
      <c r="AA722" s="7"/>
    </row>
    <row r="723" spans="1:27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>
        <v>31721</v>
      </c>
      <c r="P723" s="1">
        <f t="shared" si="37"/>
        <v>0.27841916680335999</v>
      </c>
      <c r="Q723" s="25">
        <f t="shared" si="38"/>
        <v>0.30414938737521879</v>
      </c>
      <c r="R723" s="24">
        <f t="shared" si="39"/>
        <v>0.11169931202203998</v>
      </c>
      <c r="S723" s="20"/>
      <c r="T723" s="7"/>
      <c r="U723" s="7"/>
      <c r="V723" s="7"/>
      <c r="W723" s="7"/>
      <c r="X723" s="7"/>
      <c r="Y723" s="7"/>
      <c r="Z723" s="7"/>
      <c r="AA723" s="7"/>
    </row>
    <row r="724" spans="1:27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>
        <v>31722</v>
      </c>
      <c r="P724" s="1">
        <f t="shared" si="37"/>
        <v>0.27872350811958313</v>
      </c>
      <c r="Q724" s="25">
        <f t="shared" si="38"/>
        <v>0.30426044759224169</v>
      </c>
      <c r="R724" s="24">
        <f t="shared" si="39"/>
        <v>0.11047395975793961</v>
      </c>
      <c r="S724" s="20"/>
      <c r="T724" s="7"/>
      <c r="U724" s="7"/>
      <c r="V724" s="7"/>
      <c r="W724" s="7"/>
      <c r="X724" s="7"/>
      <c r="Y724" s="7"/>
      <c r="Z724" s="7"/>
      <c r="AA724" s="7"/>
    </row>
    <row r="725" spans="1:27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>
        <v>31723</v>
      </c>
      <c r="P725" s="1">
        <f t="shared" si="37"/>
        <v>0.27902773022651672</v>
      </c>
      <c r="Q725" s="25">
        <f t="shared" si="38"/>
        <v>0.30437025634455495</v>
      </c>
      <c r="R725" s="24">
        <f t="shared" si="39"/>
        <v>0.1092521086931697</v>
      </c>
      <c r="S725" s="20"/>
      <c r="T725" s="7"/>
      <c r="U725" s="7"/>
      <c r="V725" s="7"/>
      <c r="W725" s="7"/>
      <c r="X725" s="7"/>
      <c r="Y725" s="7"/>
      <c r="Z725" s="7"/>
      <c r="AA725" s="7"/>
    </row>
    <row r="726" spans="1:27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>
        <v>31724</v>
      </c>
      <c r="P726" s="1">
        <f t="shared" si="37"/>
        <v>0.27933195233345032</v>
      </c>
      <c r="Q726" s="25">
        <f t="shared" si="38"/>
        <v>0.30447895915131085</v>
      </c>
      <c r="R726" s="24">
        <f t="shared" si="39"/>
        <v>0.10803376770951445</v>
      </c>
      <c r="S726" s="20"/>
      <c r="T726" s="7"/>
      <c r="U726" s="7"/>
      <c r="V726" s="7"/>
      <c r="W726" s="7"/>
      <c r="X726" s="7"/>
      <c r="Y726" s="7"/>
      <c r="Z726" s="7"/>
      <c r="AA726" s="7"/>
    </row>
    <row r="727" spans="1:27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>
        <v>31725</v>
      </c>
      <c r="P727" s="1">
        <f t="shared" si="37"/>
        <v>0.27963677048683167</v>
      </c>
      <c r="Q727" s="25">
        <f t="shared" si="38"/>
        <v>0.30458641049335711</v>
      </c>
      <c r="R727" s="24">
        <f t="shared" si="39"/>
        <v>0.10681894924147173</v>
      </c>
      <c r="S727" s="20"/>
      <c r="T727" s="7"/>
      <c r="U727" s="7"/>
      <c r="V727" s="7"/>
      <c r="W727" s="7"/>
      <c r="X727" s="7"/>
      <c r="Y727" s="7"/>
      <c r="Z727" s="7"/>
      <c r="AA727" s="7"/>
    </row>
    <row r="728" spans="1:27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>
        <v>31726</v>
      </c>
      <c r="P728" s="1">
        <f t="shared" si="37"/>
        <v>0.27994146943092346</v>
      </c>
      <c r="Q728" s="25">
        <f t="shared" si="38"/>
        <v>0.30469252305920236</v>
      </c>
      <c r="R728" s="24">
        <f t="shared" si="39"/>
        <v>0.10560766927625309</v>
      </c>
      <c r="S728" s="20"/>
      <c r="T728" s="7"/>
      <c r="U728" s="7"/>
      <c r="V728" s="7"/>
      <c r="W728" s="7"/>
      <c r="X728" s="7"/>
      <c r="Y728" s="7"/>
      <c r="Z728" s="7"/>
      <c r="AA728" s="7"/>
    </row>
    <row r="729" spans="1:27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>
        <v>31727</v>
      </c>
      <c r="P729" s="1">
        <f t="shared" si="37"/>
        <v>0.28024640679359436</v>
      </c>
      <c r="Q729" s="25">
        <f t="shared" si="38"/>
        <v>0.30479755878332071</v>
      </c>
      <c r="R729" s="24">
        <f t="shared" si="39"/>
        <v>0.10439994024835642</v>
      </c>
      <c r="S729" s="20"/>
      <c r="T729" s="7"/>
      <c r="U729" s="7"/>
      <c r="V729" s="7"/>
      <c r="W729" s="7"/>
      <c r="X729" s="7"/>
      <c r="Y729" s="7"/>
      <c r="Z729" s="7"/>
      <c r="AA729" s="7"/>
    </row>
    <row r="730" spans="1:27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>
        <v>31728</v>
      </c>
      <c r="P730" s="1">
        <f t="shared" si="37"/>
        <v>0.28055098652839661</v>
      </c>
      <c r="Q730" s="25">
        <f t="shared" si="38"/>
        <v>0.30490134304272942</v>
      </c>
      <c r="R730" s="24">
        <f t="shared" si="39"/>
        <v>0.10319576748685222</v>
      </c>
      <c r="S730" s="20"/>
      <c r="T730" s="7"/>
      <c r="U730" s="7"/>
      <c r="V730" s="7"/>
      <c r="W730" s="7"/>
      <c r="X730" s="7"/>
      <c r="Y730" s="7"/>
      <c r="Z730" s="7"/>
      <c r="AA730" s="7"/>
    </row>
    <row r="731" spans="1:27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>
        <v>31729</v>
      </c>
      <c r="P731" s="1">
        <f t="shared" si="37"/>
        <v>0.28085616230964661</v>
      </c>
      <c r="Q731" s="25">
        <f t="shared" si="38"/>
        <v>0.30500396314891987</v>
      </c>
      <c r="R731" s="24">
        <f t="shared" si="39"/>
        <v>0.10199517053166574</v>
      </c>
      <c r="S731" s="20"/>
      <c r="T731" s="7"/>
      <c r="U731" s="7"/>
      <c r="V731" s="7"/>
      <c r="W731" s="7"/>
      <c r="X731" s="7"/>
      <c r="Y731" s="7"/>
      <c r="Z731" s="7"/>
      <c r="AA731" s="7"/>
    </row>
    <row r="732" spans="1:27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>
        <v>31730</v>
      </c>
      <c r="P732" s="1">
        <f t="shared" si="37"/>
        <v>0.2811608612537384</v>
      </c>
      <c r="Q732" s="25">
        <f t="shared" si="38"/>
        <v>0.30510538999806158</v>
      </c>
      <c r="R732" s="24">
        <f t="shared" si="39"/>
        <v>0.10079816359365168</v>
      </c>
      <c r="S732" s="20"/>
      <c r="T732" s="7"/>
      <c r="U732" s="7"/>
      <c r="V732" s="7"/>
      <c r="W732" s="7"/>
      <c r="X732" s="7"/>
      <c r="Y732" s="7"/>
      <c r="Z732" s="7"/>
      <c r="AA732" s="7"/>
    </row>
    <row r="733" spans="1:27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>
        <v>31731</v>
      </c>
      <c r="P733" s="1">
        <f t="shared" si="37"/>
        <v>0.28146639466285706</v>
      </c>
      <c r="Q733" s="25">
        <f t="shared" si="38"/>
        <v>0.3052055362786632</v>
      </c>
      <c r="R733" s="24">
        <f t="shared" si="39"/>
        <v>9.9604748449166891E-2</v>
      </c>
      <c r="S733" s="20"/>
      <c r="T733" s="7"/>
      <c r="U733" s="7"/>
      <c r="V733" s="7"/>
      <c r="W733" s="7"/>
      <c r="X733" s="7"/>
      <c r="Y733" s="7"/>
      <c r="Z733" s="7"/>
      <c r="AA733" s="7"/>
    </row>
    <row r="734" spans="1:27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>
        <v>31732</v>
      </c>
      <c r="P734" s="1">
        <f t="shared" si="37"/>
        <v>0.28177157044410706</v>
      </c>
      <c r="Q734" s="25">
        <f t="shared" si="38"/>
        <v>0.30530460571753792</v>
      </c>
      <c r="R734" s="24">
        <f t="shared" si="39"/>
        <v>9.8414948190850282E-2</v>
      </c>
      <c r="S734" s="20"/>
      <c r="T734" s="7"/>
      <c r="U734" s="7"/>
      <c r="V734" s="7"/>
      <c r="W734" s="7"/>
      <c r="X734" s="7"/>
      <c r="Y734" s="7"/>
      <c r="Z734" s="7"/>
      <c r="AA734" s="7"/>
    </row>
    <row r="735" spans="1:27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>
        <v>31733</v>
      </c>
      <c r="P735" s="1">
        <f t="shared" si="37"/>
        <v>0.28207674622535706</v>
      </c>
      <c r="Q735" s="25">
        <f t="shared" si="38"/>
        <v>0.30540236548404209</v>
      </c>
      <c r="R735" s="24">
        <f t="shared" si="39"/>
        <v>9.7228761042345013E-2</v>
      </c>
      <c r="S735" s="20"/>
      <c r="T735" s="7"/>
      <c r="U735" s="7"/>
      <c r="V735" s="7"/>
      <c r="W735" s="7"/>
      <c r="X735" s="7"/>
      <c r="Y735" s="7"/>
      <c r="Z735" s="7"/>
      <c r="AA735" s="7"/>
    </row>
    <row r="736" spans="1:27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>
        <v>31734</v>
      </c>
      <c r="P736" s="1">
        <f t="shared" si="37"/>
        <v>0.2823818027973175</v>
      </c>
      <c r="Q736" s="25">
        <f t="shared" si="38"/>
        <v>0.30549907751264982</v>
      </c>
      <c r="R736" s="24">
        <f t="shared" si="39"/>
        <v>9.6046211872646836E-2</v>
      </c>
      <c r="S736" s="20"/>
      <c r="T736" s="7"/>
      <c r="U736" s="7"/>
      <c r="V736" s="7"/>
      <c r="W736" s="7"/>
      <c r="X736" s="7"/>
      <c r="Y736" s="7"/>
      <c r="Z736" s="7"/>
      <c r="AA736" s="7"/>
    </row>
    <row r="737" spans="1:27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>
        <v>31735</v>
      </c>
      <c r="P737" s="1">
        <f t="shared" si="37"/>
        <v>0.28268840909004211</v>
      </c>
      <c r="Q737" s="25">
        <f t="shared" si="38"/>
        <v>0.30559447986888699</v>
      </c>
      <c r="R737" s="24">
        <f t="shared" si="39"/>
        <v>9.486730423446943E-2</v>
      </c>
      <c r="S737" s="20"/>
      <c r="T737" s="7"/>
      <c r="U737" s="7"/>
      <c r="V737" s="7"/>
      <c r="W737" s="7"/>
      <c r="X737" s="7"/>
      <c r="Y737" s="7"/>
      <c r="Z737" s="7"/>
      <c r="AA737" s="7"/>
    </row>
    <row r="738" spans="1:27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>
        <v>31736</v>
      </c>
      <c r="P738" s="1">
        <f t="shared" si="37"/>
        <v>0.28299310803413391</v>
      </c>
      <c r="Q738" s="25">
        <f t="shared" si="38"/>
        <v>0.30568877627956681</v>
      </c>
      <c r="R738" s="24">
        <f t="shared" si="39"/>
        <v>9.3692054115024348E-2</v>
      </c>
      <c r="S738" s="20"/>
      <c r="T738" s="7"/>
      <c r="U738" s="7"/>
      <c r="V738" s="7"/>
      <c r="W738" s="7"/>
      <c r="X738" s="7"/>
      <c r="Y738" s="7"/>
      <c r="Z738" s="7"/>
      <c r="AA738" s="7"/>
    </row>
    <row r="739" spans="1:27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>
        <v>31737</v>
      </c>
      <c r="P739" s="1">
        <f t="shared" si="37"/>
        <v>0.28329887986183167</v>
      </c>
      <c r="Q739" s="25">
        <f t="shared" si="38"/>
        <v>0.30578185032936744</v>
      </c>
      <c r="R739" s="24">
        <f t="shared" si="39"/>
        <v>9.252046684338211E-2</v>
      </c>
      <c r="S739" s="20"/>
      <c r="T739" s="7"/>
      <c r="U739" s="7"/>
      <c r="V739" s="7"/>
      <c r="W739" s="7"/>
      <c r="X739" s="7"/>
      <c r="Y739" s="7"/>
      <c r="Z739" s="7"/>
      <c r="AA739" s="7"/>
    </row>
    <row r="740" spans="1:27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>
        <v>31738</v>
      </c>
      <c r="P740" s="1">
        <f t="shared" si="37"/>
        <v>0.28360477089881897</v>
      </c>
      <c r="Q740" s="25">
        <f t="shared" si="38"/>
        <v>0.30587384753744118</v>
      </c>
      <c r="R740" s="24">
        <f t="shared" si="39"/>
        <v>9.135255840675427E-2</v>
      </c>
      <c r="S740" s="20"/>
      <c r="T740" s="7"/>
      <c r="U740" s="7"/>
      <c r="V740" s="7"/>
      <c r="W740" s="7"/>
      <c r="X740" s="7"/>
      <c r="Y740" s="7"/>
      <c r="Z740" s="7"/>
      <c r="AA740" s="7"/>
    </row>
    <row r="741" spans="1:27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>
        <v>31739</v>
      </c>
      <c r="P741" s="1">
        <f t="shared" si="37"/>
        <v>0.28391066193580627</v>
      </c>
      <c r="Q741" s="25">
        <f t="shared" si="38"/>
        <v>0.30596459328080527</v>
      </c>
      <c r="R741" s="24">
        <f t="shared" si="39"/>
        <v>9.0188341239638703E-2</v>
      </c>
      <c r="S741" s="20"/>
      <c r="T741" s="7"/>
      <c r="U741" s="7"/>
      <c r="V741" s="7"/>
      <c r="W741" s="7"/>
      <c r="X741" s="7"/>
      <c r="Y741" s="7"/>
      <c r="Z741" s="7"/>
      <c r="AA741" s="7"/>
    </row>
    <row r="742" spans="1:27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>
        <v>31740</v>
      </c>
      <c r="P742" s="1">
        <f t="shared" si="37"/>
        <v>0.28421691060066223</v>
      </c>
      <c r="Q742" s="25">
        <f t="shared" si="38"/>
        <v>0.3060541748709511</v>
      </c>
      <c r="R742" s="24">
        <f t="shared" si="39"/>
        <v>8.9027822447462768E-2</v>
      </c>
      <c r="S742" s="20"/>
      <c r="T742" s="7"/>
      <c r="U742" s="7"/>
      <c r="V742" s="7"/>
      <c r="W742" s="7"/>
      <c r="X742" s="7"/>
      <c r="Y742" s="7"/>
      <c r="Z742" s="7"/>
      <c r="AA742" s="7"/>
    </row>
    <row r="743" spans="1:27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>
        <v>31741</v>
      </c>
      <c r="P743" s="1">
        <f t="shared" si="37"/>
        <v>0.28452304005622864</v>
      </c>
      <c r="Q743" s="25">
        <f t="shared" si="38"/>
        <v>0.30614259230787866</v>
      </c>
      <c r="R743" s="24">
        <f t="shared" si="39"/>
        <v>8.7871018017438018E-2</v>
      </c>
      <c r="S743" s="20"/>
      <c r="T743" s="7"/>
      <c r="U743" s="7"/>
      <c r="V743" s="7"/>
      <c r="W743" s="7"/>
      <c r="X743" s="7"/>
      <c r="Y743" s="7"/>
      <c r="Z743" s="7"/>
      <c r="AA743" s="7"/>
    </row>
    <row r="744" spans="1:27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>
        <v>31742</v>
      </c>
      <c r="P744" s="1">
        <f t="shared" si="37"/>
        <v>0.28482916951179504</v>
      </c>
      <c r="Q744" s="25">
        <f t="shared" si="38"/>
        <v>0.30622996200690977</v>
      </c>
      <c r="R744" s="24">
        <f t="shared" si="39"/>
        <v>8.6717933278634973E-2</v>
      </c>
      <c r="S744" s="20"/>
      <c r="T744" s="7"/>
      <c r="U744" s="7"/>
      <c r="V744" s="7"/>
      <c r="W744" s="7"/>
      <c r="X744" s="7"/>
      <c r="Y744" s="7"/>
      <c r="Z744" s="7"/>
      <c r="AA744" s="7"/>
    </row>
    <row r="745" spans="1:27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>
        <v>31743</v>
      </c>
      <c r="P745" s="1">
        <f t="shared" si="37"/>
        <v>0.2851356565952301</v>
      </c>
      <c r="Q745" s="25">
        <f t="shared" si="38"/>
        <v>0.30631605113740079</v>
      </c>
      <c r="R745" s="24">
        <f t="shared" si="39"/>
        <v>8.5568580665551508E-2</v>
      </c>
      <c r="S745" s="20"/>
      <c r="T745" s="7"/>
      <c r="U745" s="7"/>
      <c r="V745" s="7"/>
      <c r="W745" s="7"/>
      <c r="X745" s="7"/>
      <c r="Y745" s="7"/>
      <c r="Z745" s="7"/>
      <c r="AA745" s="7"/>
    </row>
    <row r="746" spans="1:27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>
        <v>31744</v>
      </c>
      <c r="P746" s="1">
        <f t="shared" si="37"/>
        <v>0.28544178605079651</v>
      </c>
      <c r="Q746" s="25">
        <f t="shared" si="38"/>
        <v>0.30640106342616491</v>
      </c>
      <c r="R746" s="24">
        <f t="shared" si="39"/>
        <v>8.4422965507258141E-2</v>
      </c>
      <c r="S746" s="20"/>
      <c r="T746" s="7"/>
      <c r="U746" s="7"/>
      <c r="V746" s="7"/>
      <c r="W746" s="7"/>
      <c r="X746" s="7"/>
      <c r="Y746" s="7"/>
      <c r="Z746" s="7"/>
      <c r="AA746" s="7"/>
    </row>
    <row r="747" spans="1:27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>
        <v>31745</v>
      </c>
      <c r="P747" s="1">
        <f t="shared" si="37"/>
        <v>0.28574863076210022</v>
      </c>
      <c r="Q747" s="25">
        <f t="shared" si="38"/>
        <v>0.30648491156171076</v>
      </c>
      <c r="R747" s="24">
        <f t="shared" si="39"/>
        <v>8.3281114449107463E-2</v>
      </c>
      <c r="S747" s="20"/>
      <c r="T747" s="7"/>
      <c r="U747" s="7"/>
      <c r="V747" s="7"/>
      <c r="W747" s="7"/>
      <c r="X747" s="7"/>
      <c r="Y747" s="7"/>
      <c r="Z747" s="7"/>
      <c r="AA747" s="7"/>
    </row>
    <row r="748" spans="1:27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>
        <v>31746</v>
      </c>
      <c r="P748" s="1">
        <f t="shared" si="37"/>
        <v>0.28605464100837708</v>
      </c>
      <c r="Q748" s="25">
        <f t="shared" si="38"/>
        <v>0.30656768285552971</v>
      </c>
      <c r="R748" s="24">
        <f t="shared" si="39"/>
        <v>8.2143020385672116E-2</v>
      </c>
      <c r="S748" s="20"/>
      <c r="T748" s="7"/>
      <c r="U748" s="7"/>
      <c r="V748" s="7"/>
      <c r="W748" s="7"/>
      <c r="X748" s="7"/>
      <c r="Y748" s="7"/>
      <c r="Z748" s="7"/>
      <c r="AA748" s="7"/>
    </row>
    <row r="749" spans="1:27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>
        <v>31747</v>
      </c>
      <c r="P749" s="1">
        <f t="shared" si="37"/>
        <v>0.28636100888252258</v>
      </c>
      <c r="Q749" s="25">
        <f t="shared" si="38"/>
        <v>0.30664920268463902</v>
      </c>
      <c r="R749" s="24">
        <f t="shared" si="39"/>
        <v>8.1008701080520495E-2</v>
      </c>
      <c r="S749" s="20"/>
      <c r="T749" s="7"/>
      <c r="U749" s="7"/>
      <c r="V749" s="7"/>
      <c r="W749" s="7"/>
      <c r="X749" s="7"/>
      <c r="Y749" s="7"/>
      <c r="Z749" s="7"/>
      <c r="AA749" s="7"/>
    </row>
    <row r="750" spans="1:27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>
        <v>31748</v>
      </c>
      <c r="P750" s="1">
        <f t="shared" si="37"/>
        <v>0.2866680920124054</v>
      </c>
      <c r="Q750" s="25">
        <f t="shared" si="38"/>
        <v>0.30672967477585189</v>
      </c>
      <c r="R750" s="24">
        <f t="shared" si="39"/>
        <v>7.9878168968150476E-2</v>
      </c>
      <c r="S750" s="20"/>
      <c r="T750" s="7"/>
      <c r="U750" s="7"/>
      <c r="V750" s="7"/>
      <c r="W750" s="7"/>
      <c r="X750" s="7"/>
      <c r="Y750" s="7"/>
      <c r="Z750" s="7"/>
      <c r="AA750" s="7"/>
    </row>
    <row r="751" spans="1:27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>
        <v>31749</v>
      </c>
      <c r="P751" s="1">
        <f t="shared" si="37"/>
        <v>0.28697457909584045</v>
      </c>
      <c r="Q751" s="25">
        <f t="shared" si="38"/>
        <v>0.30680898271384649</v>
      </c>
      <c r="R751" s="24">
        <f t="shared" si="39"/>
        <v>7.8751427601275736E-2</v>
      </c>
      <c r="S751" s="20"/>
      <c r="T751" s="7"/>
      <c r="U751" s="7"/>
      <c r="V751" s="7"/>
      <c r="W751" s="7"/>
      <c r="X751" s="7"/>
      <c r="Y751" s="7"/>
      <c r="Z751" s="7"/>
      <c r="AA751" s="7"/>
    </row>
    <row r="752" spans="1:27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>
        <v>31750</v>
      </c>
      <c r="P752" s="1">
        <f t="shared" si="37"/>
        <v>0.28728190064430237</v>
      </c>
      <c r="Q752" s="25">
        <f t="shared" si="38"/>
        <v>0.30688721381011419</v>
      </c>
      <c r="R752" s="24">
        <f t="shared" si="39"/>
        <v>7.7628491190750992E-2</v>
      </c>
      <c r="S752" s="20"/>
      <c r="T752" s="7"/>
      <c r="U752" s="7"/>
      <c r="V752" s="7"/>
      <c r="W752" s="7"/>
      <c r="X752" s="7"/>
      <c r="Y752" s="7"/>
      <c r="Z752" s="7"/>
      <c r="AA752" s="7"/>
    </row>
    <row r="753" spans="1:27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>
        <v>31751</v>
      </c>
      <c r="P753" s="1">
        <f t="shared" si="37"/>
        <v>0.28758874535560608</v>
      </c>
      <c r="Q753" s="25">
        <f t="shared" si="38"/>
        <v>0.30696428075316362</v>
      </c>
      <c r="R753" s="24">
        <f t="shared" si="39"/>
        <v>7.650937039471728E-2</v>
      </c>
      <c r="S753" s="20"/>
      <c r="T753" s="7"/>
      <c r="U753" s="7"/>
      <c r="V753" s="7"/>
      <c r="W753" s="7"/>
      <c r="X753" s="7"/>
      <c r="Y753" s="7"/>
      <c r="Z753" s="7"/>
      <c r="AA753" s="7"/>
    </row>
    <row r="754" spans="1:27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>
        <v>31752</v>
      </c>
      <c r="P754" s="1">
        <f t="shared" si="37"/>
        <v>0.28789523243904114</v>
      </c>
      <c r="Q754" s="25">
        <f t="shared" si="38"/>
        <v>0.30704018354299478</v>
      </c>
      <c r="R754" s="24">
        <f t="shared" si="39"/>
        <v>7.5394066989531439E-2</v>
      </c>
      <c r="S754" s="20"/>
      <c r="T754" s="7"/>
      <c r="U754" s="7"/>
      <c r="V754" s="7"/>
      <c r="W754" s="7"/>
      <c r="X754" s="7"/>
      <c r="Y754" s="7"/>
      <c r="Z754" s="7"/>
      <c r="AA754" s="7"/>
    </row>
    <row r="755" spans="1:27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>
        <v>31753</v>
      </c>
      <c r="P755" s="1">
        <f t="shared" si="37"/>
        <v>0.28820303082466125</v>
      </c>
      <c r="Q755" s="25">
        <f t="shared" si="38"/>
        <v>0.30711495128343813</v>
      </c>
      <c r="R755" s="24">
        <f t="shared" si="39"/>
        <v>7.4282602291475541E-2</v>
      </c>
      <c r="S755" s="20"/>
      <c r="T755" s="7"/>
      <c r="U755" s="7"/>
      <c r="V755" s="7"/>
      <c r="W755" s="7"/>
      <c r="X755" s="7"/>
      <c r="Y755" s="7"/>
      <c r="Z755" s="7"/>
      <c r="AA755" s="7"/>
    </row>
    <row r="756" spans="1:27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>
        <v>31754</v>
      </c>
      <c r="P756" s="1">
        <f t="shared" si="37"/>
        <v>0.28851011395454407</v>
      </c>
      <c r="Q756" s="25">
        <f t="shared" si="38"/>
        <v>0.30718872949364595</v>
      </c>
      <c r="R756" s="24">
        <f t="shared" si="39"/>
        <v>7.3174983405976946E-2</v>
      </c>
      <c r="S756" s="20"/>
      <c r="T756" s="7"/>
      <c r="U756" s="7"/>
      <c r="V756" s="7"/>
      <c r="W756" s="7"/>
      <c r="X756" s="7"/>
      <c r="Y756" s="7"/>
      <c r="Z756" s="7"/>
      <c r="AA756" s="7"/>
    </row>
    <row r="757" spans="1:27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>
        <v>31755</v>
      </c>
      <c r="P757" s="1">
        <f t="shared" si="37"/>
        <v>0.28881731629371643</v>
      </c>
      <c r="Q757" s="25">
        <f t="shared" si="38"/>
        <v>0.3072613435506355</v>
      </c>
      <c r="R757" s="24">
        <f t="shared" si="39"/>
        <v>7.2071210333035651E-2</v>
      </c>
      <c r="S757" s="20"/>
      <c r="T757" s="7"/>
      <c r="U757" s="7"/>
      <c r="V757" s="7"/>
      <c r="W757" s="7"/>
      <c r="X757" s="7"/>
      <c r="Y757" s="7"/>
      <c r="Z757" s="7"/>
      <c r="AA757" s="7"/>
    </row>
    <row r="758" spans="1:27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>
        <v>31756</v>
      </c>
      <c r="P758" s="1">
        <f t="shared" si="37"/>
        <v>0.28912416100502014</v>
      </c>
      <c r="Q758" s="25">
        <f t="shared" si="38"/>
        <v>0.30733288076589815</v>
      </c>
      <c r="R758" s="24">
        <f t="shared" si="39"/>
        <v>7.0971299059863213E-2</v>
      </c>
      <c r="S758" s="20"/>
      <c r="T758" s="7"/>
      <c r="U758" s="7"/>
      <c r="V758" s="7"/>
      <c r="W758" s="7"/>
      <c r="X758" s="7"/>
      <c r="Y758" s="7"/>
      <c r="Z758" s="7"/>
      <c r="AA758" s="7"/>
    </row>
    <row r="759" spans="1:27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>
        <v>31757</v>
      </c>
      <c r="P759" s="1">
        <f t="shared" si="37"/>
        <v>0.28943195939064026</v>
      </c>
      <c r="Q759" s="25">
        <f t="shared" si="38"/>
        <v>0.30740334113943391</v>
      </c>
      <c r="R759" s="24">
        <f t="shared" si="39"/>
        <v>6.9875262020957507E-2</v>
      </c>
      <c r="S759" s="20"/>
      <c r="T759" s="7"/>
      <c r="U759" s="7"/>
      <c r="V759" s="7"/>
      <c r="W759" s="7"/>
      <c r="X759" s="7"/>
      <c r="Y759" s="7"/>
      <c r="Z759" s="7"/>
      <c r="AA759" s="7"/>
    </row>
    <row r="760" spans="1:27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>
        <v>31758</v>
      </c>
      <c r="P760" s="1">
        <f t="shared" si="37"/>
        <v>0.28973963856697083</v>
      </c>
      <c r="Q760" s="25">
        <f t="shared" si="38"/>
        <v>0.30747263735975139</v>
      </c>
      <c r="R760" s="24">
        <f t="shared" si="39"/>
        <v>6.8783100992675372E-2</v>
      </c>
      <c r="S760" s="20"/>
      <c r="T760" s="7"/>
      <c r="U760" s="7"/>
      <c r="V760" s="7"/>
      <c r="W760" s="7"/>
      <c r="X760" s="7"/>
      <c r="Y760" s="7"/>
      <c r="Z760" s="7"/>
      <c r="AA760" s="7"/>
    </row>
    <row r="761" spans="1:27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>
        <v>31759</v>
      </c>
      <c r="P761" s="1">
        <f t="shared" si="37"/>
        <v>0.29004624485969543</v>
      </c>
      <c r="Q761" s="25">
        <f t="shared" si="38"/>
        <v>0.30754091494600289</v>
      </c>
      <c r="R761" s="24">
        <f t="shared" si="39"/>
        <v>6.7694831962228363E-2</v>
      </c>
      <c r="S761" s="20"/>
      <c r="T761" s="7"/>
      <c r="U761" s="7"/>
      <c r="V761" s="7"/>
      <c r="W761" s="7"/>
      <c r="X761" s="7"/>
      <c r="Y761" s="7"/>
      <c r="Z761" s="7"/>
      <c r="AA761" s="7"/>
    </row>
    <row r="762" spans="1:27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>
        <v>31760</v>
      </c>
      <c r="P762" s="1">
        <f t="shared" si="37"/>
        <v>0.29035404324531555</v>
      </c>
      <c r="Q762" s="25">
        <f t="shared" si="38"/>
        <v>0.30760805748286657</v>
      </c>
      <c r="R762" s="24">
        <f t="shared" si="39"/>
        <v>6.6610458482330159E-2</v>
      </c>
      <c r="S762" s="20"/>
      <c r="T762" s="7"/>
      <c r="U762" s="7"/>
      <c r="V762" s="7"/>
      <c r="W762" s="7"/>
      <c r="X762" s="7"/>
      <c r="Y762" s="7"/>
      <c r="Z762" s="7"/>
      <c r="AA762" s="7"/>
    </row>
    <row r="763" spans="1:27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>
        <v>31761</v>
      </c>
      <c r="P763" s="1">
        <f t="shared" si="37"/>
        <v>0.29066196084022522</v>
      </c>
      <c r="Q763" s="25">
        <f t="shared" si="38"/>
        <v>0.30767415228183381</v>
      </c>
      <c r="R763" s="24">
        <f t="shared" si="39"/>
        <v>6.5529989434764957E-2</v>
      </c>
      <c r="S763" s="20"/>
      <c r="T763" s="7"/>
      <c r="U763" s="7"/>
      <c r="V763" s="7"/>
      <c r="W763" s="7"/>
      <c r="X763" s="7"/>
      <c r="Y763" s="7"/>
      <c r="Z763" s="7"/>
      <c r="AA763" s="7"/>
    </row>
    <row r="764" spans="1:27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>
        <v>31762</v>
      </c>
      <c r="P764" s="1">
        <f t="shared" si="37"/>
        <v>0.29096952080726624</v>
      </c>
      <c r="Q764" s="25">
        <f t="shared" si="38"/>
        <v>0.30773911203141324</v>
      </c>
      <c r="R764" s="24">
        <f t="shared" si="39"/>
        <v>6.4453439030387472E-2</v>
      </c>
      <c r="S764" s="20"/>
      <c r="T764" s="7"/>
      <c r="U764" s="7"/>
      <c r="V764" s="7"/>
      <c r="W764" s="7"/>
      <c r="X764" s="7"/>
      <c r="Y764" s="7"/>
      <c r="Z764" s="7"/>
      <c r="AA764" s="7"/>
    </row>
    <row r="765" spans="1:27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>
        <v>31763</v>
      </c>
      <c r="P765" s="1">
        <f t="shared" si="37"/>
        <v>0.29127755761146545</v>
      </c>
      <c r="Q765" s="25">
        <f t="shared" si="38"/>
        <v>0.30780299493926577</v>
      </c>
      <c r="R765" s="24">
        <f t="shared" si="39"/>
        <v>6.3380810821911382E-2</v>
      </c>
      <c r="S765" s="20"/>
      <c r="T765" s="7"/>
      <c r="U765" s="7"/>
      <c r="V765" s="7"/>
      <c r="W765" s="7"/>
      <c r="X765" s="7"/>
      <c r="Y765" s="7"/>
      <c r="Z765" s="7"/>
      <c r="AA765" s="7"/>
    </row>
    <row r="766" spans="1:27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>
        <v>31764</v>
      </c>
      <c r="P766" s="1">
        <f t="shared" si="37"/>
        <v>0.29158499836921692</v>
      </c>
      <c r="Q766" s="25">
        <f t="shared" si="38"/>
        <v>0.30786585921305232</v>
      </c>
      <c r="R766" s="24">
        <f t="shared" si="39"/>
        <v>6.2312119020191403E-2</v>
      </c>
      <c r="S766" s="20"/>
      <c r="T766" s="7"/>
      <c r="U766" s="7"/>
      <c r="V766" s="7"/>
      <c r="W766" s="7"/>
      <c r="X766" s="7"/>
      <c r="Y766" s="7"/>
      <c r="Z766" s="7"/>
      <c r="AA766" s="7"/>
    </row>
    <row r="767" spans="1:27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>
        <v>31765</v>
      </c>
      <c r="P767" s="1">
        <f t="shared" si="37"/>
        <v>0.29189351201057434</v>
      </c>
      <c r="Q767" s="25">
        <f t="shared" si="38"/>
        <v>0.30792761754128151</v>
      </c>
      <c r="R767" s="24">
        <f t="shared" si="39"/>
        <v>6.1247360072513857E-2</v>
      </c>
      <c r="S767" s="20"/>
      <c r="T767" s="7"/>
      <c r="U767" s="7"/>
      <c r="V767" s="7"/>
      <c r="W767" s="7"/>
      <c r="X767" s="7"/>
      <c r="Y767" s="7"/>
      <c r="Z767" s="7"/>
      <c r="AA767" s="7"/>
    </row>
    <row r="768" spans="1:27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>
        <v>31766</v>
      </c>
      <c r="P768" s="1">
        <f t="shared" si="37"/>
        <v>0.29220107197761536</v>
      </c>
      <c r="Q768" s="25">
        <f t="shared" si="38"/>
        <v>0.30798835723544471</v>
      </c>
      <c r="R768" s="24">
        <f t="shared" si="39"/>
        <v>6.0186555295160815E-2</v>
      </c>
      <c r="S768" s="20"/>
      <c r="T768" s="7"/>
      <c r="U768" s="7"/>
      <c r="V768" s="7"/>
      <c r="W768" s="7"/>
      <c r="X768" s="7"/>
      <c r="Y768" s="7"/>
      <c r="Z768" s="7"/>
      <c r="AA768" s="7"/>
    </row>
    <row r="769" spans="1:27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>
        <v>31767</v>
      </c>
      <c r="P769" s="1">
        <f t="shared" si="37"/>
        <v>0.29250898957252502</v>
      </c>
      <c r="Q769" s="25">
        <f t="shared" si="38"/>
        <v>0.30804802008788101</v>
      </c>
      <c r="R769" s="24">
        <f t="shared" si="39"/>
        <v>5.9129708240845957E-2</v>
      </c>
      <c r="S769" s="20"/>
      <c r="T769" s="7"/>
      <c r="U769" s="7"/>
      <c r="V769" s="7"/>
      <c r="W769" s="7"/>
      <c r="X769" s="7"/>
      <c r="Y769" s="7"/>
      <c r="Z769" s="7"/>
      <c r="AA769" s="7"/>
    </row>
    <row r="770" spans="1:27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>
        <v>31768</v>
      </c>
      <c r="P770" s="1">
        <f t="shared" si="37"/>
        <v>0.29281702637672424</v>
      </c>
      <c r="Q770" s="25">
        <f t="shared" si="38"/>
        <v>0.30810660609859042</v>
      </c>
      <c r="R770" s="24">
        <f t="shared" si="39"/>
        <v>5.8076822462282962E-2</v>
      </c>
      <c r="S770" s="20"/>
      <c r="T770" s="7"/>
      <c r="U770" s="7"/>
      <c r="V770" s="7"/>
      <c r="W770" s="7"/>
      <c r="X770" s="7"/>
      <c r="Y770" s="7"/>
      <c r="Z770" s="7"/>
      <c r="AA770" s="7"/>
    </row>
    <row r="771" spans="1:27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>
        <v>31769</v>
      </c>
      <c r="P771" s="1">
        <f t="shared" si="37"/>
        <v>0.29312554001808167</v>
      </c>
      <c r="Q771" s="25">
        <f t="shared" si="38"/>
        <v>0.30816420257906429</v>
      </c>
      <c r="R771" s="24">
        <f t="shared" si="39"/>
        <v>5.7027905064899187E-2</v>
      </c>
      <c r="S771" s="20"/>
      <c r="T771" s="7"/>
      <c r="U771" s="7"/>
      <c r="V771" s="7"/>
      <c r="W771" s="7"/>
      <c r="X771" s="7"/>
      <c r="Y771" s="7"/>
      <c r="Z771" s="7"/>
      <c r="AA771" s="7"/>
    </row>
    <row r="772" spans="1:27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>
        <v>31770</v>
      </c>
      <c r="P772" s="1">
        <f t="shared" si="37"/>
        <v>0.29343369603157043</v>
      </c>
      <c r="Q772" s="25">
        <f t="shared" si="38"/>
        <v>0.30822069311398081</v>
      </c>
      <c r="R772" s="24">
        <f t="shared" si="39"/>
        <v>5.5982972035906187E-2</v>
      </c>
      <c r="S772" s="20"/>
      <c r="T772" s="7"/>
      <c r="U772" s="7"/>
      <c r="V772" s="7"/>
      <c r="W772" s="7"/>
      <c r="X772" s="7"/>
      <c r="Y772" s="7"/>
      <c r="Z772" s="7"/>
      <c r="AA772" s="7"/>
    </row>
    <row r="773" spans="1:27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>
        <v>31771</v>
      </c>
      <c r="P773" s="1">
        <f t="shared" si="37"/>
        <v>0.29374220967292786</v>
      </c>
      <c r="Q773" s="25">
        <f t="shared" si="38"/>
        <v>0.30827613591100089</v>
      </c>
      <c r="R773" s="24">
        <f t="shared" si="39"/>
        <v>5.4942028704374479E-2</v>
      </c>
      <c r="S773" s="20"/>
      <c r="T773" s="7"/>
      <c r="U773" s="7"/>
      <c r="V773" s="7"/>
      <c r="W773" s="7"/>
      <c r="X773" s="7"/>
      <c r="Y773" s="7"/>
      <c r="Z773" s="7"/>
      <c r="AA773" s="7"/>
    </row>
    <row r="774" spans="1:27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>
        <v>31772</v>
      </c>
      <c r="P774" s="1">
        <f t="shared" si="37"/>
        <v>0.29405024647712708</v>
      </c>
      <c r="Q774" s="25">
        <f t="shared" si="38"/>
        <v>0.30833056007395498</v>
      </c>
      <c r="R774" s="24">
        <f t="shared" si="39"/>
        <v>5.3905080399374583E-2</v>
      </c>
      <c r="S774" s="20"/>
      <c r="T774" s="7"/>
      <c r="U774" s="7"/>
      <c r="V774" s="7"/>
      <c r="W774" s="7"/>
      <c r="X774" s="7"/>
      <c r="Y774" s="7"/>
      <c r="Z774" s="7"/>
      <c r="AA774" s="7"/>
    </row>
    <row r="775" spans="1:27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>
        <v>31773</v>
      </c>
      <c r="P775" s="1">
        <f t="shared" si="37"/>
        <v>0.29435840249061584</v>
      </c>
      <c r="Q775" s="25">
        <f t="shared" si="38"/>
        <v>0.30838396560284309</v>
      </c>
      <c r="R775" s="24">
        <f t="shared" si="39"/>
        <v>5.2872136002690695E-2</v>
      </c>
      <c r="S775" s="20"/>
      <c r="T775" s="7"/>
      <c r="U775" s="7"/>
      <c r="V775" s="7"/>
      <c r="W775" s="7"/>
      <c r="X775" s="7"/>
      <c r="Y775" s="7"/>
      <c r="Z775" s="7"/>
      <c r="AA775" s="7"/>
    </row>
    <row r="776" spans="1:27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>
        <v>31774</v>
      </c>
      <c r="P776" s="1">
        <f t="shared" si="37"/>
        <v>0.29466739296913147</v>
      </c>
      <c r="Q776" s="25">
        <f t="shared" si="38"/>
        <v>0.30843632339383475</v>
      </c>
      <c r="R776" s="24">
        <f t="shared" si="39"/>
        <v>5.1843202619750173E-2</v>
      </c>
      <c r="S776" s="20"/>
      <c r="T776" s="7"/>
      <c r="U776" s="7"/>
      <c r="V776" s="7"/>
      <c r="W776" s="7"/>
      <c r="X776" s="7"/>
      <c r="Y776" s="7"/>
      <c r="Z776" s="7"/>
      <c r="AA776" s="7"/>
    </row>
    <row r="777" spans="1:27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>
        <v>31775</v>
      </c>
      <c r="P777" s="1">
        <f t="shared" si="37"/>
        <v>0.29497542977333069</v>
      </c>
      <c r="Q777" s="25">
        <f t="shared" si="38"/>
        <v>0.30848763344692998</v>
      </c>
      <c r="R777" s="24">
        <f t="shared" si="39"/>
        <v>5.0818283803266695E-2</v>
      </c>
      <c r="S777" s="20"/>
      <c r="T777" s="7"/>
      <c r="U777" s="7"/>
      <c r="V777" s="7"/>
      <c r="W777" s="7"/>
      <c r="X777" s="7"/>
      <c r="Y777" s="7"/>
      <c r="Z777" s="7"/>
      <c r="AA777" s="7"/>
    </row>
    <row r="778" spans="1:27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>
        <v>31776</v>
      </c>
      <c r="P778" s="1">
        <f t="shared" ref="P778:P841" si="40" xml:space="preserve"> -1.4681315616E-19*$O778^6 + 2.80493263066289E-14*$O778^5 - 2.23271907955907E-09*$O778^4 + 0.0000947783879077569*$O778^3 - 2.26293121558813*$O778^2 + 28813.4861268598*$O778 - 152852350.445896</f>
        <v>0.29528382420539856</v>
      </c>
      <c r="Q778" s="25">
        <f t="shared" ref="Q778:Q841" si="41" xml:space="preserve"> (6*-1.4681315616E-19*$O778^5 + 5*2.80493263066289E-14*$O778^4 - 4*2.23271907955907E-09*$O778^3 + 3*0.0000947783879077569*$O778^2 - 2*2.26293121558813*$O778^1 + 28813.4861268598)*1000</f>
        <v>0.30853789576212876</v>
      </c>
      <c r="R778" s="24">
        <f t="shared" ref="R778:R841" si="42" xml:space="preserve"> (5*6*-1.4681315616E-19*$O778^4 + 4*5*2.80493263066289E-14*$O778^3 - 3*4*2.23271907955907E-09*$O778^2 + 2*3*0.0000947783879077569*$O778^1 - 2*2.26293121558813)*1000*1000</f>
        <v>4.9797393764094977E-2</v>
      </c>
      <c r="S778" s="20"/>
      <c r="T778" s="7"/>
      <c r="U778" s="7"/>
      <c r="V778" s="7"/>
      <c r="W778" s="7"/>
      <c r="X778" s="7"/>
      <c r="Y778" s="7"/>
      <c r="Z778" s="7"/>
      <c r="AA778" s="7"/>
    </row>
    <row r="779" spans="1:27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>
        <v>31777</v>
      </c>
      <c r="P779" s="1">
        <f t="shared" si="40"/>
        <v>0.29559257626533508</v>
      </c>
      <c r="Q779" s="25">
        <f t="shared" si="41"/>
        <v>0.30858722675475292</v>
      </c>
      <c r="R779" s="24">
        <f t="shared" si="42"/>
        <v>4.8780532502235019E-2</v>
      </c>
      <c r="S779" s="20"/>
      <c r="T779" s="7"/>
      <c r="U779" s="7"/>
      <c r="V779" s="7"/>
      <c r="W779" s="7"/>
      <c r="X779" s="7"/>
      <c r="Y779" s="7"/>
      <c r="Z779" s="7"/>
      <c r="AA779" s="7"/>
    </row>
    <row r="780" spans="1:27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>
        <v>31778</v>
      </c>
      <c r="P780" s="1">
        <f t="shared" si="40"/>
        <v>0.2959010899066925</v>
      </c>
      <c r="Q780" s="25">
        <f t="shared" si="41"/>
        <v>0.30863551000948064</v>
      </c>
      <c r="R780" s="24">
        <f t="shared" si="42"/>
        <v>4.7767710675827857E-2</v>
      </c>
      <c r="S780" s="20"/>
      <c r="T780" s="7"/>
      <c r="U780" s="7"/>
      <c r="V780" s="7"/>
      <c r="W780" s="7"/>
      <c r="X780" s="7"/>
      <c r="Y780" s="7"/>
      <c r="Z780" s="7"/>
      <c r="AA780" s="7"/>
    </row>
    <row r="781" spans="1:27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>
        <v>31779</v>
      </c>
      <c r="P781" s="1">
        <f t="shared" si="40"/>
        <v>0.29620948433876038</v>
      </c>
      <c r="Q781" s="25">
        <f t="shared" si="41"/>
        <v>0.30868277463014238</v>
      </c>
      <c r="R781" s="24">
        <f t="shared" si="42"/>
        <v>4.6758938943014527E-2</v>
      </c>
      <c r="S781" s="20"/>
      <c r="T781" s="7"/>
      <c r="U781" s="7"/>
      <c r="V781" s="7"/>
      <c r="W781" s="7"/>
      <c r="X781" s="7"/>
      <c r="Y781" s="7"/>
      <c r="Z781" s="7"/>
      <c r="AA781" s="7"/>
    </row>
    <row r="782" spans="1:27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>
        <v>31780</v>
      </c>
      <c r="P782" s="1">
        <f t="shared" si="40"/>
        <v>0.2965187132358551</v>
      </c>
      <c r="Q782" s="25">
        <f t="shared" si="41"/>
        <v>0.30872902061673813</v>
      </c>
      <c r="R782" s="24">
        <f t="shared" si="42"/>
        <v>4.5754217303795031E-2</v>
      </c>
      <c r="S782" s="20"/>
      <c r="T782" s="7"/>
      <c r="U782" s="7"/>
      <c r="V782" s="7"/>
      <c r="W782" s="7"/>
      <c r="X782" s="7"/>
      <c r="Y782" s="7"/>
      <c r="Z782" s="7"/>
      <c r="AA782" s="7"/>
    </row>
    <row r="783" spans="1:27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>
        <v>31781</v>
      </c>
      <c r="P783" s="1">
        <f t="shared" si="40"/>
        <v>0.29682722687721252</v>
      </c>
      <c r="Q783" s="25">
        <f t="shared" si="41"/>
        <v>0.30877427707309835</v>
      </c>
      <c r="R783" s="24">
        <f t="shared" si="42"/>
        <v>4.4753556416310403E-2</v>
      </c>
      <c r="S783" s="20"/>
      <c r="T783" s="7"/>
      <c r="U783" s="7"/>
      <c r="V783" s="7"/>
      <c r="W783" s="7"/>
      <c r="X783" s="7"/>
      <c r="Y783" s="7"/>
      <c r="Z783" s="7"/>
      <c r="AA783" s="7"/>
    </row>
    <row r="784" spans="1:27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>
        <v>31782</v>
      </c>
      <c r="P784" s="1">
        <f t="shared" si="40"/>
        <v>0.2971356213092804</v>
      </c>
      <c r="Q784" s="25">
        <f t="shared" si="41"/>
        <v>0.3088185731030535</v>
      </c>
      <c r="R784" s="24">
        <f t="shared" si="42"/>
        <v>4.3756959833274323E-2</v>
      </c>
      <c r="S784" s="20"/>
      <c r="T784" s="7"/>
      <c r="U784" s="7"/>
      <c r="V784" s="7"/>
      <c r="W784" s="7"/>
      <c r="X784" s="7"/>
      <c r="Y784" s="7"/>
      <c r="Z784" s="7"/>
      <c r="AA784" s="7"/>
    </row>
    <row r="785" spans="1:27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>
        <v>31783</v>
      </c>
      <c r="P785" s="1">
        <f t="shared" si="40"/>
        <v>0.29744508862495422</v>
      </c>
      <c r="Q785" s="25">
        <f t="shared" si="41"/>
        <v>0.30886179229128174</v>
      </c>
      <c r="R785" s="24">
        <f t="shared" si="42"/>
        <v>4.2764441765541505E-2</v>
      </c>
      <c r="S785" s="20"/>
      <c r="T785" s="7"/>
      <c r="U785" s="7"/>
      <c r="V785" s="7"/>
      <c r="W785" s="7"/>
      <c r="X785" s="7"/>
      <c r="Y785" s="7"/>
      <c r="Z785" s="7"/>
      <c r="AA785" s="7"/>
    </row>
    <row r="786" spans="1:27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>
        <v>31784</v>
      </c>
      <c r="P786" s="1">
        <f t="shared" si="40"/>
        <v>0.29775336384773254</v>
      </c>
      <c r="Q786" s="25">
        <f t="shared" si="41"/>
        <v>0.30890402194927447</v>
      </c>
      <c r="R786" s="24">
        <f t="shared" si="42"/>
        <v>4.1775995107684594E-2</v>
      </c>
      <c r="S786" s="20"/>
      <c r="T786" s="7"/>
      <c r="U786" s="7"/>
      <c r="V786" s="7"/>
      <c r="W786" s="7"/>
      <c r="X786" s="7"/>
      <c r="Y786" s="7"/>
      <c r="Z786" s="7"/>
      <c r="AA786" s="7"/>
    </row>
    <row r="787" spans="1:27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>
        <v>31785</v>
      </c>
      <c r="P787" s="1">
        <f t="shared" si="40"/>
        <v>0.29806223511695862</v>
      </c>
      <c r="Q787" s="25">
        <f t="shared" si="41"/>
        <v>0.30894529118086211</v>
      </c>
      <c r="R787" s="24">
        <f t="shared" si="42"/>
        <v>4.0791637623271981E-2</v>
      </c>
      <c r="S787" s="20"/>
      <c r="T787" s="7"/>
      <c r="U787" s="7"/>
      <c r="V787" s="7"/>
      <c r="W787" s="7"/>
      <c r="X787" s="7"/>
      <c r="Y787" s="7"/>
      <c r="Z787" s="7"/>
      <c r="AA787" s="7"/>
    </row>
    <row r="788" spans="1:27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>
        <v>31786</v>
      </c>
      <c r="P788" s="1">
        <f t="shared" si="40"/>
        <v>0.29837098717689514</v>
      </c>
      <c r="Q788" s="25">
        <f t="shared" si="41"/>
        <v>0.30898568729753606</v>
      </c>
      <c r="R788" s="24">
        <f t="shared" si="42"/>
        <v>3.9811365759589989E-2</v>
      </c>
      <c r="S788" s="20"/>
      <c r="T788" s="7"/>
      <c r="U788" s="7"/>
      <c r="V788" s="7"/>
      <c r="W788" s="7"/>
      <c r="X788" s="7"/>
      <c r="Y788" s="7"/>
      <c r="Z788" s="7"/>
      <c r="AA788" s="7"/>
    </row>
    <row r="789" spans="1:27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>
        <v>31787</v>
      </c>
      <c r="P789" s="1">
        <f t="shared" si="40"/>
        <v>0.29868045449256897</v>
      </c>
      <c r="Q789" s="25">
        <f t="shared" si="41"/>
        <v>0.30902494836482219</v>
      </c>
      <c r="R789" s="24">
        <f t="shared" si="42"/>
        <v>3.8835195503850173E-2</v>
      </c>
      <c r="S789" s="20"/>
      <c r="T789" s="7"/>
      <c r="U789" s="7"/>
      <c r="V789" s="7"/>
      <c r="W789" s="7"/>
      <c r="X789" s="7"/>
      <c r="Y789" s="7"/>
      <c r="Z789" s="7"/>
      <c r="AA789" s="7"/>
    </row>
    <row r="790" spans="1:27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>
        <v>31788</v>
      </c>
      <c r="P790" s="1">
        <f t="shared" si="40"/>
        <v>0.29898980259895325</v>
      </c>
      <c r="Q790" s="25">
        <f t="shared" si="41"/>
        <v>0.30906330721336417</v>
      </c>
      <c r="R790" s="24">
        <f t="shared" si="42"/>
        <v>3.7863125079695692E-2</v>
      </c>
      <c r="S790" s="20"/>
      <c r="T790" s="7"/>
      <c r="U790" s="7"/>
      <c r="V790" s="7"/>
      <c r="W790" s="7"/>
      <c r="X790" s="7"/>
      <c r="Y790" s="7"/>
      <c r="Z790" s="7"/>
      <c r="AA790" s="7"/>
    </row>
    <row r="791" spans="1:27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>
        <v>31789</v>
      </c>
      <c r="P791" s="1">
        <f t="shared" si="40"/>
        <v>0.29929879307746887</v>
      </c>
      <c r="Q791" s="25">
        <f t="shared" si="41"/>
        <v>0.30910070563550107</v>
      </c>
      <c r="R791" s="24">
        <f t="shared" si="42"/>
        <v>3.6895166921624423E-2</v>
      </c>
      <c r="S791" s="20"/>
      <c r="T791" s="7"/>
      <c r="U791" s="7"/>
      <c r="V791" s="7"/>
      <c r="W791" s="7"/>
      <c r="X791" s="7"/>
      <c r="Y791" s="7"/>
      <c r="Z791" s="7"/>
      <c r="AA791" s="7"/>
    </row>
    <row r="792" spans="1:27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>
        <v>31790</v>
      </c>
      <c r="P792" s="1">
        <f t="shared" si="40"/>
        <v>0.2996075451374054</v>
      </c>
      <c r="Q792" s="25">
        <f t="shared" si="41"/>
        <v>0.3091371436312329</v>
      </c>
      <c r="R792" s="24">
        <f t="shared" si="42"/>
        <v>3.5931321029636365E-2</v>
      </c>
      <c r="S792" s="20"/>
      <c r="T792" s="7"/>
      <c r="U792" s="7"/>
      <c r="V792" s="7"/>
      <c r="W792" s="7"/>
      <c r="X792" s="7"/>
      <c r="Y792" s="7"/>
      <c r="Z792" s="7"/>
      <c r="AA792" s="7"/>
    </row>
    <row r="793" spans="1:27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>
        <v>31791</v>
      </c>
      <c r="P793" s="1">
        <f t="shared" si="40"/>
        <v>0.29991617798805237</v>
      </c>
      <c r="Q793" s="25">
        <f t="shared" si="41"/>
        <v>0.3091725920967292</v>
      </c>
      <c r="R793" s="24">
        <f t="shared" si="42"/>
        <v>3.4971596285515716E-2</v>
      </c>
      <c r="S793" s="20"/>
      <c r="T793" s="7"/>
      <c r="U793" s="7"/>
      <c r="V793" s="7"/>
      <c r="W793" s="7"/>
      <c r="X793" s="7"/>
      <c r="Y793" s="7"/>
      <c r="Z793" s="7"/>
      <c r="AA793" s="7"/>
    </row>
    <row r="794" spans="1:27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>
        <v>31792</v>
      </c>
      <c r="P794" s="1">
        <f t="shared" si="40"/>
        <v>0.3002261221408844</v>
      </c>
      <c r="Q794" s="25">
        <f t="shared" si="41"/>
        <v>0.30920705103198998</v>
      </c>
      <c r="R794" s="24">
        <f t="shared" si="42"/>
        <v>3.4015998018332994E-2</v>
      </c>
      <c r="S794" s="20"/>
      <c r="T794" s="7"/>
      <c r="U794" s="7"/>
      <c r="V794" s="7"/>
      <c r="W794" s="7"/>
      <c r="X794" s="7"/>
      <c r="Y794" s="7"/>
      <c r="Z794" s="7"/>
      <c r="AA794" s="7"/>
    </row>
    <row r="795" spans="1:27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>
        <v>31793</v>
      </c>
      <c r="P795" s="1">
        <f t="shared" si="40"/>
        <v>0.30053547024726868</v>
      </c>
      <c r="Q795" s="25">
        <f t="shared" si="41"/>
        <v>0.30924060774850659</v>
      </c>
      <c r="R795" s="24">
        <f t="shared" si="42"/>
        <v>3.3064531557158716E-2</v>
      </c>
      <c r="S795" s="20"/>
      <c r="T795" s="7"/>
      <c r="U795" s="7"/>
      <c r="V795" s="7"/>
      <c r="W795" s="7"/>
      <c r="X795" s="7"/>
      <c r="Y795" s="7"/>
      <c r="Z795" s="7"/>
      <c r="AA795" s="7"/>
    </row>
    <row r="796" spans="1:27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>
        <v>31794</v>
      </c>
      <c r="P796" s="1">
        <f t="shared" si="40"/>
        <v>0.3008449375629425</v>
      </c>
      <c r="Q796" s="25">
        <f t="shared" si="41"/>
        <v>0.30927317493478768</v>
      </c>
      <c r="R796" s="24">
        <f t="shared" si="42"/>
        <v>3.2117196901992884E-2</v>
      </c>
      <c r="S796" s="20"/>
      <c r="T796" s="7"/>
      <c r="U796" s="7"/>
      <c r="V796" s="7"/>
      <c r="W796" s="7"/>
      <c r="X796" s="7"/>
      <c r="Y796" s="7"/>
      <c r="Z796" s="7"/>
      <c r="AA796" s="7"/>
    </row>
    <row r="797" spans="1:27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>
        <v>31795</v>
      </c>
      <c r="P797" s="1">
        <f t="shared" si="40"/>
        <v>0.30115368962287903</v>
      </c>
      <c r="Q797" s="25">
        <f t="shared" si="41"/>
        <v>0.3093048399023246</v>
      </c>
      <c r="R797" s="24">
        <f t="shared" si="42"/>
        <v>3.1174008263690212E-2</v>
      </c>
      <c r="S797" s="20"/>
      <c r="T797" s="7"/>
      <c r="U797" s="7"/>
      <c r="V797" s="7"/>
      <c r="W797" s="7"/>
      <c r="X797" s="7"/>
      <c r="Y797" s="7"/>
      <c r="Z797" s="7"/>
      <c r="AA797" s="7"/>
    </row>
    <row r="798" spans="1:27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>
        <v>31796</v>
      </c>
      <c r="P798" s="1">
        <f t="shared" si="40"/>
        <v>0.3014627993106842</v>
      </c>
      <c r="Q798" s="25">
        <f t="shared" si="41"/>
        <v>0.309335515339626</v>
      </c>
      <c r="R798" s="24">
        <f t="shared" si="42"/>
        <v>3.0234962089537021E-2</v>
      </c>
      <c r="S798" s="20"/>
      <c r="T798" s="7"/>
      <c r="U798" s="7"/>
      <c r="V798" s="7"/>
      <c r="W798" s="7"/>
      <c r="X798" s="7"/>
      <c r="Y798" s="7"/>
      <c r="Z798" s="7"/>
      <c r="AA798" s="7"/>
    </row>
    <row r="799" spans="1:27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>
        <v>31797</v>
      </c>
      <c r="P799" s="1">
        <f t="shared" si="40"/>
        <v>0.30177274346351624</v>
      </c>
      <c r="Q799" s="25">
        <f t="shared" si="41"/>
        <v>0.30936531766201369</v>
      </c>
      <c r="R799" s="24">
        <f t="shared" si="42"/>
        <v>2.9300069037674348E-2</v>
      </c>
      <c r="S799" s="20"/>
      <c r="T799" s="7"/>
      <c r="U799" s="7"/>
      <c r="V799" s="7"/>
      <c r="W799" s="7"/>
      <c r="X799" s="7"/>
      <c r="Y799" s="7"/>
      <c r="Z799" s="7"/>
      <c r="AA799" s="7"/>
    </row>
    <row r="800" spans="1:27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>
        <v>31798</v>
      </c>
      <c r="P800" s="1">
        <f t="shared" si="40"/>
        <v>0.30208173394203186</v>
      </c>
      <c r="Q800" s="25">
        <f t="shared" si="41"/>
        <v>0.30939415955799632</v>
      </c>
      <c r="R800" s="24">
        <f t="shared" si="42"/>
        <v>2.836933621352955E-2</v>
      </c>
      <c r="S800" s="20"/>
      <c r="T800" s="7"/>
      <c r="U800" s="7"/>
      <c r="V800" s="7"/>
      <c r="W800" s="7"/>
      <c r="X800" s="7"/>
      <c r="Y800" s="7"/>
      <c r="Z800" s="7"/>
      <c r="AA800" s="7"/>
    </row>
    <row r="801" spans="1:27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>
        <v>31799</v>
      </c>
      <c r="P801" s="1">
        <f t="shared" si="40"/>
        <v>0.30239108204841614</v>
      </c>
      <c r="Q801" s="25">
        <f t="shared" si="41"/>
        <v>0.30942201192374341</v>
      </c>
      <c r="R801" s="24">
        <f t="shared" si="42"/>
        <v>2.7442760064388949E-2</v>
      </c>
      <c r="S801" s="20"/>
      <c r="T801" s="7"/>
      <c r="U801" s="7"/>
      <c r="V801" s="7"/>
      <c r="W801" s="7"/>
      <c r="X801" s="7"/>
      <c r="Y801" s="7"/>
      <c r="Z801" s="7"/>
      <c r="AA801" s="7"/>
    </row>
    <row r="802" spans="1:27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>
        <v>31800</v>
      </c>
      <c r="P802" s="1">
        <f t="shared" si="40"/>
        <v>0.30270054936408997</v>
      </c>
      <c r="Q802" s="25">
        <f t="shared" si="41"/>
        <v>0.30944904938223772</v>
      </c>
      <c r="R802" s="24">
        <f t="shared" si="42"/>
        <v>2.6520351248393581E-2</v>
      </c>
      <c r="S802" s="20"/>
      <c r="T802" s="7"/>
      <c r="U802" s="7"/>
      <c r="V802" s="7"/>
      <c r="W802" s="7"/>
      <c r="X802" s="7"/>
      <c r="Y802" s="7"/>
      <c r="Z802" s="7"/>
      <c r="AA802" s="7"/>
    </row>
    <row r="803" spans="1:27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>
        <v>31801</v>
      </c>
      <c r="P803" s="1">
        <f t="shared" si="40"/>
        <v>0.303010493516922</v>
      </c>
      <c r="Q803" s="25">
        <f t="shared" si="41"/>
        <v>0.30947506820666604</v>
      </c>
      <c r="R803" s="24">
        <f t="shared" si="42"/>
        <v>2.5602115094613964E-2</v>
      </c>
      <c r="S803" s="20"/>
      <c r="T803" s="7"/>
      <c r="U803" s="7"/>
      <c r="V803" s="7"/>
      <c r="W803" s="7"/>
      <c r="X803" s="7"/>
      <c r="Y803" s="7"/>
      <c r="Z803" s="7"/>
      <c r="AA803" s="7"/>
    </row>
    <row r="804" spans="1:27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>
        <v>31802</v>
      </c>
      <c r="P804" s="1">
        <f t="shared" si="40"/>
        <v>0.30331984162330627</v>
      </c>
      <c r="Q804" s="25">
        <f t="shared" si="41"/>
        <v>0.3095001848123502</v>
      </c>
      <c r="R804" s="24">
        <f t="shared" si="42"/>
        <v>2.4688049826693259E-2</v>
      </c>
      <c r="S804" s="20"/>
      <c r="T804" s="7"/>
      <c r="U804" s="7"/>
      <c r="V804" s="7"/>
      <c r="W804" s="7"/>
      <c r="X804" s="7"/>
      <c r="Y804" s="7"/>
      <c r="Z804" s="7"/>
      <c r="AA804" s="7"/>
    </row>
    <row r="805" spans="1:27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>
        <v>31803</v>
      </c>
      <c r="P805" s="1">
        <f t="shared" si="40"/>
        <v>0.3036295473575592</v>
      </c>
      <c r="Q805" s="25">
        <f t="shared" si="41"/>
        <v>0.30952445740695111</v>
      </c>
      <c r="R805" s="24">
        <f t="shared" si="42"/>
        <v>2.3778169655486181E-2</v>
      </c>
      <c r="S805" s="20"/>
      <c r="T805" s="7"/>
      <c r="U805" s="7"/>
      <c r="V805" s="7"/>
      <c r="W805" s="7"/>
      <c r="X805" s="7"/>
      <c r="Y805" s="7"/>
      <c r="Z805" s="7"/>
      <c r="AA805" s="7"/>
    </row>
    <row r="806" spans="1:27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>
        <v>31804</v>
      </c>
      <c r="P806" s="1">
        <f t="shared" si="40"/>
        <v>0.30393925309181213</v>
      </c>
      <c r="Q806" s="25">
        <f t="shared" si="41"/>
        <v>0.30954776957514696</v>
      </c>
      <c r="R806" s="24">
        <f t="shared" si="42"/>
        <v>2.2872463922851693E-2</v>
      </c>
      <c r="S806" s="20"/>
      <c r="T806" s="7"/>
      <c r="U806" s="7"/>
      <c r="V806" s="7"/>
      <c r="W806" s="7"/>
      <c r="X806" s="7"/>
      <c r="Y806" s="7"/>
      <c r="Z806" s="7"/>
      <c r="AA806" s="7"/>
    </row>
    <row r="807" spans="1:27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>
        <v>31805</v>
      </c>
      <c r="P807" s="1">
        <f t="shared" si="40"/>
        <v>0.30424860119819641</v>
      </c>
      <c r="Q807" s="25">
        <f t="shared" si="41"/>
        <v>0.3095702086284291</v>
      </c>
      <c r="R807" s="24">
        <f t="shared" si="42"/>
        <v>2.1970950392358191E-2</v>
      </c>
      <c r="S807" s="20"/>
      <c r="T807" s="7"/>
      <c r="U807" s="7"/>
      <c r="V807" s="7"/>
      <c r="W807" s="7"/>
      <c r="X807" s="7"/>
      <c r="Y807" s="7"/>
      <c r="Z807" s="7"/>
      <c r="AA807" s="7"/>
    </row>
    <row r="808" spans="1:27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>
        <v>31806</v>
      </c>
      <c r="P808" s="1">
        <f t="shared" si="40"/>
        <v>0.30455806851387024</v>
      </c>
      <c r="Q808" s="25">
        <f t="shared" si="41"/>
        <v>0.30959177456679754</v>
      </c>
      <c r="R808" s="24">
        <f t="shared" si="42"/>
        <v>2.1073629064005672E-2</v>
      </c>
      <c r="S808" s="20"/>
      <c r="T808" s="7"/>
      <c r="U808" s="7"/>
      <c r="V808" s="7"/>
      <c r="W808" s="7"/>
      <c r="X808" s="7"/>
      <c r="Y808" s="7"/>
      <c r="Z808" s="7"/>
      <c r="AA808" s="7"/>
    </row>
    <row r="809" spans="1:27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>
        <v>31807</v>
      </c>
      <c r="P809" s="1">
        <f t="shared" si="40"/>
        <v>0.30486777424812317</v>
      </c>
      <c r="Q809" s="25">
        <f t="shared" si="41"/>
        <v>0.30961235097493045</v>
      </c>
      <c r="R809" s="24">
        <f t="shared" si="42"/>
        <v>2.0180501714150978E-2</v>
      </c>
      <c r="S809" s="20"/>
      <c r="T809" s="7"/>
      <c r="U809" s="7"/>
      <c r="V809" s="7"/>
      <c r="W809" s="7"/>
      <c r="X809" s="7"/>
      <c r="Y809" s="7"/>
      <c r="Z809" s="7"/>
      <c r="AA809" s="7"/>
    </row>
    <row r="810" spans="1:27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>
        <v>31808</v>
      </c>
      <c r="P810" s="1">
        <f t="shared" si="40"/>
        <v>0.30517712235450745</v>
      </c>
      <c r="Q810" s="25">
        <f t="shared" si="41"/>
        <v>0.30963208337198012</v>
      </c>
      <c r="R810" s="24">
        <f t="shared" si="42"/>
        <v>1.9291573671864626E-2</v>
      </c>
      <c r="S810" s="20"/>
      <c r="T810" s="7"/>
      <c r="U810" s="7"/>
      <c r="V810" s="7"/>
      <c r="W810" s="7"/>
      <c r="X810" s="7"/>
      <c r="Y810" s="7"/>
      <c r="Z810" s="7"/>
      <c r="AA810" s="7"/>
    </row>
    <row r="811" spans="1:27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>
        <v>31809</v>
      </c>
      <c r="P811" s="1">
        <f t="shared" si="40"/>
        <v>0.30548635125160217</v>
      </c>
      <c r="Q811" s="25">
        <f t="shared" si="41"/>
        <v>0.30965091355028562</v>
      </c>
      <c r="R811" s="24">
        <f t="shared" si="42"/>
        <v>1.8406844937146616E-2</v>
      </c>
      <c r="S811" s="20"/>
      <c r="T811" s="7"/>
      <c r="U811" s="7"/>
      <c r="V811" s="7"/>
      <c r="W811" s="7"/>
      <c r="X811" s="7"/>
      <c r="Y811" s="7"/>
      <c r="Z811" s="7"/>
      <c r="AA811" s="7"/>
    </row>
    <row r="812" spans="1:27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>
        <v>31810</v>
      </c>
      <c r="P812" s="1">
        <f t="shared" si="40"/>
        <v>0.30579653382301331</v>
      </c>
      <c r="Q812" s="25">
        <f t="shared" si="41"/>
        <v>0.30966887061367743</v>
      </c>
      <c r="R812" s="24">
        <f t="shared" si="42"/>
        <v>1.7526326168137984E-2</v>
      </c>
      <c r="S812" s="20"/>
      <c r="T812" s="7"/>
      <c r="U812" s="7"/>
      <c r="V812" s="7"/>
      <c r="W812" s="7"/>
      <c r="X812" s="7"/>
      <c r="Y812" s="7"/>
      <c r="Z812" s="7"/>
      <c r="AA812" s="7"/>
    </row>
    <row r="813" spans="1:27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>
        <v>31811</v>
      </c>
      <c r="P813" s="1">
        <f t="shared" si="40"/>
        <v>0.30610612034797668</v>
      </c>
      <c r="Q813" s="25">
        <f t="shared" si="41"/>
        <v>0.30968601276981644</v>
      </c>
      <c r="R813" s="24">
        <f t="shared" si="42"/>
        <v>1.6650017364838732E-2</v>
      </c>
      <c r="S813" s="20"/>
      <c r="T813" s="7"/>
      <c r="U813" s="7"/>
      <c r="V813" s="7"/>
      <c r="W813" s="7"/>
      <c r="X813" s="7"/>
      <c r="Y813" s="7"/>
      <c r="Z813" s="7"/>
      <c r="AA813" s="7"/>
    </row>
    <row r="814" spans="1:27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>
        <v>31812</v>
      </c>
      <c r="P814" s="1">
        <f t="shared" si="40"/>
        <v>0.30641558766365051</v>
      </c>
      <c r="Q814" s="25">
        <f t="shared" si="41"/>
        <v>0.30970219449955039</v>
      </c>
      <c r="R814" s="24">
        <f t="shared" si="42"/>
        <v>1.5777922079962536E-2</v>
      </c>
      <c r="S814" s="20"/>
      <c r="T814" s="7"/>
      <c r="U814" s="7"/>
      <c r="V814" s="7"/>
      <c r="W814" s="7"/>
      <c r="X814" s="7"/>
      <c r="Y814" s="7"/>
      <c r="Z814" s="7"/>
      <c r="AA814" s="7"/>
    </row>
    <row r="815" spans="1:27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>
        <v>31813</v>
      </c>
      <c r="P815" s="1">
        <f t="shared" si="40"/>
        <v>0.30672529339790344</v>
      </c>
      <c r="Q815" s="25">
        <f t="shared" si="41"/>
        <v>0.309717590425862</v>
      </c>
      <c r="R815" s="24">
        <f t="shared" si="42"/>
        <v>1.4910040313509398E-2</v>
      </c>
      <c r="S815" s="20"/>
      <c r="T815" s="7"/>
      <c r="U815" s="7"/>
      <c r="V815" s="7"/>
      <c r="W815" s="7"/>
      <c r="X815" s="7"/>
      <c r="Y815" s="7"/>
      <c r="Z815" s="7"/>
      <c r="AA815" s="7"/>
    </row>
    <row r="816" spans="1:27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>
        <v>31814</v>
      </c>
      <c r="P816" s="1">
        <f t="shared" si="40"/>
        <v>0.30703511834144592</v>
      </c>
      <c r="Q816" s="25">
        <f t="shared" si="41"/>
        <v>0.309732055029599</v>
      </c>
      <c r="R816" s="24">
        <f t="shared" si="42"/>
        <v>1.4046380947263515E-2</v>
      </c>
      <c r="S816" s="20"/>
      <c r="T816" s="7"/>
      <c r="U816" s="7"/>
      <c r="V816" s="7"/>
      <c r="W816" s="7"/>
      <c r="X816" s="7"/>
      <c r="Y816" s="7"/>
      <c r="Z816" s="7"/>
      <c r="AA816" s="7"/>
    </row>
    <row r="817" spans="1:27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>
        <v>31815</v>
      </c>
      <c r="P817" s="1">
        <f t="shared" si="40"/>
        <v>0.30734482407569885</v>
      </c>
      <c r="Q817" s="25">
        <f t="shared" si="41"/>
        <v>0.30974561741459183</v>
      </c>
      <c r="R817" s="24">
        <f t="shared" si="42"/>
        <v>1.3186945757581725E-2</v>
      </c>
      <c r="S817" s="20"/>
      <c r="T817" s="7"/>
      <c r="U817" s="7"/>
      <c r="V817" s="7"/>
      <c r="W817" s="7"/>
      <c r="X817" s="7"/>
      <c r="Y817" s="7"/>
      <c r="Z817" s="7"/>
      <c r="AA817" s="7"/>
    </row>
    <row r="818" spans="1:27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>
        <v>31816</v>
      </c>
      <c r="P818" s="1">
        <f t="shared" si="40"/>
        <v>0.30765476822853088</v>
      </c>
      <c r="Q818" s="25">
        <f t="shared" si="41"/>
        <v>0.30975839399616234</v>
      </c>
      <c r="R818" s="24">
        <f t="shared" si="42"/>
        <v>1.233173296810719E-2</v>
      </c>
      <c r="S818" s="20"/>
      <c r="T818" s="7"/>
      <c r="U818" s="7"/>
      <c r="V818" s="7"/>
      <c r="W818" s="7"/>
      <c r="X818" s="7"/>
      <c r="Y818" s="7"/>
      <c r="Z818" s="7"/>
      <c r="AA818" s="7"/>
    </row>
    <row r="819" spans="1:27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>
        <v>31817</v>
      </c>
      <c r="P819" s="1">
        <f t="shared" si="40"/>
        <v>0.30796459317207336</v>
      </c>
      <c r="Q819" s="25">
        <f t="shared" si="41"/>
        <v>0.30977035567048006</v>
      </c>
      <c r="R819" s="24">
        <f t="shared" si="42"/>
        <v>1.1480747907910427E-2</v>
      </c>
      <c r="S819" s="20"/>
      <c r="T819" s="7"/>
      <c r="U819" s="7"/>
      <c r="V819" s="7"/>
      <c r="W819" s="7"/>
      <c r="X819" s="7"/>
      <c r="Y819" s="7"/>
      <c r="Z819" s="7"/>
      <c r="AA819" s="7"/>
    </row>
    <row r="820" spans="1:27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>
        <v>31818</v>
      </c>
      <c r="P820" s="1">
        <f t="shared" si="40"/>
        <v>0.30827429890632629</v>
      </c>
      <c r="Q820" s="25">
        <f t="shared" si="41"/>
        <v>0.30978138602222316</v>
      </c>
      <c r="R820" s="24">
        <f t="shared" si="42"/>
        <v>1.0633997682418794E-2</v>
      </c>
      <c r="S820" s="20"/>
      <c r="T820" s="7"/>
      <c r="U820" s="7"/>
      <c r="V820" s="7"/>
      <c r="W820" s="7"/>
      <c r="X820" s="7"/>
      <c r="Y820" s="7"/>
      <c r="Z820" s="7"/>
      <c r="AA820" s="7"/>
    </row>
    <row r="821" spans="1:27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>
        <v>31819</v>
      </c>
      <c r="P821" s="1">
        <f t="shared" si="40"/>
        <v>0.30858424305915833</v>
      </c>
      <c r="Q821" s="25">
        <f t="shared" si="41"/>
        <v>0.30979160146671347</v>
      </c>
      <c r="R821" s="24">
        <f t="shared" si="42"/>
        <v>9.7914822916322919E-3</v>
      </c>
      <c r="S821" s="20"/>
      <c r="T821" s="7"/>
      <c r="U821" s="7"/>
      <c r="V821" s="7"/>
      <c r="W821" s="7"/>
      <c r="X821" s="7"/>
      <c r="Y821" s="7"/>
      <c r="Z821" s="7"/>
      <c r="AA821" s="7"/>
    </row>
    <row r="822" spans="1:27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>
        <v>31820</v>
      </c>
      <c r="P822" s="1">
        <f t="shared" si="40"/>
        <v>0.3088938295841217</v>
      </c>
      <c r="Q822" s="25">
        <f t="shared" si="41"/>
        <v>0.30980094379629008</v>
      </c>
      <c r="R822" s="24">
        <f t="shared" si="42"/>
        <v>8.9532017355509197E-3</v>
      </c>
      <c r="S822" s="20"/>
      <c r="T822" s="7"/>
      <c r="U822" s="7"/>
      <c r="V822" s="7"/>
      <c r="W822" s="7"/>
      <c r="X822" s="7"/>
      <c r="Y822" s="7"/>
      <c r="Z822" s="7"/>
      <c r="AA822" s="7"/>
    </row>
    <row r="823" spans="1:27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>
        <v>31821</v>
      </c>
      <c r="P823" s="1">
        <f t="shared" si="40"/>
        <v>0.30920377373695374</v>
      </c>
      <c r="Q823" s="25">
        <f t="shared" si="41"/>
        <v>0.30980950032244436</v>
      </c>
      <c r="R823" s="24">
        <f t="shared" si="42"/>
        <v>8.1191595668883565E-3</v>
      </c>
      <c r="S823" s="20"/>
      <c r="T823" s="7"/>
      <c r="U823" s="7"/>
      <c r="V823" s="7"/>
      <c r="W823" s="7"/>
      <c r="X823" s="7"/>
      <c r="Y823" s="7"/>
      <c r="Z823" s="7"/>
      <c r="AA823" s="7"/>
    </row>
    <row r="824" spans="1:27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>
        <v>31822</v>
      </c>
      <c r="P824" s="1">
        <f t="shared" si="40"/>
        <v>0.30951347947120667</v>
      </c>
      <c r="Q824" s="25">
        <f t="shared" si="41"/>
        <v>0.3098172128375154</v>
      </c>
      <c r="R824" s="24">
        <f t="shared" si="42"/>
        <v>7.2893593383582811E-3</v>
      </c>
      <c r="S824" s="20"/>
      <c r="T824" s="7"/>
      <c r="U824" s="7"/>
      <c r="V824" s="7"/>
      <c r="W824" s="7"/>
      <c r="X824" s="7"/>
      <c r="Y824" s="7"/>
      <c r="Z824" s="7"/>
      <c r="AA824" s="7"/>
    </row>
    <row r="825" spans="1:27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>
        <v>31823</v>
      </c>
      <c r="P825" s="1">
        <f t="shared" si="40"/>
        <v>0.30982354283332825</v>
      </c>
      <c r="Q825" s="25">
        <f t="shared" si="41"/>
        <v>0.3098241395491641</v>
      </c>
      <c r="R825" s="24">
        <f t="shared" si="42"/>
        <v>6.4637974972470147E-3</v>
      </c>
      <c r="S825" s="20"/>
      <c r="T825" s="7"/>
      <c r="U825" s="7"/>
      <c r="V825" s="7"/>
      <c r="W825" s="7"/>
      <c r="X825" s="7"/>
      <c r="Y825" s="7"/>
      <c r="Z825" s="7"/>
      <c r="AA825" s="7"/>
    </row>
    <row r="826" spans="1:27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>
        <v>31824</v>
      </c>
      <c r="P826" s="1">
        <f t="shared" si="40"/>
        <v>0.31013301014900208</v>
      </c>
      <c r="Q826" s="25">
        <f t="shared" si="41"/>
        <v>0.30983007673057728</v>
      </c>
      <c r="R826" s="24">
        <f t="shared" si="42"/>
        <v>5.6424864780524331E-3</v>
      </c>
      <c r="S826" s="20"/>
      <c r="T826" s="7"/>
      <c r="U826" s="7"/>
      <c r="V826" s="7"/>
      <c r="W826" s="7"/>
      <c r="X826" s="7"/>
      <c r="Y826" s="7"/>
      <c r="Z826" s="7"/>
      <c r="AA826" s="7"/>
    </row>
    <row r="827" spans="1:27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>
        <v>31825</v>
      </c>
      <c r="P827" s="1">
        <f t="shared" si="40"/>
        <v>0.31044319272041321</v>
      </c>
      <c r="Q827" s="25">
        <f t="shared" si="41"/>
        <v>0.30983531542005949</v>
      </c>
      <c r="R827" s="24">
        <f t="shared" si="42"/>
        <v>4.8254209517040181E-3</v>
      </c>
      <c r="S827" s="20"/>
      <c r="T827" s="7"/>
      <c r="U827" s="7"/>
      <c r="V827" s="7"/>
      <c r="W827" s="7"/>
      <c r="X827" s="7"/>
      <c r="Y827" s="7"/>
      <c r="Z827" s="7"/>
      <c r="AA827" s="7"/>
    </row>
    <row r="828" spans="1:27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>
        <v>31826</v>
      </c>
      <c r="P828" s="1">
        <f t="shared" si="40"/>
        <v>0.31075277924537659</v>
      </c>
      <c r="Q828" s="25">
        <f t="shared" si="41"/>
        <v>0.30983979740994982</v>
      </c>
      <c r="R828" s="24">
        <f t="shared" si="42"/>
        <v>4.0126044709154485E-3</v>
      </c>
      <c r="S828" s="20"/>
      <c r="T828" s="7"/>
      <c r="U828" s="7"/>
      <c r="V828" s="7"/>
      <c r="W828" s="7"/>
      <c r="X828" s="7"/>
      <c r="Y828" s="7"/>
      <c r="Z828" s="7"/>
      <c r="AA828" s="7"/>
    </row>
    <row r="829" spans="1:27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>
        <v>31827</v>
      </c>
      <c r="P829" s="1">
        <f t="shared" si="40"/>
        <v>0.31106272339820862</v>
      </c>
      <c r="Q829" s="25">
        <f t="shared" si="41"/>
        <v>0.30984340628492646</v>
      </c>
      <c r="R829" s="24">
        <f t="shared" si="42"/>
        <v>3.2040388120435637E-3</v>
      </c>
      <c r="S829" s="20"/>
      <c r="T829" s="7"/>
      <c r="U829" s="7"/>
      <c r="V829" s="7"/>
      <c r="W829" s="7"/>
      <c r="X829" s="7"/>
      <c r="Y829" s="7"/>
      <c r="Z829" s="7"/>
      <c r="AA829" s="7"/>
    </row>
    <row r="830" spans="1:27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>
        <v>31828</v>
      </c>
      <c r="P830" s="1">
        <f t="shared" si="40"/>
        <v>0.31137219071388245</v>
      </c>
      <c r="Q830" s="25">
        <f t="shared" si="41"/>
        <v>0.30984617114881985</v>
      </c>
      <c r="R830" s="24">
        <f t="shared" si="42"/>
        <v>2.3997275278020425E-3</v>
      </c>
      <c r="S830" s="20"/>
      <c r="T830" s="7"/>
      <c r="U830" s="7"/>
      <c r="V830" s="7"/>
      <c r="W830" s="7"/>
      <c r="X830" s="7"/>
      <c r="Y830" s="7"/>
      <c r="Z830" s="7"/>
      <c r="AA830" s="7"/>
    </row>
    <row r="831" spans="1:27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>
        <v>31829</v>
      </c>
      <c r="P831" s="1">
        <f t="shared" si="40"/>
        <v>0.31168201565742493</v>
      </c>
      <c r="Q831" s="25">
        <f t="shared" si="41"/>
        <v>0.30984815020929091</v>
      </c>
      <c r="R831" s="24">
        <f t="shared" si="42"/>
        <v>1.5996706181908849E-3</v>
      </c>
      <c r="S831" s="20"/>
      <c r="T831" s="7"/>
      <c r="U831" s="7"/>
      <c r="V831" s="7"/>
      <c r="W831" s="7"/>
      <c r="X831" s="7"/>
      <c r="Y831" s="7"/>
      <c r="Z831" s="7"/>
      <c r="AA831" s="7"/>
    </row>
    <row r="832" spans="1:27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>
        <v>31830</v>
      </c>
      <c r="P832" s="1">
        <f t="shared" si="40"/>
        <v>0.31199243664741516</v>
      </c>
      <c r="Q832" s="25">
        <f t="shared" si="41"/>
        <v>0.30984940167400055</v>
      </c>
      <c r="R832" s="24">
        <f t="shared" si="42"/>
        <v>8.0387163592376965E-4</v>
      </c>
      <c r="S832" s="20"/>
      <c r="T832" s="7"/>
      <c r="U832" s="7"/>
      <c r="V832" s="7"/>
      <c r="W832" s="7"/>
      <c r="X832" s="7"/>
      <c r="Y832" s="7"/>
      <c r="Z832" s="7"/>
      <c r="AA832" s="7"/>
    </row>
    <row r="833" spans="1:27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>
        <v>31831</v>
      </c>
      <c r="P833" s="1">
        <f t="shared" si="40"/>
        <v>0.31230190396308899</v>
      </c>
      <c r="Q833" s="25">
        <f t="shared" si="41"/>
        <v>0.30984978002379648</v>
      </c>
      <c r="R833" s="24">
        <f t="shared" si="42"/>
        <v>1.2327028287018038E-5</v>
      </c>
      <c r="S833" s="20"/>
      <c r="T833" s="7"/>
      <c r="U833" s="7"/>
      <c r="V833" s="7"/>
      <c r="W833" s="7"/>
      <c r="X833" s="7"/>
      <c r="Y833" s="7"/>
      <c r="Z833" s="7"/>
      <c r="AA833" s="7"/>
    </row>
    <row r="834" spans="1:27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>
        <v>31832</v>
      </c>
      <c r="P834" s="1">
        <f t="shared" si="40"/>
        <v>0.31261220574378967</v>
      </c>
      <c r="Q834" s="25">
        <f t="shared" si="41"/>
        <v>0.30984945988166146</v>
      </c>
      <c r="R834" s="24">
        <f t="shared" si="42"/>
        <v>-7.7495787564885177E-4</v>
      </c>
      <c r="S834" s="20"/>
      <c r="T834" s="7"/>
      <c r="U834" s="7"/>
      <c r="V834" s="7"/>
      <c r="W834" s="7"/>
      <c r="X834" s="7"/>
      <c r="Y834" s="7"/>
      <c r="Z834" s="7"/>
      <c r="AA834" s="7"/>
    </row>
    <row r="835" spans="1:27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>
        <v>31833</v>
      </c>
      <c r="P835" s="1">
        <f t="shared" si="40"/>
        <v>0.3129216730594635</v>
      </c>
      <c r="Q835" s="25">
        <f t="shared" si="41"/>
        <v>0.30984826662461273</v>
      </c>
      <c r="R835" s="24">
        <f t="shared" si="42"/>
        <v>-1.5579848522406792E-3</v>
      </c>
      <c r="S835" s="20"/>
      <c r="T835" s="7"/>
      <c r="U835" s="7"/>
      <c r="V835" s="7"/>
      <c r="W835" s="7"/>
      <c r="X835" s="7"/>
      <c r="Y835" s="7"/>
      <c r="Z835" s="7"/>
      <c r="AA835" s="7"/>
    </row>
    <row r="836" spans="1:27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>
        <v>31834</v>
      </c>
      <c r="P836" s="1">
        <f t="shared" si="40"/>
        <v>0.31323185563087463</v>
      </c>
      <c r="Q836" s="25">
        <f t="shared" si="41"/>
        <v>0.30984628756414168</v>
      </c>
      <c r="R836" s="24">
        <f t="shared" si="42"/>
        <v>-2.3367467960611066E-3</v>
      </c>
      <c r="S836" s="20"/>
      <c r="T836" s="7"/>
      <c r="U836" s="7"/>
      <c r="V836" s="7"/>
      <c r="W836" s="7"/>
      <c r="X836" s="7"/>
      <c r="Y836" s="7"/>
      <c r="Z836" s="7"/>
      <c r="AA836" s="7"/>
    </row>
    <row r="837" spans="1:27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>
        <v>31835</v>
      </c>
      <c r="P837" s="1">
        <f t="shared" si="40"/>
        <v>0.31354168057441711</v>
      </c>
      <c r="Q837" s="25">
        <f t="shared" si="41"/>
        <v>0.3098435809079092</v>
      </c>
      <c r="R837" s="24">
        <f t="shared" si="42"/>
        <v>-3.111252588894331E-3</v>
      </c>
      <c r="S837" s="20"/>
      <c r="T837" s="7"/>
      <c r="U837" s="7"/>
      <c r="V837" s="7"/>
      <c r="W837" s="7"/>
      <c r="X837" s="7"/>
      <c r="Y837" s="7"/>
      <c r="Z837" s="7"/>
      <c r="AA837" s="7"/>
    </row>
    <row r="838" spans="1:27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>
        <v>31836</v>
      </c>
      <c r="P838" s="1">
        <f t="shared" si="40"/>
        <v>0.31385138630867004</v>
      </c>
      <c r="Q838" s="25">
        <f t="shared" si="41"/>
        <v>0.30984008844825439</v>
      </c>
      <c r="R838" s="24">
        <f t="shared" si="42"/>
        <v>-3.8814969016698342E-3</v>
      </c>
      <c r="S838" s="20"/>
      <c r="T838" s="7"/>
      <c r="U838" s="7"/>
      <c r="V838" s="7"/>
      <c r="W838" s="7"/>
      <c r="X838" s="7"/>
      <c r="Y838" s="7"/>
      <c r="Z838" s="7"/>
      <c r="AA838" s="7"/>
    </row>
    <row r="839" spans="1:27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>
        <v>31837</v>
      </c>
      <c r="P839" s="1">
        <f t="shared" si="40"/>
        <v>0.31416133046150208</v>
      </c>
      <c r="Q839" s="25">
        <f t="shared" si="41"/>
        <v>0.30983578108134679</v>
      </c>
      <c r="R839" s="24">
        <f t="shared" si="42"/>
        <v>-4.6474672998897404E-3</v>
      </c>
      <c r="S839" s="20"/>
      <c r="T839" s="7"/>
      <c r="U839" s="7"/>
      <c r="V839" s="7"/>
      <c r="W839" s="7"/>
      <c r="X839" s="7"/>
      <c r="Y839" s="7"/>
      <c r="Z839" s="7"/>
      <c r="AA839" s="7"/>
    </row>
    <row r="840" spans="1:27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>
        <v>31838</v>
      </c>
      <c r="P840" s="1">
        <f t="shared" si="40"/>
        <v>0.31447091698646545</v>
      </c>
      <c r="Q840" s="25">
        <f t="shared" si="41"/>
        <v>0.30983080432633869</v>
      </c>
      <c r="R840" s="24">
        <f t="shared" si="42"/>
        <v>-5.409183323479283E-3</v>
      </c>
      <c r="S840" s="20"/>
      <c r="T840" s="7"/>
      <c r="U840" s="7"/>
      <c r="V840" s="7"/>
      <c r="W840" s="7"/>
      <c r="X840" s="7"/>
      <c r="Y840" s="7"/>
      <c r="Z840" s="7"/>
      <c r="AA840" s="7"/>
    </row>
    <row r="841" spans="1:27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>
        <v>31839</v>
      </c>
      <c r="P841" s="1">
        <f t="shared" si="40"/>
        <v>0.31478109955787659</v>
      </c>
      <c r="Q841" s="25">
        <f t="shared" si="41"/>
        <v>0.3098250126640778</v>
      </c>
      <c r="R841" s="24">
        <f t="shared" si="42"/>
        <v>-6.1666325379405862E-3</v>
      </c>
      <c r="S841" s="20"/>
      <c r="T841" s="7"/>
      <c r="U841" s="7"/>
      <c r="V841" s="7"/>
      <c r="W841" s="7"/>
      <c r="X841" s="7"/>
      <c r="Y841" s="7"/>
      <c r="Z841" s="7"/>
      <c r="AA841" s="7"/>
    </row>
    <row r="842" spans="1:27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>
        <v>31840</v>
      </c>
      <c r="P842" s="1">
        <f t="shared" ref="P842:P905" si="43" xml:space="preserve"> -1.4681315616E-19*$O842^6 + 2.80493263066289E-14*$O842^5 - 2.23271907955907E-09*$O842^4 + 0.0000947783879077569*$O842^3 - 2.26293121558813*$O842^2 + 28813.4861268598*$O842 - 152852350.445896</f>
        <v>0.31509009003639221</v>
      </c>
      <c r="Q842" s="25">
        <f t="shared" ref="Q842:Q905" si="44" xml:space="preserve"> (6*-1.4681315616E-19*$O842^5 + 5*2.80493263066289E-14*$O842^4 - 4*2.23271907955907E-09*$O842^3 + 3*0.0000947783879077569*$O842^2 - 2*2.26293121558813*$O842^1 + 28813.4861268598)*1000</f>
        <v>0.3098184934060555</v>
      </c>
      <c r="R842" s="24">
        <f t="shared" ref="R842:R905" si="45" xml:space="preserve"> (5*6*-1.4681315616E-19*$O842^4 + 4*5*2.80493263066289E-14*$O842^3 - 3*4*2.23271907955907E-09*$O842^2 + 2*3*0.0000947783879077569*$O842^1 - 2*2.26293121558813)*1000*1000</f>
        <v>-6.91981494327365E-3</v>
      </c>
      <c r="S842" s="20"/>
      <c r="T842" s="7"/>
      <c r="U842" s="7"/>
      <c r="V842" s="7"/>
      <c r="W842" s="7"/>
      <c r="X842" s="7"/>
      <c r="Y842" s="7"/>
      <c r="Z842" s="7"/>
      <c r="AA842" s="7"/>
    </row>
    <row r="843" spans="1:27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>
        <v>31841</v>
      </c>
      <c r="P843" s="1">
        <f t="shared" si="43"/>
        <v>0.31540015339851379</v>
      </c>
      <c r="Q843" s="25">
        <f t="shared" si="44"/>
        <v>0.3098111592407804</v>
      </c>
      <c r="R843" s="24">
        <f t="shared" si="45"/>
        <v>-7.6687340921921532E-3</v>
      </c>
      <c r="S843" s="20"/>
      <c r="T843" s="7"/>
      <c r="U843" s="7"/>
      <c r="V843" s="7"/>
      <c r="W843" s="7"/>
      <c r="X843" s="7"/>
      <c r="Y843" s="7"/>
      <c r="Z843" s="7"/>
      <c r="AA843" s="7"/>
    </row>
    <row r="844" spans="1:27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>
        <v>31842</v>
      </c>
      <c r="P844" s="1">
        <f t="shared" si="43"/>
        <v>0.31571009755134583</v>
      </c>
      <c r="Q844" s="25">
        <f t="shared" si="44"/>
        <v>0.30980309747974388</v>
      </c>
      <c r="R844" s="24">
        <f t="shared" si="45"/>
        <v>-8.4133882083392564E-3</v>
      </c>
      <c r="S844" s="20"/>
      <c r="T844" s="7"/>
      <c r="U844" s="7"/>
      <c r="V844" s="7"/>
      <c r="W844" s="7"/>
      <c r="X844" s="7"/>
      <c r="Y844" s="7"/>
      <c r="Z844" s="7"/>
      <c r="AA844" s="7"/>
    </row>
    <row r="845" spans="1:27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>
        <v>31843</v>
      </c>
      <c r="P845" s="1">
        <f t="shared" si="43"/>
        <v>0.31602004170417786</v>
      </c>
      <c r="Q845" s="25">
        <f t="shared" si="44"/>
        <v>0.30979430812294595</v>
      </c>
      <c r="R845" s="24">
        <f t="shared" si="45"/>
        <v>-9.1537755153581202E-3</v>
      </c>
      <c r="S845" s="20"/>
      <c r="T845" s="7"/>
      <c r="U845" s="7"/>
      <c r="V845" s="7"/>
      <c r="W845" s="7"/>
      <c r="X845" s="7"/>
      <c r="Y845" s="7"/>
      <c r="Z845" s="7"/>
      <c r="AA845" s="7"/>
    </row>
    <row r="846" spans="1:27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>
        <v>31844</v>
      </c>
      <c r="P846" s="1">
        <f t="shared" si="43"/>
        <v>0.31633010506629944</v>
      </c>
      <c r="Q846" s="25">
        <f t="shared" si="44"/>
        <v>0.30978482027421705</v>
      </c>
      <c r="R846" s="24">
        <f t="shared" si="45"/>
        <v>-9.8899013423192628E-3</v>
      </c>
      <c r="S846" s="20"/>
      <c r="T846" s="7"/>
      <c r="U846" s="7"/>
      <c r="V846" s="7"/>
      <c r="W846" s="7"/>
      <c r="X846" s="7"/>
      <c r="Y846" s="7"/>
      <c r="Z846" s="7"/>
      <c r="AA846" s="7"/>
    </row>
    <row r="847" spans="1:27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>
        <v>31845</v>
      </c>
      <c r="P847" s="1">
        <f t="shared" si="43"/>
        <v>0.31663981080055237</v>
      </c>
      <c r="Q847" s="25">
        <f t="shared" si="44"/>
        <v>0.30977454662206583</v>
      </c>
      <c r="R847" s="24">
        <f t="shared" si="45"/>
        <v>-1.0621758583795327E-2</v>
      </c>
      <c r="S847" s="20"/>
      <c r="T847" s="7"/>
      <c r="U847" s="7"/>
      <c r="V847" s="7"/>
      <c r="W847" s="7"/>
      <c r="X847" s="7"/>
      <c r="Y847" s="7"/>
      <c r="Z847" s="7"/>
      <c r="AA847" s="7"/>
    </row>
    <row r="848" spans="1:27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>
        <v>31846</v>
      </c>
      <c r="P848" s="1">
        <f t="shared" si="43"/>
        <v>0.3169492781162262</v>
      </c>
      <c r="Q848" s="25">
        <f t="shared" si="44"/>
        <v>0.30976357447798364</v>
      </c>
      <c r="R848" s="24">
        <f t="shared" si="45"/>
        <v>-1.134935079249999E-2</v>
      </c>
      <c r="S848" s="20"/>
      <c r="T848" s="7"/>
      <c r="U848" s="7"/>
      <c r="V848" s="7"/>
      <c r="W848" s="7"/>
      <c r="X848" s="7"/>
      <c r="Y848" s="7"/>
      <c r="Z848" s="7"/>
      <c r="AA848" s="7"/>
    </row>
    <row r="849" spans="1:27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>
        <v>31847</v>
      </c>
      <c r="P849" s="1">
        <f t="shared" si="43"/>
        <v>0.31725886464118958</v>
      </c>
      <c r="Q849" s="25">
        <f t="shared" si="44"/>
        <v>0.30975178742664866</v>
      </c>
      <c r="R849" s="24">
        <f t="shared" si="45"/>
        <v>-1.2072679744790094E-2</v>
      </c>
      <c r="S849" s="20"/>
      <c r="T849" s="7"/>
      <c r="U849" s="7"/>
      <c r="V849" s="7"/>
      <c r="W849" s="7"/>
      <c r="X849" s="7"/>
      <c r="Y849" s="7"/>
      <c r="Z849" s="7"/>
      <c r="AA849" s="7"/>
    </row>
    <row r="850" spans="1:27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>
        <v>31848</v>
      </c>
      <c r="P850" s="1">
        <f t="shared" si="43"/>
        <v>0.31756880879402161</v>
      </c>
      <c r="Q850" s="25">
        <f t="shared" si="44"/>
        <v>0.30973938919487409</v>
      </c>
      <c r="R850" s="24">
        <f t="shared" si="45"/>
        <v>-1.2791743664308797E-2</v>
      </c>
      <c r="S850" s="20"/>
      <c r="T850" s="7"/>
      <c r="U850" s="7"/>
      <c r="V850" s="7"/>
      <c r="W850" s="7"/>
      <c r="X850" s="7"/>
      <c r="Y850" s="7"/>
      <c r="Z850" s="7"/>
      <c r="AA850" s="7"/>
    </row>
    <row r="851" spans="1:27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>
        <v>31849</v>
      </c>
      <c r="P851" s="1">
        <f t="shared" si="43"/>
        <v>0.31787875294685364</v>
      </c>
      <c r="Q851" s="25">
        <f t="shared" si="44"/>
        <v>0.30972626336733811</v>
      </c>
      <c r="R851" s="24">
        <f t="shared" si="45"/>
        <v>-1.35065425510561E-2</v>
      </c>
      <c r="S851" s="20"/>
      <c r="T851" s="7"/>
      <c r="U851" s="7"/>
      <c r="V851" s="7"/>
      <c r="W851" s="7"/>
      <c r="X851" s="7"/>
      <c r="Y851" s="7"/>
      <c r="Z851" s="7"/>
      <c r="AA851" s="7"/>
    </row>
    <row r="852" spans="1:27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>
        <v>31850</v>
      </c>
      <c r="P852" s="1">
        <f t="shared" si="43"/>
        <v>0.31818762421607971</v>
      </c>
      <c r="Q852" s="25">
        <f t="shared" si="44"/>
        <v>0.30971243904787116</v>
      </c>
      <c r="R852" s="24">
        <f t="shared" si="45"/>
        <v>-1.4217078181388842E-2</v>
      </c>
      <c r="S852" s="20"/>
      <c r="T852" s="7"/>
      <c r="U852" s="7"/>
      <c r="V852" s="7"/>
      <c r="W852" s="7"/>
      <c r="X852" s="7"/>
      <c r="Y852" s="7"/>
      <c r="Z852" s="7"/>
      <c r="AA852" s="7"/>
    </row>
    <row r="853" spans="1:27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>
        <v>31851</v>
      </c>
      <c r="P853" s="1">
        <f t="shared" si="43"/>
        <v>0.31849780678749084</v>
      </c>
      <c r="Q853" s="25">
        <f t="shared" si="44"/>
        <v>0.30969785802881233</v>
      </c>
      <c r="R853" s="24">
        <f t="shared" si="45"/>
        <v>-1.4923352331663864E-2</v>
      </c>
      <c r="S853" s="20"/>
      <c r="T853" s="7"/>
      <c r="U853" s="7"/>
      <c r="V853" s="7"/>
      <c r="W853" s="7"/>
      <c r="X853" s="7"/>
      <c r="Y853" s="7"/>
      <c r="Z853" s="7"/>
      <c r="AA853" s="7"/>
    </row>
    <row r="854" spans="1:27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>
        <v>31852</v>
      </c>
      <c r="P854" s="1">
        <f t="shared" si="43"/>
        <v>0.31880751252174377</v>
      </c>
      <c r="Q854" s="25">
        <f t="shared" si="44"/>
        <v>0.30968257851782255</v>
      </c>
      <c r="R854" s="24">
        <f t="shared" si="45"/>
        <v>-1.5625365001881164E-2</v>
      </c>
      <c r="S854" s="20"/>
      <c r="T854" s="7"/>
      <c r="U854" s="7"/>
      <c r="V854" s="7"/>
      <c r="W854" s="7"/>
      <c r="X854" s="7"/>
      <c r="Y854" s="7"/>
      <c r="Z854" s="7"/>
      <c r="AA854" s="7"/>
    </row>
    <row r="855" spans="1:27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>
        <v>31853</v>
      </c>
      <c r="P855" s="1">
        <f t="shared" si="43"/>
        <v>0.31911709904670715</v>
      </c>
      <c r="Q855" s="25">
        <f t="shared" si="44"/>
        <v>0.30966657141107135</v>
      </c>
      <c r="R855" s="24">
        <f t="shared" si="45"/>
        <v>-1.6323116192040743E-2</v>
      </c>
      <c r="S855" s="20"/>
      <c r="T855" s="7"/>
      <c r="U855" s="7"/>
      <c r="V855" s="7"/>
      <c r="W855" s="7"/>
      <c r="X855" s="7"/>
      <c r="Y855" s="7"/>
      <c r="Z855" s="7"/>
      <c r="AA855" s="7"/>
    </row>
    <row r="856" spans="1:27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>
        <v>31854</v>
      </c>
      <c r="P856" s="1">
        <f t="shared" si="43"/>
        <v>0.31942680478096008</v>
      </c>
      <c r="Q856" s="25">
        <f t="shared" si="44"/>
        <v>0.30964989491621964</v>
      </c>
      <c r="R856" s="24">
        <f t="shared" si="45"/>
        <v>-1.7016605902142601E-2</v>
      </c>
      <c r="S856" s="20"/>
      <c r="T856" s="7"/>
      <c r="U856" s="7"/>
      <c r="V856" s="7"/>
      <c r="W856" s="7"/>
      <c r="X856" s="7"/>
      <c r="Y856" s="7"/>
      <c r="Z856" s="7"/>
      <c r="AA856" s="7"/>
    </row>
    <row r="857" spans="1:27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>
        <v>31855</v>
      </c>
      <c r="P857" s="1">
        <f t="shared" si="43"/>
        <v>0.31973651051521301</v>
      </c>
      <c r="Q857" s="25">
        <f t="shared" si="44"/>
        <v>0.30963254903326742</v>
      </c>
      <c r="R857" s="24">
        <f t="shared" si="45"/>
        <v>-1.7705841237614095E-2</v>
      </c>
      <c r="S857" s="20"/>
      <c r="T857" s="7"/>
      <c r="U857" s="7"/>
      <c r="V857" s="7"/>
      <c r="W857" s="7"/>
      <c r="X857" s="7"/>
      <c r="Y857" s="7"/>
      <c r="Z857" s="7"/>
      <c r="AA857" s="7"/>
    </row>
    <row r="858" spans="1:27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>
        <v>31856</v>
      </c>
      <c r="P858" s="1">
        <f t="shared" si="43"/>
        <v>0.32004562020301819</v>
      </c>
      <c r="Q858" s="25">
        <f t="shared" si="44"/>
        <v>0.30961456286604516</v>
      </c>
      <c r="R858" s="24">
        <f t="shared" si="45"/>
        <v>-1.8390816869384707E-2</v>
      </c>
      <c r="S858" s="20"/>
      <c r="T858" s="7"/>
      <c r="U858" s="7"/>
      <c r="V858" s="7"/>
      <c r="W858" s="7"/>
      <c r="X858" s="7"/>
      <c r="Y858" s="7"/>
      <c r="Z858" s="7"/>
      <c r="AA858" s="7"/>
    </row>
    <row r="859" spans="1:27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>
        <v>31857</v>
      </c>
      <c r="P859" s="1">
        <f t="shared" si="43"/>
        <v>0.32035556435585022</v>
      </c>
      <c r="Q859" s="25">
        <f t="shared" si="44"/>
        <v>0.30959581999923103</v>
      </c>
      <c r="R859" s="24">
        <f t="shared" si="45"/>
        <v>-1.9071538126524956E-2</v>
      </c>
      <c r="S859" s="20"/>
      <c r="T859" s="7"/>
      <c r="U859" s="7"/>
      <c r="V859" s="7"/>
      <c r="W859" s="7"/>
      <c r="X859" s="7"/>
      <c r="Y859" s="7"/>
      <c r="Z859" s="7"/>
      <c r="AA859" s="7"/>
    </row>
    <row r="860" spans="1:27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>
        <v>31858</v>
      </c>
      <c r="P860" s="1">
        <f t="shared" si="43"/>
        <v>0.32066550850868225</v>
      </c>
      <c r="Q860" s="25">
        <f t="shared" si="44"/>
        <v>0.30957634953665547</v>
      </c>
      <c r="R860" s="24">
        <f t="shared" si="45"/>
        <v>-1.9748006785391681E-2</v>
      </c>
      <c r="S860" s="20"/>
      <c r="T860" s="7"/>
      <c r="U860" s="7"/>
      <c r="V860" s="7"/>
      <c r="W860" s="7"/>
      <c r="X860" s="7"/>
      <c r="Y860" s="7"/>
      <c r="Z860" s="7"/>
      <c r="AA860" s="7"/>
    </row>
    <row r="861" spans="1:27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>
        <v>31859</v>
      </c>
      <c r="P861" s="1">
        <f t="shared" si="43"/>
        <v>0.32097533345222473</v>
      </c>
      <c r="Q861" s="25">
        <f t="shared" si="44"/>
        <v>0.30955632610130124</v>
      </c>
      <c r="R861" s="24">
        <f t="shared" si="45"/>
        <v>-2.0420219293271202E-2</v>
      </c>
      <c r="S861" s="20"/>
      <c r="T861" s="7"/>
      <c r="U861" s="7"/>
      <c r="V861" s="7"/>
      <c r="W861" s="7"/>
      <c r="X861" s="7"/>
      <c r="Y861" s="7"/>
      <c r="Z861" s="7"/>
      <c r="AA861" s="7"/>
    </row>
    <row r="862" spans="1:27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>
        <v>31860</v>
      </c>
      <c r="P862" s="1">
        <f t="shared" si="43"/>
        <v>0.32128432393074036</v>
      </c>
      <c r="Q862" s="25">
        <f t="shared" si="44"/>
        <v>0.30953548775869422</v>
      </c>
      <c r="R862" s="24">
        <f t="shared" si="45"/>
        <v>-2.1088186308304557E-2</v>
      </c>
      <c r="S862" s="20"/>
      <c r="T862" s="7"/>
      <c r="U862" s="7"/>
      <c r="V862" s="7"/>
      <c r="W862" s="7"/>
      <c r="X862" s="7"/>
      <c r="Y862" s="7"/>
      <c r="Z862" s="7"/>
      <c r="AA862" s="7"/>
    </row>
    <row r="863" spans="1:27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>
        <v>31861</v>
      </c>
      <c r="P863" s="1">
        <f t="shared" si="43"/>
        <v>0.32159379124641418</v>
      </c>
      <c r="Q863" s="25">
        <f t="shared" si="44"/>
        <v>0.30951409644330852</v>
      </c>
      <c r="R863" s="24">
        <f t="shared" si="45"/>
        <v>-2.1751897172350709E-2</v>
      </c>
      <c r="S863" s="20"/>
      <c r="T863" s="7"/>
      <c r="U863" s="7"/>
      <c r="V863" s="7"/>
      <c r="W863" s="7"/>
      <c r="X863" s="7"/>
      <c r="Y863" s="7"/>
      <c r="Z863" s="7"/>
      <c r="AA863" s="7"/>
    </row>
    <row r="864" spans="1:27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>
        <v>31862</v>
      </c>
      <c r="P864" s="1">
        <f t="shared" si="43"/>
        <v>0.32190337777137756</v>
      </c>
      <c r="Q864" s="25">
        <f t="shared" si="44"/>
        <v>0.30949200663599186</v>
      </c>
      <c r="R864" s="24">
        <f t="shared" si="45"/>
        <v>-2.2411366096264373E-2</v>
      </c>
      <c r="S864" s="20"/>
      <c r="T864" s="7"/>
      <c r="U864" s="7"/>
      <c r="V864" s="7"/>
      <c r="W864" s="7"/>
      <c r="X864" s="7"/>
      <c r="Y864" s="7"/>
      <c r="Z864" s="7"/>
      <c r="AA864" s="7"/>
    </row>
    <row r="865" spans="1:27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>
        <v>31863</v>
      </c>
      <c r="P865" s="1">
        <f t="shared" si="43"/>
        <v>0.32221308350563049</v>
      </c>
      <c r="Q865" s="25">
        <f t="shared" si="44"/>
        <v>0.3094693056482356</v>
      </c>
      <c r="R865" s="24">
        <f t="shared" si="45"/>
        <v>-2.3066589527331871E-2</v>
      </c>
      <c r="S865" s="20"/>
      <c r="T865" s="7"/>
      <c r="U865" s="7"/>
      <c r="V865" s="7"/>
      <c r="W865" s="7"/>
      <c r="X865" s="7"/>
      <c r="Y865" s="7"/>
      <c r="Z865" s="7"/>
      <c r="AA865" s="7"/>
    </row>
    <row r="866" spans="1:27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>
        <v>31864</v>
      </c>
      <c r="P866" s="1">
        <f t="shared" si="43"/>
        <v>0.32252302765846252</v>
      </c>
      <c r="Q866" s="25">
        <f t="shared" si="44"/>
        <v>0.30944587706471793</v>
      </c>
      <c r="R866" s="24">
        <f t="shared" si="45"/>
        <v>-2.3717567465553202E-2</v>
      </c>
      <c r="S866" s="20"/>
      <c r="T866" s="7"/>
      <c r="U866" s="7"/>
      <c r="V866" s="7"/>
      <c r="W866" s="7"/>
      <c r="X866" s="7"/>
      <c r="Y866" s="7"/>
      <c r="Z866" s="7"/>
      <c r="AA866" s="7"/>
    </row>
    <row r="867" spans="1:27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>
        <v>31865</v>
      </c>
      <c r="P867" s="1">
        <f t="shared" si="43"/>
        <v>0.3228318989276886</v>
      </c>
      <c r="Q867" s="25">
        <f t="shared" si="44"/>
        <v>0.30942186640459113</v>
      </c>
      <c r="R867" s="24">
        <f t="shared" si="45"/>
        <v>-2.4364307016355724E-2</v>
      </c>
      <c r="S867" s="20"/>
      <c r="T867" s="7"/>
      <c r="U867" s="7"/>
      <c r="V867" s="7"/>
      <c r="W867" s="7"/>
      <c r="X867" s="7"/>
      <c r="Y867" s="7"/>
      <c r="Z867" s="7"/>
      <c r="AA867" s="7"/>
    </row>
    <row r="868" spans="1:27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>
        <v>31866</v>
      </c>
      <c r="P868" s="1">
        <f t="shared" si="43"/>
        <v>0.32314112782478333</v>
      </c>
      <c r="Q868" s="25">
        <f t="shared" si="44"/>
        <v>0.30939718635636382</v>
      </c>
      <c r="R868" s="24">
        <f t="shared" si="45"/>
        <v>-2.5006802850668919E-2</v>
      </c>
      <c r="S868" s="20"/>
      <c r="T868" s="7"/>
      <c r="U868" s="7"/>
      <c r="V868" s="7"/>
      <c r="W868" s="7"/>
      <c r="X868" s="7"/>
      <c r="Y868" s="7"/>
      <c r="Z868" s="7"/>
      <c r="AA868" s="7"/>
    </row>
    <row r="869" spans="1:27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>
        <v>31867</v>
      </c>
      <c r="P869" s="1">
        <f t="shared" si="43"/>
        <v>0.32345083355903625</v>
      </c>
      <c r="Q869" s="25">
        <f t="shared" si="44"/>
        <v>0.30937189512769692</v>
      </c>
      <c r="R869" s="24">
        <f t="shared" si="45"/>
        <v>-2.5645067402990662E-2</v>
      </c>
      <c r="S869" s="20"/>
      <c r="T869" s="7"/>
      <c r="U869" s="7"/>
      <c r="V869" s="7"/>
      <c r="W869" s="7"/>
      <c r="X869" s="7"/>
      <c r="Y869" s="7"/>
      <c r="Z869" s="7"/>
      <c r="AA869" s="7"/>
    </row>
    <row r="870" spans="1:27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>
        <v>31868</v>
      </c>
      <c r="P870" s="1">
        <f t="shared" si="43"/>
        <v>0.32375970482826233</v>
      </c>
      <c r="Q870" s="25">
        <f t="shared" si="44"/>
        <v>0.30934584719943814</v>
      </c>
      <c r="R870" s="24">
        <f t="shared" si="45"/>
        <v>-2.6279097120607275E-2</v>
      </c>
      <c r="S870" s="20"/>
      <c r="T870" s="7"/>
      <c r="U870" s="7"/>
      <c r="V870" s="7"/>
      <c r="W870" s="7"/>
      <c r="X870" s="7"/>
      <c r="Y870" s="7"/>
      <c r="Z870" s="7"/>
      <c r="AA870" s="7"/>
    </row>
    <row r="871" spans="1:27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>
        <v>31869</v>
      </c>
      <c r="P871" s="1">
        <f t="shared" si="43"/>
        <v>0.32406917214393616</v>
      </c>
      <c r="Q871" s="25">
        <f t="shared" si="44"/>
        <v>0.30931924629840069</v>
      </c>
      <c r="R871" s="24">
        <f t="shared" si="45"/>
        <v>-2.6908895556232437E-2</v>
      </c>
      <c r="S871" s="20"/>
      <c r="T871" s="7"/>
      <c r="U871" s="7"/>
      <c r="V871" s="7"/>
      <c r="W871" s="7"/>
      <c r="X871" s="7"/>
      <c r="Y871" s="7"/>
      <c r="Z871" s="7"/>
      <c r="AA871" s="7"/>
    </row>
    <row r="872" spans="1:27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>
        <v>31870</v>
      </c>
      <c r="P872" s="1">
        <f t="shared" si="43"/>
        <v>0.32437863945960999</v>
      </c>
      <c r="Q872" s="25">
        <f t="shared" si="44"/>
        <v>0.30929200511309318</v>
      </c>
      <c r="R872" s="24">
        <f t="shared" si="45"/>
        <v>-2.7534464486222987E-2</v>
      </c>
      <c r="S872" s="20"/>
      <c r="T872" s="7"/>
      <c r="U872" s="7"/>
      <c r="V872" s="7"/>
      <c r="W872" s="7"/>
      <c r="X872" s="7"/>
      <c r="Y872" s="7"/>
      <c r="Z872" s="7"/>
      <c r="AA872" s="7"/>
    </row>
    <row r="873" spans="1:27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>
        <v>31871</v>
      </c>
      <c r="P873" s="1">
        <f t="shared" si="43"/>
        <v>0.32468798756599426</v>
      </c>
      <c r="Q873" s="25">
        <f t="shared" si="44"/>
        <v>0.30926424005883746</v>
      </c>
      <c r="R873" s="24">
        <f t="shared" si="45"/>
        <v>-2.8155811016006282E-2</v>
      </c>
      <c r="S873" s="20"/>
      <c r="T873" s="7"/>
      <c r="U873" s="7"/>
      <c r="V873" s="7"/>
      <c r="W873" s="7"/>
      <c r="X873" s="7"/>
      <c r="Y873" s="7"/>
      <c r="Z873" s="7"/>
      <c r="AA873" s="7"/>
    </row>
    <row r="874" spans="1:27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>
        <v>31872</v>
      </c>
      <c r="P874" s="1">
        <f t="shared" si="43"/>
        <v>0.32499745488166809</v>
      </c>
      <c r="Q874" s="25">
        <f t="shared" si="44"/>
        <v>0.30923571830498986</v>
      </c>
      <c r="R874" s="24">
        <f t="shared" si="45"/>
        <v>-2.8772935145582323E-2</v>
      </c>
      <c r="S874" s="20"/>
      <c r="T874" s="7"/>
      <c r="U874" s="7"/>
      <c r="V874" s="7"/>
      <c r="W874" s="7"/>
      <c r="X874" s="7"/>
      <c r="Y874" s="7"/>
      <c r="Z874" s="7"/>
      <c r="AA874" s="7"/>
    </row>
    <row r="875" spans="1:27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>
        <v>31873</v>
      </c>
      <c r="P875" s="1">
        <f t="shared" si="43"/>
        <v>0.32530644536018372</v>
      </c>
      <c r="Q875" s="25">
        <f t="shared" si="44"/>
        <v>0.30920664357836358</v>
      </c>
      <c r="R875" s="24">
        <f t="shared" si="45"/>
        <v>-2.938583687495111E-2</v>
      </c>
      <c r="S875" s="20"/>
      <c r="T875" s="7"/>
      <c r="U875" s="7"/>
      <c r="V875" s="7"/>
      <c r="W875" s="7"/>
      <c r="X875" s="7"/>
      <c r="Y875" s="7"/>
      <c r="Z875" s="7"/>
      <c r="AA875" s="7"/>
    </row>
    <row r="876" spans="1:27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>
        <v>31874</v>
      </c>
      <c r="P876" s="1">
        <f t="shared" si="43"/>
        <v>0.32561579346656799</v>
      </c>
      <c r="Q876" s="25">
        <f t="shared" si="44"/>
        <v>0.30917695767129771</v>
      </c>
      <c r="R876" s="24">
        <f t="shared" si="45"/>
        <v>-2.9994525085896839E-2</v>
      </c>
      <c r="S876" s="20"/>
      <c r="T876" s="7"/>
      <c r="U876" s="7"/>
      <c r="V876" s="7"/>
      <c r="W876" s="7"/>
      <c r="X876" s="7"/>
      <c r="Y876" s="7"/>
      <c r="Z876" s="7"/>
      <c r="AA876" s="7"/>
    </row>
    <row r="877" spans="1:27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>
        <v>31875</v>
      </c>
      <c r="P877" s="1">
        <f t="shared" si="43"/>
        <v>0.32592454552650452</v>
      </c>
      <c r="Q877" s="25">
        <f t="shared" si="44"/>
        <v>0.30914668968762271</v>
      </c>
      <c r="R877" s="24">
        <f t="shared" si="45"/>
        <v>-3.0598996225705832E-2</v>
      </c>
      <c r="S877" s="20"/>
      <c r="T877" s="7"/>
      <c r="U877" s="7"/>
      <c r="V877" s="7"/>
      <c r="W877" s="7"/>
      <c r="X877" s="7"/>
      <c r="Y877" s="7"/>
      <c r="Z877" s="7"/>
      <c r="AA877" s="7"/>
    </row>
    <row r="878" spans="1:27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>
        <v>31876</v>
      </c>
      <c r="P878" s="1">
        <f t="shared" si="43"/>
        <v>0.32623425126075745</v>
      </c>
      <c r="Q878" s="25">
        <f t="shared" si="44"/>
        <v>0.3091157523158472</v>
      </c>
      <c r="R878" s="24">
        <f t="shared" si="45"/>
        <v>-3.1199266281589644E-2</v>
      </c>
      <c r="S878" s="20"/>
      <c r="T878" s="7"/>
      <c r="U878" s="7"/>
      <c r="V878" s="7"/>
      <c r="W878" s="7"/>
      <c r="X878" s="7"/>
      <c r="Y878" s="7"/>
      <c r="Z878" s="7"/>
      <c r="AA878" s="7"/>
    </row>
    <row r="879" spans="1:27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>
        <v>31877</v>
      </c>
      <c r="P879" s="1">
        <f t="shared" si="43"/>
        <v>0.32654312252998352</v>
      </c>
      <c r="Q879" s="25">
        <f t="shared" si="44"/>
        <v>0.30908426197129302</v>
      </c>
      <c r="R879" s="24">
        <f t="shared" si="45"/>
        <v>-3.1795324595407237E-2</v>
      </c>
      <c r="S879" s="20"/>
      <c r="T879" s="7"/>
      <c r="U879" s="7"/>
      <c r="V879" s="7"/>
      <c r="W879" s="7"/>
      <c r="X879" s="7"/>
      <c r="Y879" s="7"/>
      <c r="Z879" s="7"/>
      <c r="AA879" s="7"/>
    </row>
    <row r="880" spans="1:27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>
        <v>31878</v>
      </c>
      <c r="P880" s="1">
        <f t="shared" si="43"/>
        <v>0.32685211300849915</v>
      </c>
      <c r="Q880" s="25">
        <f t="shared" si="44"/>
        <v>0.30905221865396015</v>
      </c>
      <c r="R880" s="24">
        <f t="shared" si="45"/>
        <v>-3.2387183601656488E-2</v>
      </c>
      <c r="S880" s="20"/>
      <c r="T880" s="7"/>
      <c r="U880" s="7"/>
      <c r="V880" s="7"/>
      <c r="W880" s="7"/>
      <c r="X880" s="7"/>
      <c r="Y880" s="7"/>
      <c r="Z880" s="7"/>
      <c r="AA880" s="7"/>
    </row>
    <row r="881" spans="1:27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>
        <v>31879</v>
      </c>
      <c r="P881" s="1">
        <f t="shared" si="43"/>
        <v>0.32716110348701477</v>
      </c>
      <c r="Q881" s="25">
        <f t="shared" si="44"/>
        <v>0.30901950594852678</v>
      </c>
      <c r="R881" s="24">
        <f t="shared" si="45"/>
        <v>-3.2974841523980558E-2</v>
      </c>
      <c r="S881" s="20"/>
      <c r="T881" s="7"/>
      <c r="U881" s="7"/>
      <c r="V881" s="7"/>
      <c r="W881" s="7"/>
      <c r="X881" s="7"/>
      <c r="Y881" s="7"/>
      <c r="Z881" s="7"/>
      <c r="AA881" s="7"/>
    </row>
    <row r="882" spans="1:27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>
        <v>31880</v>
      </c>
      <c r="P882" s="1">
        <f t="shared" si="43"/>
        <v>0.32747021317481995</v>
      </c>
      <c r="Q882" s="25">
        <f t="shared" si="44"/>
        <v>0.30898621116648428</v>
      </c>
      <c r="R882" s="24">
        <f t="shared" si="45"/>
        <v>-3.3558307244163643E-2</v>
      </c>
      <c r="S882" s="20"/>
      <c r="T882" s="7"/>
      <c r="U882" s="7"/>
      <c r="V882" s="7"/>
      <c r="W882" s="7"/>
      <c r="X882" s="7"/>
      <c r="Y882" s="7"/>
      <c r="Z882" s="7"/>
      <c r="AA882" s="7"/>
    </row>
    <row r="883" spans="1:27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>
        <v>31881</v>
      </c>
      <c r="P883" s="1">
        <f t="shared" si="43"/>
        <v>0.32777944207191467</v>
      </c>
      <c r="Q883" s="25">
        <f t="shared" si="44"/>
        <v>0.30895242161932401</v>
      </c>
      <c r="R883" s="24">
        <f t="shared" si="45"/>
        <v>-3.4137575433135225E-2</v>
      </c>
      <c r="S883" s="20"/>
      <c r="T883" s="7"/>
      <c r="U883" s="7"/>
      <c r="V883" s="7"/>
      <c r="W883" s="7"/>
      <c r="X883" s="7"/>
      <c r="Y883" s="7"/>
      <c r="Z883" s="7"/>
      <c r="AA883" s="7"/>
    </row>
    <row r="884" spans="1:27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>
        <v>31882</v>
      </c>
      <c r="P884" s="1">
        <f t="shared" si="43"/>
        <v>0.32808795571327209</v>
      </c>
      <c r="Q884" s="25">
        <f t="shared" si="44"/>
        <v>0.30891793358023278</v>
      </c>
      <c r="R884" s="24">
        <f t="shared" si="45"/>
        <v>-3.4712665630820538E-2</v>
      </c>
      <c r="S884" s="20"/>
      <c r="T884" s="7"/>
      <c r="U884" s="7"/>
      <c r="V884" s="7"/>
      <c r="W884" s="7"/>
      <c r="X884" s="7"/>
      <c r="Y884" s="7"/>
      <c r="Z884" s="7"/>
      <c r="AA884" s="7"/>
    </row>
    <row r="885" spans="1:27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>
        <v>31883</v>
      </c>
      <c r="P885" s="1">
        <f t="shared" si="43"/>
        <v>0.32839706540107727</v>
      </c>
      <c r="Q885" s="25">
        <f t="shared" si="44"/>
        <v>0.30888297987985425</v>
      </c>
      <c r="R885" s="24">
        <f t="shared" si="45"/>
        <v>-3.5283568955435385E-2</v>
      </c>
      <c r="S885" s="20"/>
      <c r="T885" s="7"/>
      <c r="U885" s="7"/>
      <c r="V885" s="7"/>
      <c r="W885" s="7"/>
      <c r="X885" s="7"/>
      <c r="Y885" s="7"/>
      <c r="Z885" s="7"/>
      <c r="AA885" s="7"/>
    </row>
    <row r="886" spans="1:27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>
        <v>31884</v>
      </c>
      <c r="P886" s="1">
        <f t="shared" si="43"/>
        <v>0.32870534062385559</v>
      </c>
      <c r="Q886" s="25">
        <f t="shared" si="44"/>
        <v>0.30884741499903612</v>
      </c>
      <c r="R886" s="24">
        <f t="shared" si="45"/>
        <v>-3.5850294288763962E-2</v>
      </c>
      <c r="S886" s="20"/>
      <c r="T886" s="7"/>
      <c r="U886" s="7"/>
      <c r="V886" s="7"/>
      <c r="W886" s="7"/>
      <c r="X886" s="7"/>
      <c r="Y886" s="7"/>
      <c r="Z886" s="7"/>
      <c r="AA886" s="7"/>
    </row>
    <row r="887" spans="1:27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>
        <v>31885</v>
      </c>
      <c r="P887" s="1">
        <f t="shared" si="43"/>
        <v>0.32901456952095032</v>
      </c>
      <c r="Q887" s="25">
        <f t="shared" si="44"/>
        <v>0.3088112389377784</v>
      </c>
      <c r="R887" s="24">
        <f t="shared" si="45"/>
        <v>-3.6412846959876788E-2</v>
      </c>
      <c r="S887" s="20"/>
      <c r="T887" s="7"/>
      <c r="U887" s="7"/>
      <c r="V887" s="7"/>
      <c r="W887" s="7"/>
      <c r="X887" s="7"/>
      <c r="Y887" s="7"/>
      <c r="Z887" s="7"/>
      <c r="AA887" s="7"/>
    </row>
    <row r="888" spans="1:27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>
        <v>31886</v>
      </c>
      <c r="P888" s="1">
        <f t="shared" si="43"/>
        <v>0.32932391762733459</v>
      </c>
      <c r="Q888" s="25">
        <f t="shared" si="44"/>
        <v>0.30877459721523337</v>
      </c>
      <c r="R888" s="24">
        <f t="shared" si="45"/>
        <v>-3.6971230521487541E-2</v>
      </c>
      <c r="S888" s="20"/>
      <c r="T888" s="7"/>
      <c r="U888" s="7"/>
      <c r="V888" s="7"/>
      <c r="W888" s="7"/>
      <c r="X888" s="7"/>
      <c r="Y888" s="7"/>
      <c r="Z888" s="7"/>
      <c r="AA888" s="7"/>
    </row>
    <row r="889" spans="1:27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>
        <v>31887</v>
      </c>
      <c r="P889" s="1">
        <f t="shared" si="43"/>
        <v>0.32963219285011292</v>
      </c>
      <c r="Q889" s="25">
        <f t="shared" si="44"/>
        <v>0.30873737341607921</v>
      </c>
      <c r="R889" s="24">
        <f t="shared" si="45"/>
        <v>-3.7525444973596223E-2</v>
      </c>
      <c r="S889" s="20"/>
      <c r="T889" s="7"/>
      <c r="U889" s="7"/>
      <c r="V889" s="7"/>
      <c r="W889" s="7"/>
      <c r="X889" s="7"/>
      <c r="Y889" s="7"/>
      <c r="Z889" s="7"/>
      <c r="AA889" s="7"/>
    </row>
    <row r="890" spans="1:27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>
        <v>31888</v>
      </c>
      <c r="P890" s="1">
        <f t="shared" si="43"/>
        <v>0.32994118332862854</v>
      </c>
      <c r="Q890" s="25">
        <f t="shared" si="44"/>
        <v>0.30869956754031591</v>
      </c>
      <c r="R890" s="24">
        <f t="shared" si="45"/>
        <v>-3.8075497421630189E-2</v>
      </c>
      <c r="S890" s="20"/>
      <c r="T890" s="7"/>
      <c r="U890" s="7"/>
      <c r="V890" s="7"/>
      <c r="W890" s="7"/>
      <c r="X890" s="7"/>
      <c r="Y890" s="7"/>
      <c r="Z890" s="7"/>
      <c r="AA890" s="7"/>
    </row>
    <row r="891" spans="1:27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>
        <v>31889</v>
      </c>
      <c r="P891" s="1">
        <f t="shared" si="43"/>
        <v>0.33024957776069641</v>
      </c>
      <c r="Q891" s="25">
        <f t="shared" si="44"/>
        <v>0.30866123779560439</v>
      </c>
      <c r="R891" s="24">
        <f t="shared" si="45"/>
        <v>-3.8621400300087316E-2</v>
      </c>
      <c r="S891" s="20"/>
      <c r="T891" s="7"/>
      <c r="U891" s="7"/>
      <c r="V891" s="7"/>
      <c r="W891" s="7"/>
      <c r="X891" s="7"/>
      <c r="Y891" s="7"/>
      <c r="Z891" s="7"/>
      <c r="AA891" s="7"/>
    </row>
    <row r="892" spans="1:27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>
        <v>31890</v>
      </c>
      <c r="P892" s="1">
        <f t="shared" si="43"/>
        <v>0.33055856823921204</v>
      </c>
      <c r="Q892" s="25">
        <f t="shared" si="44"/>
        <v>0.30862229687045328</v>
      </c>
      <c r="R892" s="24">
        <f t="shared" si="45"/>
        <v>-3.9163144727183408E-2</v>
      </c>
      <c r="S892" s="20"/>
      <c r="T892" s="7"/>
      <c r="U892" s="7"/>
      <c r="V892" s="7"/>
      <c r="W892" s="7"/>
      <c r="X892" s="7"/>
      <c r="Y892" s="7"/>
      <c r="Z892" s="7"/>
      <c r="AA892" s="7"/>
    </row>
    <row r="893" spans="1:27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>
        <v>31891</v>
      </c>
      <c r="P893" s="1">
        <f t="shared" si="43"/>
        <v>0.33086684346199036</v>
      </c>
      <c r="Q893" s="25">
        <f t="shared" si="44"/>
        <v>0.30858286118018441</v>
      </c>
      <c r="R893" s="24">
        <f t="shared" si="45"/>
        <v>-3.9700746690130018E-2</v>
      </c>
      <c r="S893" s="20"/>
      <c r="T893" s="7"/>
      <c r="U893" s="7"/>
      <c r="V893" s="7"/>
      <c r="W893" s="7"/>
      <c r="X893" s="7"/>
      <c r="Y893" s="7"/>
      <c r="Z893" s="7"/>
      <c r="AA893" s="7"/>
    </row>
    <row r="894" spans="1:27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>
        <v>31892</v>
      </c>
      <c r="P894" s="1">
        <f t="shared" si="43"/>
        <v>0.33117547631263733</v>
      </c>
      <c r="Q894" s="25">
        <f t="shared" si="44"/>
        <v>0.30854290162096731</v>
      </c>
      <c r="R894" s="24">
        <f t="shared" si="45"/>
        <v>-4.0234213294354504E-2</v>
      </c>
      <c r="S894" s="20"/>
      <c r="T894" s="7"/>
      <c r="U894" s="7"/>
      <c r="V894" s="7"/>
      <c r="W894" s="7"/>
      <c r="X894" s="7"/>
      <c r="Y894" s="7"/>
      <c r="Z894" s="7"/>
      <c r="AA894" s="7"/>
    </row>
    <row r="895" spans="1:27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>
        <v>31893</v>
      </c>
      <c r="P895" s="1">
        <f t="shared" si="43"/>
        <v>0.33148398995399475</v>
      </c>
      <c r="Q895" s="25">
        <f t="shared" si="44"/>
        <v>0.30850238908897154</v>
      </c>
      <c r="R895" s="24">
        <f t="shared" si="45"/>
        <v>-4.0763539210786348E-2</v>
      </c>
      <c r="S895" s="20"/>
      <c r="T895" s="7"/>
      <c r="U895" s="7"/>
      <c r="V895" s="7"/>
      <c r="W895" s="7"/>
      <c r="X895" s="7"/>
      <c r="Y895" s="7"/>
      <c r="Z895" s="7"/>
      <c r="AA895" s="7"/>
    </row>
    <row r="896" spans="1:27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>
        <v>31894</v>
      </c>
      <c r="P896" s="1">
        <f t="shared" si="43"/>
        <v>0.33179274201393127</v>
      </c>
      <c r="Q896" s="25">
        <f t="shared" si="44"/>
        <v>0.308461381791858</v>
      </c>
      <c r="R896" s="24">
        <f t="shared" si="45"/>
        <v>-4.1288738650280266E-2</v>
      </c>
      <c r="S896" s="20"/>
      <c r="T896" s="7"/>
      <c r="U896" s="7"/>
      <c r="V896" s="7"/>
      <c r="W896" s="7"/>
      <c r="X896" s="7"/>
      <c r="Y896" s="7"/>
      <c r="Z896" s="7"/>
      <c r="AA896" s="7"/>
    </row>
    <row r="897" spans="1:27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>
        <v>31895</v>
      </c>
      <c r="P897" s="1">
        <f t="shared" si="43"/>
        <v>0.33210113644599915</v>
      </c>
      <c r="Q897" s="25">
        <f t="shared" si="44"/>
        <v>0.30841985062579624</v>
      </c>
      <c r="R897" s="24">
        <f t="shared" si="45"/>
        <v>-4.1809811612836256E-2</v>
      </c>
      <c r="S897" s="20"/>
      <c r="T897" s="7"/>
      <c r="U897" s="7"/>
      <c r="V897" s="7"/>
      <c r="W897" s="7"/>
      <c r="X897" s="7"/>
      <c r="Y897" s="7"/>
      <c r="Z897" s="7"/>
      <c r="AA897" s="7"/>
    </row>
    <row r="898" spans="1:27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>
        <v>31896</v>
      </c>
      <c r="P898" s="1">
        <f t="shared" si="43"/>
        <v>0.33240941166877747</v>
      </c>
      <c r="Q898" s="25">
        <f t="shared" si="44"/>
        <v>0.30837767917546444</v>
      </c>
      <c r="R898" s="24">
        <f t="shared" si="45"/>
        <v>-4.2326763427524838E-2</v>
      </c>
      <c r="S898" s="20"/>
      <c r="T898" s="7"/>
      <c r="U898" s="7"/>
      <c r="V898" s="7"/>
      <c r="W898" s="7"/>
      <c r="X898" s="7"/>
      <c r="Y898" s="7"/>
      <c r="Z898" s="7"/>
      <c r="AA898" s="7"/>
    </row>
    <row r="899" spans="1:27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>
        <v>31897</v>
      </c>
      <c r="P899" s="1">
        <f t="shared" si="43"/>
        <v>0.33271768689155579</v>
      </c>
      <c r="Q899" s="25">
        <f t="shared" si="44"/>
        <v>0.30833518758299761</v>
      </c>
      <c r="R899" s="24">
        <f t="shared" si="45"/>
        <v>-4.2839601199773369E-2</v>
      </c>
      <c r="S899" s="20"/>
      <c r="T899" s="7"/>
      <c r="U899" s="7"/>
      <c r="V899" s="7"/>
      <c r="W899" s="7"/>
      <c r="X899" s="7"/>
      <c r="Y899" s="7"/>
      <c r="Z899" s="7"/>
      <c r="AA899" s="7"/>
    </row>
    <row r="900" spans="1:27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>
        <v>31898</v>
      </c>
      <c r="P900" s="1">
        <f t="shared" si="43"/>
        <v>0.33302655816078186</v>
      </c>
      <c r="Q900" s="25">
        <f t="shared" si="44"/>
        <v>0.30829208481009118</v>
      </c>
      <c r="R900" s="24">
        <f t="shared" si="45"/>
        <v>-4.3348332035009207E-2</v>
      </c>
      <c r="S900" s="20"/>
      <c r="T900" s="7"/>
      <c r="U900" s="7"/>
      <c r="V900" s="7"/>
      <c r="W900" s="7"/>
      <c r="X900" s="7"/>
      <c r="Y900" s="7"/>
      <c r="Z900" s="7"/>
      <c r="AA900" s="7"/>
    </row>
    <row r="901" spans="1:27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>
        <v>31899</v>
      </c>
      <c r="P901" s="1">
        <f t="shared" si="43"/>
        <v>0.33333411812782288</v>
      </c>
      <c r="Q901" s="25">
        <f t="shared" si="44"/>
        <v>0.30824842906440608</v>
      </c>
      <c r="R901" s="24">
        <f t="shared" si="45"/>
        <v>-4.3852957709589191E-2</v>
      </c>
      <c r="S901" s="20"/>
      <c r="T901" s="7"/>
      <c r="U901" s="7"/>
      <c r="V901" s="7"/>
      <c r="W901" s="7"/>
      <c r="X901" s="7"/>
      <c r="Y901" s="7"/>
      <c r="Z901" s="7"/>
      <c r="AA901" s="7"/>
    </row>
    <row r="902" spans="1:27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>
        <v>31900</v>
      </c>
      <c r="P902" s="1">
        <f t="shared" si="43"/>
        <v>0.3336423933506012</v>
      </c>
      <c r="Q902" s="25">
        <f t="shared" si="44"/>
        <v>0.30820430765743367</v>
      </c>
      <c r="R902" s="24">
        <f t="shared" si="45"/>
        <v>-4.4353490658011197E-2</v>
      </c>
      <c r="S902" s="20"/>
      <c r="T902" s="7"/>
      <c r="U902" s="7"/>
      <c r="V902" s="7"/>
      <c r="W902" s="7"/>
      <c r="X902" s="7"/>
      <c r="Y902" s="7"/>
      <c r="Z902" s="7"/>
      <c r="AA902" s="7"/>
    </row>
    <row r="903" spans="1:27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>
        <v>31901</v>
      </c>
      <c r="P903" s="1">
        <f t="shared" si="43"/>
        <v>0.33395054936408997</v>
      </c>
      <c r="Q903" s="25">
        <f t="shared" si="44"/>
        <v>0.30815972058917396</v>
      </c>
      <c r="R903" s="24">
        <f t="shared" si="45"/>
        <v>-4.4849936209345742E-2</v>
      </c>
      <c r="S903" s="20"/>
      <c r="T903" s="7"/>
      <c r="U903" s="7"/>
      <c r="V903" s="7"/>
      <c r="W903" s="7"/>
      <c r="X903" s="7"/>
      <c r="Y903" s="7"/>
      <c r="Z903" s="7"/>
      <c r="AA903" s="7"/>
    </row>
    <row r="904" spans="1:27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>
        <v>31902</v>
      </c>
      <c r="P904" s="1">
        <f t="shared" si="43"/>
        <v>0.33425834774971008</v>
      </c>
      <c r="Q904" s="25">
        <f t="shared" si="44"/>
        <v>0.30811469696345739</v>
      </c>
      <c r="R904" s="24">
        <f t="shared" si="45"/>
        <v>-4.5342294363592828E-2</v>
      </c>
      <c r="S904" s="20"/>
      <c r="T904" s="7"/>
      <c r="U904" s="7"/>
      <c r="V904" s="7"/>
      <c r="W904" s="7"/>
      <c r="X904" s="7"/>
      <c r="Y904" s="7"/>
      <c r="Z904" s="7"/>
      <c r="AA904" s="7"/>
    </row>
    <row r="905" spans="1:27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>
        <v>31903</v>
      </c>
      <c r="P905" s="1">
        <f t="shared" si="43"/>
        <v>0.3345663845539093</v>
      </c>
      <c r="Q905" s="25">
        <f t="shared" si="44"/>
        <v>0.30806906215730123</v>
      </c>
      <c r="R905" s="24">
        <f t="shared" si="45"/>
        <v>-4.583057400253665E-2</v>
      </c>
      <c r="S905" s="20"/>
      <c r="T905" s="7"/>
      <c r="U905" s="7"/>
      <c r="V905" s="7"/>
      <c r="W905" s="7"/>
      <c r="X905" s="7"/>
      <c r="Y905" s="7"/>
      <c r="Z905" s="7"/>
      <c r="AA905" s="7"/>
    </row>
    <row r="906" spans="1:27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>
        <v>31904</v>
      </c>
      <c r="P906" s="1">
        <f t="shared" ref="P906:P969" si="46" xml:space="preserve"> -1.4681315616E-19*$O906^6 + 2.80493263066289E-14*$O906^5 - 2.23271907955907E-09*$O906^4 + 0.0000947783879077569*$O906^3 - 2.26293121558813*$O906^2 + 28813.4861268598*$O906 - 152852350.445896</f>
        <v>0.33487477898597717</v>
      </c>
      <c r="Q906" s="25">
        <f t="shared" ref="Q906:Q969" si="47" xml:space="preserve"> (6*-1.4681315616E-19*$O906^5 + 5*2.80493263066289E-14*$O906^4 - 4*2.23271907955907E-09*$O906^3 + 3*0.0000947783879077569*$O906^2 - 2*2.26293121558813*$O906^1 + 28813.4861268598)*1000</f>
        <v>0.30802304900134914</v>
      </c>
      <c r="R906" s="24">
        <f t="shared" ref="R906:R969" si="48" xml:space="preserve"> (5*6*-1.4681315616E-19*$O906^4 + 4*5*2.80493263066289E-14*$O906^3 - 3*4*2.23271907955907E-09*$O906^2 + 2*3*0.0000947783879077569*$O906^1 - 2*2.26293121558813)*1000*1000</f>
        <v>-4.6314784007961407E-2</v>
      </c>
      <c r="S906" s="20"/>
      <c r="T906" s="7"/>
      <c r="U906" s="7"/>
      <c r="V906" s="7"/>
      <c r="W906" s="7"/>
      <c r="X906" s="7"/>
      <c r="Y906" s="7"/>
      <c r="Z906" s="7"/>
      <c r="AA906" s="7"/>
    </row>
    <row r="907" spans="1:27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>
        <v>31905</v>
      </c>
      <c r="P907" s="1">
        <f t="shared" si="46"/>
        <v>0.33518233895301819</v>
      </c>
      <c r="Q907" s="25">
        <f t="shared" si="47"/>
        <v>0.30797648287261836</v>
      </c>
      <c r="R907" s="24">
        <f t="shared" si="48"/>
        <v>-4.6794924379867098E-2</v>
      </c>
      <c r="S907" s="20"/>
      <c r="T907" s="7"/>
      <c r="U907" s="7"/>
      <c r="V907" s="7"/>
      <c r="W907" s="7"/>
      <c r="X907" s="7"/>
      <c r="Y907" s="7"/>
      <c r="Z907" s="7"/>
      <c r="AA907" s="7"/>
    </row>
    <row r="908" spans="1:27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>
        <v>31906</v>
      </c>
      <c r="P908" s="1">
        <f t="shared" si="46"/>
        <v>0.33549085259437561</v>
      </c>
      <c r="Q908" s="25">
        <f t="shared" si="47"/>
        <v>0.30792942197876982</v>
      </c>
      <c r="R908" s="24">
        <f t="shared" si="48"/>
        <v>-4.7271011105465277E-2</v>
      </c>
      <c r="S908" s="20"/>
      <c r="T908" s="7"/>
      <c r="U908" s="7"/>
      <c r="V908" s="7"/>
      <c r="W908" s="7"/>
      <c r="X908" s="7"/>
      <c r="Y908" s="7"/>
      <c r="Z908" s="7"/>
      <c r="AA908" s="7"/>
    </row>
    <row r="909" spans="1:27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>
        <v>31907</v>
      </c>
      <c r="P909" s="1">
        <f t="shared" si="46"/>
        <v>0.33579877018928528</v>
      </c>
      <c r="Q909" s="25">
        <f t="shared" si="47"/>
        <v>0.30788192452746443</v>
      </c>
      <c r="R909" s="24">
        <f t="shared" si="48"/>
        <v>-4.7743040632042266E-2</v>
      </c>
      <c r="S909" s="20"/>
      <c r="T909" s="7"/>
      <c r="U909" s="7"/>
      <c r="V909" s="7"/>
      <c r="W909" s="7"/>
      <c r="X909" s="7"/>
      <c r="Y909" s="7"/>
      <c r="Z909" s="7"/>
      <c r="AA909" s="7"/>
    </row>
    <row r="910" spans="1:27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>
        <v>31908</v>
      </c>
      <c r="P910" s="1">
        <f t="shared" si="46"/>
        <v>0.33610609173774719</v>
      </c>
      <c r="Q910" s="25">
        <f t="shared" si="47"/>
        <v>0.30783393231104128</v>
      </c>
      <c r="R910" s="24">
        <f t="shared" si="48"/>
        <v>-4.8211025394095941E-2</v>
      </c>
      <c r="S910" s="20"/>
      <c r="T910" s="7"/>
      <c r="U910" s="7"/>
      <c r="V910" s="7"/>
      <c r="W910" s="7"/>
      <c r="X910" s="7"/>
      <c r="Y910" s="7"/>
      <c r="Z910" s="7"/>
      <c r="AA910" s="7"/>
    </row>
    <row r="911" spans="1:27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>
        <v>31909</v>
      </c>
      <c r="P911" s="1">
        <f t="shared" si="46"/>
        <v>0.33641412854194641</v>
      </c>
      <c r="Q911" s="25">
        <f t="shared" si="47"/>
        <v>0.30778550353716128</v>
      </c>
      <c r="R911" s="24">
        <f t="shared" si="48"/>
        <v>-4.8674976049767338E-2</v>
      </c>
      <c r="S911" s="20"/>
      <c r="T911" s="7"/>
      <c r="U911" s="7"/>
      <c r="V911" s="7"/>
      <c r="W911" s="7"/>
      <c r="X911" s="7"/>
      <c r="Y911" s="7"/>
      <c r="Z911" s="7"/>
      <c r="AA911" s="7"/>
    </row>
    <row r="912" spans="1:27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>
        <v>31910</v>
      </c>
      <c r="P912" s="1">
        <f t="shared" si="46"/>
        <v>0.33672204613685608</v>
      </c>
      <c r="Q912" s="25">
        <f t="shared" si="47"/>
        <v>0.30773655089433305</v>
      </c>
      <c r="R912" s="24">
        <f t="shared" si="48"/>
        <v>-4.9134892599056457E-2</v>
      </c>
      <c r="S912" s="20"/>
      <c r="T912" s="7"/>
      <c r="U912" s="7"/>
      <c r="V912" s="7"/>
      <c r="W912" s="7"/>
      <c r="X912" s="7"/>
      <c r="Y912" s="7"/>
      <c r="Z912" s="7"/>
      <c r="AA912" s="7"/>
    </row>
    <row r="913" spans="1:27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>
        <v>31911</v>
      </c>
      <c r="P913" s="1">
        <f t="shared" si="46"/>
        <v>0.3370303213596344</v>
      </c>
      <c r="Q913" s="25">
        <f t="shared" si="47"/>
        <v>0.30768724900553934</v>
      </c>
      <c r="R913" s="24">
        <f t="shared" si="48"/>
        <v>-4.9590791029174852E-2</v>
      </c>
      <c r="S913" s="20"/>
      <c r="T913" s="7"/>
      <c r="U913" s="7"/>
      <c r="V913" s="7"/>
      <c r="W913" s="7"/>
      <c r="X913" s="7"/>
      <c r="Y913" s="7"/>
      <c r="Z913" s="7"/>
      <c r="AA913" s="7"/>
    </row>
    <row r="914" spans="1:27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>
        <v>31912</v>
      </c>
      <c r="P914" s="1">
        <f t="shared" si="46"/>
        <v>0.33733764290809631</v>
      </c>
      <c r="Q914" s="25">
        <f t="shared" si="47"/>
        <v>0.3076373650401365</v>
      </c>
      <c r="R914" s="24">
        <f t="shared" si="48"/>
        <v>-5.0042669563765685E-2</v>
      </c>
      <c r="S914" s="20"/>
      <c r="T914" s="7"/>
      <c r="U914" s="7"/>
      <c r="V914" s="7"/>
      <c r="W914" s="7"/>
      <c r="X914" s="7"/>
      <c r="Y914" s="7"/>
      <c r="Z914" s="7"/>
      <c r="AA914" s="7"/>
    </row>
    <row r="915" spans="1:27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>
        <v>31913</v>
      </c>
      <c r="P915" s="1">
        <f t="shared" si="46"/>
        <v>0.33764556050300598</v>
      </c>
      <c r="Q915" s="25">
        <f t="shared" si="47"/>
        <v>0.30758713182876818</v>
      </c>
      <c r="R915" s="24">
        <f t="shared" si="48"/>
        <v>-5.0490531755542634E-2</v>
      </c>
      <c r="S915" s="20"/>
      <c r="T915" s="7"/>
      <c r="U915" s="7"/>
      <c r="V915" s="7"/>
      <c r="W915" s="7"/>
      <c r="X915" s="7"/>
      <c r="Y915" s="7"/>
      <c r="Z915" s="7"/>
      <c r="AA915" s="7"/>
    </row>
    <row r="916" spans="1:27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>
        <v>31914</v>
      </c>
      <c r="P916" s="1">
        <f t="shared" si="46"/>
        <v>0.3379528820514679</v>
      </c>
      <c r="Q916" s="25">
        <f t="shared" si="47"/>
        <v>0.30753646205994301</v>
      </c>
      <c r="R916" s="24">
        <f t="shared" si="48"/>
        <v>-5.093440247350145E-2</v>
      </c>
      <c r="S916" s="20"/>
      <c r="T916" s="7"/>
      <c r="U916" s="7"/>
      <c r="V916" s="7"/>
      <c r="W916" s="7"/>
      <c r="X916" s="7"/>
      <c r="Y916" s="7"/>
      <c r="Z916" s="7"/>
      <c r="AA916" s="7"/>
    </row>
    <row r="917" spans="1:27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>
        <v>31915</v>
      </c>
      <c r="P917" s="1">
        <f t="shared" si="46"/>
        <v>0.33826091885566711</v>
      </c>
      <c r="Q917" s="25">
        <f t="shared" si="47"/>
        <v>0.30748529752600007</v>
      </c>
      <c r="R917" s="24">
        <f t="shared" si="48"/>
        <v>-5.1374271059501098E-2</v>
      </c>
      <c r="S917" s="20"/>
      <c r="T917" s="7"/>
      <c r="U917" s="7"/>
      <c r="V917" s="7"/>
      <c r="W917" s="7"/>
      <c r="X917" s="7"/>
      <c r="Y917" s="7"/>
      <c r="Z917" s="7"/>
      <c r="AA917" s="7"/>
    </row>
    <row r="918" spans="1:27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>
        <v>31916</v>
      </c>
      <c r="P918" s="1">
        <f t="shared" si="46"/>
        <v>0.33856716752052307</v>
      </c>
      <c r="Q918" s="25">
        <f t="shared" si="47"/>
        <v>0.30743369643460028</v>
      </c>
      <c r="R918" s="24">
        <f t="shared" si="48"/>
        <v>-5.1810153500753131E-2</v>
      </c>
      <c r="S918" s="20"/>
      <c r="T918" s="7"/>
      <c r="U918" s="7"/>
      <c r="V918" s="7"/>
      <c r="W918" s="7"/>
      <c r="X918" s="7"/>
      <c r="Y918" s="7"/>
      <c r="Z918" s="7"/>
      <c r="AA918" s="7"/>
    </row>
    <row r="919" spans="1:27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>
        <v>31917</v>
      </c>
      <c r="P919" s="1">
        <f t="shared" si="46"/>
        <v>0.33887520432472229</v>
      </c>
      <c r="Q919" s="25">
        <f t="shared" si="47"/>
        <v>0.3073816878895741</v>
      </c>
      <c r="R919" s="24">
        <f t="shared" si="48"/>
        <v>-5.2242058679041747E-2</v>
      </c>
      <c r="S919" s="20"/>
      <c r="T919" s="7"/>
      <c r="U919" s="7"/>
      <c r="V919" s="7"/>
      <c r="W919" s="7"/>
      <c r="X919" s="7"/>
      <c r="Y919" s="7"/>
      <c r="Z919" s="7"/>
      <c r="AA919" s="7"/>
    </row>
    <row r="920" spans="1:27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>
        <v>31918</v>
      </c>
      <c r="P920" s="1">
        <f t="shared" si="46"/>
        <v>0.3391825258731842</v>
      </c>
      <c r="Q920" s="25">
        <f t="shared" si="47"/>
        <v>0.30732924278709106</v>
      </c>
      <c r="R920" s="24">
        <f t="shared" si="48"/>
        <v>-5.2669991923437465E-2</v>
      </c>
      <c r="S920" s="20"/>
      <c r="T920" s="7"/>
      <c r="U920" s="7"/>
      <c r="V920" s="7"/>
      <c r="W920" s="7"/>
      <c r="X920" s="7"/>
      <c r="Y920" s="7"/>
      <c r="Z920" s="7"/>
      <c r="AA920" s="7"/>
    </row>
    <row r="921" spans="1:27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>
        <v>31919</v>
      </c>
      <c r="P921" s="1">
        <f t="shared" si="46"/>
        <v>0.33948996663093567</v>
      </c>
      <c r="Q921" s="25">
        <f t="shared" si="47"/>
        <v>0.30727627381565981</v>
      </c>
      <c r="R921" s="24">
        <f t="shared" si="48"/>
        <v>-5.3093958563010801E-2</v>
      </c>
      <c r="S921" s="20"/>
      <c r="T921" s="7"/>
      <c r="U921" s="7"/>
      <c r="V921" s="7"/>
      <c r="W921" s="7"/>
      <c r="X921" s="7"/>
      <c r="Y921" s="7"/>
      <c r="Z921" s="7"/>
      <c r="AA921" s="7"/>
    </row>
    <row r="922" spans="1:27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>
        <v>31920</v>
      </c>
      <c r="P922" s="1">
        <f t="shared" si="46"/>
        <v>0.33979704976081848</v>
      </c>
      <c r="Q922" s="25">
        <f t="shared" si="47"/>
        <v>0.30722298470209353</v>
      </c>
      <c r="R922" s="24">
        <f t="shared" si="48"/>
        <v>-5.3513974584973312E-2</v>
      </c>
      <c r="S922" s="20"/>
      <c r="T922" s="7"/>
      <c r="U922" s="7"/>
      <c r="V922" s="7"/>
      <c r="W922" s="7"/>
      <c r="X922" s="7"/>
      <c r="Y922" s="7"/>
      <c r="Z922" s="7"/>
      <c r="AA922" s="7"/>
    </row>
    <row r="923" spans="1:27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>
        <v>31921</v>
      </c>
      <c r="P923" s="1">
        <f t="shared" si="46"/>
        <v>0.34010413289070129</v>
      </c>
      <c r="Q923" s="25">
        <f t="shared" si="47"/>
        <v>0.30716931723873131</v>
      </c>
      <c r="R923" s="24">
        <f t="shared" si="48"/>
        <v>-5.3930036436611317E-2</v>
      </c>
      <c r="S923" s="20"/>
      <c r="T923" s="7"/>
      <c r="U923" s="7"/>
      <c r="V923" s="7"/>
      <c r="W923" s="7"/>
      <c r="X923" s="7"/>
      <c r="Y923" s="7"/>
      <c r="Z923" s="7"/>
      <c r="AA923" s="7"/>
    </row>
    <row r="924" spans="1:27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>
        <v>31922</v>
      </c>
      <c r="P924" s="1">
        <f t="shared" si="46"/>
        <v>0.34041157364845276</v>
      </c>
      <c r="Q924" s="25">
        <f t="shared" si="47"/>
        <v>0.30711515501025133</v>
      </c>
      <c r="R924" s="24">
        <f t="shared" si="48"/>
        <v>-5.434216721056373E-2</v>
      </c>
      <c r="S924" s="20"/>
      <c r="T924" s="7"/>
      <c r="U924" s="7"/>
      <c r="V924" s="7"/>
      <c r="W924" s="7"/>
      <c r="X924" s="7"/>
      <c r="Y924" s="7"/>
      <c r="Z924" s="7"/>
      <c r="AA924" s="7"/>
    </row>
    <row r="925" spans="1:27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>
        <v>31923</v>
      </c>
      <c r="P925" s="1">
        <f t="shared" si="46"/>
        <v>0.34071865677833557</v>
      </c>
      <c r="Q925" s="25">
        <f t="shared" si="47"/>
        <v>0.30706061443197541</v>
      </c>
      <c r="R925" s="24">
        <f t="shared" si="48"/>
        <v>-5.4750361577760032E-2</v>
      </c>
      <c r="S925" s="20"/>
      <c r="T925" s="7"/>
      <c r="U925" s="7"/>
      <c r="V925" s="7"/>
      <c r="W925" s="7"/>
      <c r="X925" s="7"/>
      <c r="Y925" s="7"/>
      <c r="Z925" s="7"/>
      <c r="AA925" s="7"/>
    </row>
    <row r="926" spans="1:27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>
        <v>31924</v>
      </c>
      <c r="P926" s="1">
        <f t="shared" si="46"/>
        <v>0.34102550148963928</v>
      </c>
      <c r="Q926" s="25">
        <f t="shared" si="47"/>
        <v>0.30700563729624264</v>
      </c>
      <c r="R926" s="24">
        <f t="shared" si="48"/>
        <v>-5.5154635525411777E-2</v>
      </c>
      <c r="S926" s="20"/>
      <c r="T926" s="7"/>
      <c r="U926" s="7"/>
      <c r="V926" s="7"/>
      <c r="W926" s="7"/>
      <c r="X926" s="7"/>
      <c r="Y926" s="7"/>
      <c r="Z926" s="7"/>
      <c r="AA926" s="7"/>
    </row>
    <row r="927" spans="1:27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>
        <v>31925</v>
      </c>
      <c r="P927" s="1">
        <f t="shared" si="46"/>
        <v>0.34133246541023254</v>
      </c>
      <c r="Q927" s="25">
        <f t="shared" si="47"/>
        <v>0.30695031091454439</v>
      </c>
      <c r="R927" s="24">
        <f t="shared" si="48"/>
        <v>-5.5554990829875806E-2</v>
      </c>
      <c r="S927" s="20"/>
      <c r="T927" s="7"/>
      <c r="U927" s="7"/>
      <c r="V927" s="7"/>
      <c r="W927" s="7"/>
      <c r="X927" s="7"/>
      <c r="Y927" s="7"/>
      <c r="Z927" s="7"/>
      <c r="AA927" s="7"/>
    </row>
    <row r="928" spans="1:27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>
        <v>31926</v>
      </c>
      <c r="P928" s="1">
        <f t="shared" si="46"/>
        <v>0.34163907170295715</v>
      </c>
      <c r="Q928" s="25">
        <f t="shared" si="47"/>
        <v>0.30689454797538929</v>
      </c>
      <c r="R928" s="24">
        <f t="shared" si="48"/>
        <v>-5.5951445254720511E-2</v>
      </c>
      <c r="S928" s="20"/>
      <c r="T928" s="7"/>
      <c r="U928" s="7"/>
      <c r="V928" s="7"/>
      <c r="W928" s="7"/>
      <c r="X928" s="7"/>
      <c r="Y928" s="7"/>
      <c r="Z928" s="7"/>
      <c r="AA928" s="7"/>
    </row>
    <row r="929" spans="1:27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>
        <v>31927</v>
      </c>
      <c r="P929" s="1">
        <f t="shared" si="46"/>
        <v>0.34194591641426086</v>
      </c>
      <c r="Q929" s="25">
        <f t="shared" si="47"/>
        <v>0.30683837758260779</v>
      </c>
      <c r="R929" s="24">
        <f t="shared" si="48"/>
        <v>-5.6344005905373251E-2</v>
      </c>
      <c r="S929" s="20"/>
      <c r="T929" s="7"/>
      <c r="U929" s="7"/>
      <c r="V929" s="7"/>
      <c r="W929" s="7"/>
      <c r="X929" s="7"/>
      <c r="Y929" s="7"/>
      <c r="Z929" s="7"/>
      <c r="AA929" s="7"/>
    </row>
    <row r="930" spans="1:27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>
        <v>31928</v>
      </c>
      <c r="P930" s="1">
        <f t="shared" si="46"/>
        <v>0.34225335717201233</v>
      </c>
      <c r="Q930" s="25">
        <f t="shared" si="47"/>
        <v>0.30678182884003036</v>
      </c>
      <c r="R930" s="24">
        <f t="shared" si="48"/>
        <v>-5.6732676334547705E-2</v>
      </c>
      <c r="S930" s="20"/>
      <c r="T930" s="7"/>
      <c r="U930" s="7"/>
      <c r="V930" s="7"/>
      <c r="W930" s="7"/>
      <c r="X930" s="7"/>
      <c r="Y930" s="7"/>
      <c r="Z930" s="7"/>
      <c r="AA930" s="7"/>
    </row>
    <row r="931" spans="1:27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>
        <v>31929</v>
      </c>
      <c r="P931" s="1">
        <f t="shared" si="46"/>
        <v>0.34255948662757874</v>
      </c>
      <c r="Q931" s="25">
        <f t="shared" si="47"/>
        <v>0.3067249599553179</v>
      </c>
      <c r="R931" s="24">
        <f t="shared" si="48"/>
        <v>-5.7117470753098587E-2</v>
      </c>
      <c r="S931" s="20"/>
      <c r="T931" s="7"/>
      <c r="U931" s="7"/>
      <c r="V931" s="7"/>
      <c r="W931" s="7"/>
      <c r="X931" s="7"/>
      <c r="Y931" s="7"/>
      <c r="Z931" s="7"/>
      <c r="AA931" s="7"/>
    </row>
    <row r="932" spans="1:27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>
        <v>31930</v>
      </c>
      <c r="P932" s="1">
        <f t="shared" si="46"/>
        <v>0.34286656975746155</v>
      </c>
      <c r="Q932" s="25">
        <f t="shared" si="47"/>
        <v>0.30666762540931813</v>
      </c>
      <c r="R932" s="24">
        <f t="shared" si="48"/>
        <v>-5.7498392713739577E-2</v>
      </c>
      <c r="S932" s="20"/>
      <c r="T932" s="7"/>
      <c r="U932" s="7"/>
      <c r="V932" s="7"/>
      <c r="W932" s="7"/>
      <c r="X932" s="7"/>
      <c r="Y932" s="7"/>
      <c r="Z932" s="7"/>
      <c r="AA932" s="7"/>
    </row>
    <row r="933" spans="1:27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>
        <v>31931</v>
      </c>
      <c r="P933" s="1">
        <f t="shared" si="46"/>
        <v>0.3431728184223175</v>
      </c>
      <c r="Q933" s="25">
        <f t="shared" si="47"/>
        <v>0.30660991251352243</v>
      </c>
      <c r="R933" s="24">
        <f t="shared" si="48"/>
        <v>-5.7875456427325389E-2</v>
      </c>
      <c r="S933" s="20"/>
      <c r="T933" s="7"/>
      <c r="U933" s="7"/>
      <c r="V933" s="7"/>
      <c r="W933" s="7"/>
      <c r="X933" s="7"/>
      <c r="Y933" s="7"/>
      <c r="Z933" s="7"/>
      <c r="AA933" s="7"/>
    </row>
    <row r="934" spans="1:27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>
        <v>31932</v>
      </c>
      <c r="P934" s="1">
        <f t="shared" si="46"/>
        <v>0.34347966313362122</v>
      </c>
      <c r="Q934" s="25">
        <f t="shared" si="47"/>
        <v>0.30655185037176125</v>
      </c>
      <c r="R934" s="24">
        <f t="shared" si="48"/>
        <v>-5.8248667222926542E-2</v>
      </c>
      <c r="S934" s="20"/>
      <c r="T934" s="7"/>
      <c r="U934" s="7"/>
      <c r="V934" s="7"/>
      <c r="W934" s="7"/>
      <c r="X934" s="7"/>
      <c r="Y934" s="7"/>
      <c r="Z934" s="7"/>
      <c r="AA934" s="7"/>
    </row>
    <row r="935" spans="1:27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>
        <v>31933</v>
      </c>
      <c r="P935" s="1">
        <f t="shared" si="46"/>
        <v>0.34378650784492493</v>
      </c>
      <c r="Q935" s="25">
        <f t="shared" si="47"/>
        <v>0.30649343898403458</v>
      </c>
      <c r="R935" s="24">
        <f t="shared" si="48"/>
        <v>-5.8618041087754591E-2</v>
      </c>
      <c r="S935" s="20"/>
      <c r="T935" s="7"/>
      <c r="U935" s="7"/>
      <c r="V935" s="7"/>
      <c r="W935" s="7"/>
      <c r="X935" s="7"/>
      <c r="Y935" s="7"/>
      <c r="Z935" s="7"/>
      <c r="AA935" s="7"/>
    </row>
    <row r="936" spans="1:27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>
        <v>31934</v>
      </c>
      <c r="P936" s="1">
        <f t="shared" si="46"/>
        <v>0.34409251809120178</v>
      </c>
      <c r="Q936" s="25">
        <f t="shared" si="47"/>
        <v>0.30643462014268152</v>
      </c>
      <c r="R936" s="24">
        <f t="shared" si="48"/>
        <v>-5.8983576245452696E-2</v>
      </c>
      <c r="S936" s="20"/>
      <c r="T936" s="7"/>
      <c r="U936" s="7"/>
      <c r="V936" s="7"/>
      <c r="W936" s="7"/>
      <c r="X936" s="7"/>
      <c r="Y936" s="7"/>
      <c r="Z936" s="7"/>
      <c r="AA936" s="7"/>
    </row>
    <row r="937" spans="1:27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>
        <v>31935</v>
      </c>
      <c r="P937" s="1">
        <f t="shared" si="46"/>
        <v>0.34439936280250549</v>
      </c>
      <c r="Q937" s="25">
        <f t="shared" si="47"/>
        <v>0.30637545205536298</v>
      </c>
      <c r="R937" s="24">
        <f t="shared" si="48"/>
        <v>-5.9345294012302929E-2</v>
      </c>
      <c r="S937" s="20"/>
      <c r="T937" s="7"/>
      <c r="U937" s="7"/>
      <c r="V937" s="7"/>
      <c r="W937" s="7"/>
      <c r="X937" s="7"/>
      <c r="Y937" s="7"/>
      <c r="Z937" s="7"/>
      <c r="AA937" s="7"/>
    </row>
    <row r="938" spans="1:27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>
        <v>31936</v>
      </c>
      <c r="P938" s="1">
        <f t="shared" si="46"/>
        <v>0.3447052538394928</v>
      </c>
      <c r="Q938" s="25">
        <f t="shared" si="47"/>
        <v>0.30631596382590942</v>
      </c>
      <c r="R938" s="24">
        <f t="shared" si="48"/>
        <v>-5.970319971737581E-2</v>
      </c>
      <c r="S938" s="20"/>
      <c r="T938" s="7"/>
      <c r="U938" s="7"/>
      <c r="V938" s="7"/>
      <c r="W938" s="7"/>
      <c r="X938" s="7"/>
      <c r="Y938" s="7"/>
      <c r="Z938" s="7"/>
      <c r="AA938" s="7"/>
    </row>
    <row r="939" spans="1:27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>
        <v>31937</v>
      </c>
      <c r="P939" s="1">
        <f t="shared" si="46"/>
        <v>0.34501174092292786</v>
      </c>
      <c r="Q939" s="25">
        <f t="shared" si="47"/>
        <v>0.30625603903899901</v>
      </c>
      <c r="R939" s="24">
        <f t="shared" si="48"/>
        <v>-6.0057298689741856E-2</v>
      </c>
      <c r="S939" s="20"/>
      <c r="T939" s="7"/>
      <c r="U939" s="7"/>
      <c r="V939" s="7"/>
      <c r="W939" s="7"/>
      <c r="X939" s="7"/>
      <c r="Y939" s="7"/>
      <c r="Z939" s="7"/>
      <c r="AA939" s="7"/>
    </row>
    <row r="940" spans="1:27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>
        <v>31938</v>
      </c>
      <c r="P940" s="1">
        <f t="shared" si="46"/>
        <v>0.34531858563423157</v>
      </c>
      <c r="Q940" s="25">
        <f t="shared" si="47"/>
        <v>0.30619585231761448</v>
      </c>
      <c r="R940" s="24">
        <f t="shared" si="48"/>
        <v>-6.0407610469326301E-2</v>
      </c>
      <c r="S940" s="20"/>
      <c r="T940" s="7"/>
      <c r="U940" s="7"/>
      <c r="V940" s="7"/>
      <c r="W940" s="7"/>
      <c r="X940" s="7"/>
      <c r="Y940" s="7"/>
      <c r="Z940" s="7"/>
      <c r="AA940" s="7"/>
    </row>
    <row r="941" spans="1:27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>
        <v>31939</v>
      </c>
      <c r="P941" s="1">
        <f t="shared" si="46"/>
        <v>0.34562376141548157</v>
      </c>
      <c r="Q941" s="25">
        <f t="shared" si="47"/>
        <v>0.30613525814260356</v>
      </c>
      <c r="R941" s="24">
        <f t="shared" si="48"/>
        <v>-6.0754133279772304E-2</v>
      </c>
      <c r="S941" s="20"/>
      <c r="T941" s="7"/>
      <c r="U941" s="7"/>
      <c r="V941" s="7"/>
      <c r="W941" s="7"/>
      <c r="X941" s="7"/>
      <c r="Y941" s="7"/>
      <c r="Z941" s="7"/>
      <c r="AA941" s="7"/>
    </row>
    <row r="942" spans="1:27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>
        <v>31940</v>
      </c>
      <c r="P942" s="1">
        <f t="shared" si="46"/>
        <v>0.34593001008033752</v>
      </c>
      <c r="Q942" s="25">
        <f t="shared" si="47"/>
        <v>0.30607437292928807</v>
      </c>
      <c r="R942" s="24">
        <f t="shared" si="48"/>
        <v>-6.109688843736194E-2</v>
      </c>
      <c r="S942" s="20"/>
      <c r="T942" s="7"/>
      <c r="U942" s="7"/>
      <c r="V942" s="7"/>
      <c r="W942" s="7"/>
      <c r="X942" s="7"/>
      <c r="Y942" s="7"/>
      <c r="Z942" s="7"/>
      <c r="AA942" s="7"/>
    </row>
    <row r="943" spans="1:27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>
        <v>31941</v>
      </c>
      <c r="P943" s="1">
        <f t="shared" si="46"/>
        <v>0.34623613953590393</v>
      </c>
      <c r="Q943" s="25">
        <f t="shared" si="47"/>
        <v>0.30601308026234619</v>
      </c>
      <c r="R943" s="24">
        <f t="shared" si="48"/>
        <v>-6.1435877718452048E-2</v>
      </c>
      <c r="S943" s="20"/>
      <c r="T943" s="7"/>
      <c r="U943" s="7"/>
      <c r="V943" s="7"/>
      <c r="W943" s="7"/>
      <c r="X943" s="7"/>
      <c r="Y943" s="7"/>
      <c r="Z943" s="7"/>
      <c r="AA943" s="7"/>
    </row>
    <row r="944" spans="1:27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>
        <v>31942</v>
      </c>
      <c r="P944" s="1">
        <f t="shared" si="46"/>
        <v>0.34654203057289124</v>
      </c>
      <c r="Q944" s="25">
        <f t="shared" si="47"/>
        <v>0.30595146745326929</v>
      </c>
      <c r="R944" s="24">
        <f t="shared" si="48"/>
        <v>-6.177112066296786E-2</v>
      </c>
      <c r="S944" s="20"/>
      <c r="T944" s="7"/>
      <c r="U944" s="7"/>
      <c r="V944" s="7"/>
      <c r="W944" s="7"/>
      <c r="X944" s="7"/>
      <c r="Y944" s="7"/>
      <c r="Z944" s="7"/>
      <c r="AA944" s="7"/>
    </row>
    <row r="945" spans="1:27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>
        <v>31943</v>
      </c>
      <c r="P945" s="1">
        <f t="shared" si="46"/>
        <v>0.34684804081916809</v>
      </c>
      <c r="Q945" s="25">
        <f t="shared" si="47"/>
        <v>0.30588953450205736</v>
      </c>
      <c r="R945" s="24">
        <f t="shared" si="48"/>
        <v>-6.2102613718195698E-2</v>
      </c>
      <c r="S945" s="20"/>
      <c r="T945" s="7"/>
      <c r="U945" s="7"/>
      <c r="V945" s="7"/>
      <c r="W945" s="7"/>
      <c r="X945" s="7"/>
      <c r="Y945" s="7"/>
      <c r="Z945" s="7"/>
      <c r="AA945" s="7"/>
    </row>
    <row r="946" spans="1:27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>
        <v>31944</v>
      </c>
      <c r="P946" s="1">
        <f t="shared" si="46"/>
        <v>0.3471541702747345</v>
      </c>
      <c r="Q946" s="25">
        <f t="shared" si="47"/>
        <v>0.30582722320104949</v>
      </c>
      <c r="R946" s="24">
        <f t="shared" si="48"/>
        <v>-6.2430379976774475E-2</v>
      </c>
      <c r="S946" s="20"/>
      <c r="T946" s="7"/>
      <c r="U946" s="7"/>
      <c r="V946" s="7"/>
      <c r="W946" s="7"/>
      <c r="X946" s="7"/>
      <c r="Y946" s="7"/>
      <c r="Z946" s="7"/>
      <c r="AA946" s="7"/>
    </row>
    <row r="947" spans="1:27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>
        <v>31945</v>
      </c>
      <c r="P947" s="1">
        <f t="shared" si="46"/>
        <v>0.3474598228931427</v>
      </c>
      <c r="Q947" s="25">
        <f t="shared" si="47"/>
        <v>0.30576464996556751</v>
      </c>
      <c r="R947" s="24">
        <f t="shared" si="48"/>
        <v>-6.2754424767774708E-2</v>
      </c>
      <c r="S947" s="20"/>
      <c r="T947" s="7"/>
      <c r="U947" s="7"/>
      <c r="V947" s="7"/>
      <c r="W947" s="7"/>
      <c r="X947" s="7"/>
      <c r="Y947" s="7"/>
      <c r="Z947" s="7"/>
      <c r="AA947" s="7"/>
    </row>
    <row r="948" spans="1:27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>
        <v>31946</v>
      </c>
      <c r="P948" s="1">
        <f t="shared" si="46"/>
        <v>0.34776535630226135</v>
      </c>
      <c r="Q948" s="25">
        <f t="shared" si="47"/>
        <v>0.30570172748412006</v>
      </c>
      <c r="R948" s="24">
        <f t="shared" si="48"/>
        <v>-6.3074764078407952E-2</v>
      </c>
      <c r="S948" s="20"/>
      <c r="T948" s="7"/>
      <c r="U948" s="7"/>
      <c r="V948" s="7"/>
      <c r="W948" s="7"/>
      <c r="X948" s="7"/>
      <c r="Y948" s="7"/>
      <c r="Z948" s="7"/>
      <c r="AA948" s="7"/>
    </row>
    <row r="949" spans="1:27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>
        <v>31947</v>
      </c>
      <c r="P949" s="1">
        <f t="shared" si="46"/>
        <v>0.34807172417640686</v>
      </c>
      <c r="Q949" s="25">
        <f t="shared" si="47"/>
        <v>0.30563851396436803</v>
      </c>
      <c r="R949" s="24">
        <f t="shared" si="48"/>
        <v>-6.3391399685031047E-2</v>
      </c>
      <c r="S949" s="20"/>
      <c r="T949" s="7"/>
      <c r="U949" s="7"/>
      <c r="V949" s="7"/>
      <c r="W949" s="7"/>
      <c r="X949" s="7"/>
      <c r="Y949" s="7"/>
      <c r="Z949" s="7"/>
      <c r="AA949" s="7"/>
    </row>
    <row r="950" spans="1:27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>
        <v>31948</v>
      </c>
      <c r="P950" s="1">
        <f t="shared" si="46"/>
        <v>0.34837713837623596</v>
      </c>
      <c r="Q950" s="25">
        <f t="shared" si="47"/>
        <v>0.30557495119865052</v>
      </c>
      <c r="R950" s="24">
        <f t="shared" si="48"/>
        <v>-6.3704351127569225E-2</v>
      </c>
      <c r="S950" s="20"/>
      <c r="T950" s="7"/>
      <c r="U950" s="7"/>
      <c r="V950" s="7"/>
      <c r="W950" s="7"/>
      <c r="X950" s="7"/>
      <c r="Y950" s="7"/>
      <c r="Z950" s="7"/>
      <c r="AA950" s="7"/>
    </row>
    <row r="951" spans="1:27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>
        <v>31949</v>
      </c>
      <c r="P951" s="1">
        <f t="shared" si="46"/>
        <v>0.34868291020393372</v>
      </c>
      <c r="Q951" s="25">
        <f t="shared" si="47"/>
        <v>0.30551109739462845</v>
      </c>
      <c r="R951" s="24">
        <f t="shared" si="48"/>
        <v>-6.4013629064163524E-2</v>
      </c>
      <c r="S951" s="20"/>
      <c r="T951" s="7"/>
      <c r="U951" s="7"/>
      <c r="V951" s="7"/>
      <c r="W951" s="7"/>
      <c r="X951" s="7"/>
      <c r="Y951" s="7"/>
      <c r="Z951" s="7"/>
      <c r="AA951" s="7"/>
    </row>
    <row r="952" spans="1:27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>
        <v>31950</v>
      </c>
      <c r="P952" s="1">
        <f t="shared" si="46"/>
        <v>0.34898784756660461</v>
      </c>
      <c r="Q952" s="25">
        <f t="shared" si="47"/>
        <v>0.30544692344847135</v>
      </c>
      <c r="R952" s="24">
        <f t="shared" si="48"/>
        <v>-6.4319235271170783E-2</v>
      </c>
      <c r="S952" s="20"/>
      <c r="T952" s="7"/>
      <c r="U952" s="7"/>
      <c r="V952" s="7"/>
      <c r="W952" s="7"/>
      <c r="X952" s="7"/>
      <c r="Y952" s="7"/>
      <c r="Z952" s="7"/>
      <c r="AA952" s="7"/>
    </row>
    <row r="953" spans="1:27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>
        <v>31951</v>
      </c>
      <c r="P953" s="1">
        <f t="shared" si="46"/>
        <v>0.34929350018501282</v>
      </c>
      <c r="Q953" s="25">
        <f t="shared" si="47"/>
        <v>0.30538254577550106</v>
      </c>
      <c r="R953" s="24">
        <f t="shared" si="48"/>
        <v>-6.4621189288516234E-2</v>
      </c>
      <c r="S953" s="20"/>
      <c r="T953" s="7"/>
      <c r="U953" s="7"/>
      <c r="V953" s="7"/>
      <c r="W953" s="7"/>
      <c r="X953" s="7"/>
      <c r="Y953" s="7"/>
      <c r="Z953" s="7"/>
      <c r="AA953" s="7"/>
    </row>
    <row r="954" spans="1:27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>
        <v>31952</v>
      </c>
      <c r="P954" s="1">
        <f t="shared" si="46"/>
        <v>0.34959831833839417</v>
      </c>
      <c r="Q954" s="25">
        <f t="shared" si="47"/>
        <v>0.30531773154507391</v>
      </c>
      <c r="R954" s="24">
        <f t="shared" si="48"/>
        <v>-6.4919507103411433E-2</v>
      </c>
      <c r="S954" s="20"/>
      <c r="T954" s="7"/>
      <c r="U954" s="7"/>
      <c r="V954" s="7"/>
      <c r="W954" s="7"/>
      <c r="X954" s="7"/>
      <c r="Y954" s="7"/>
      <c r="Z954" s="7"/>
      <c r="AA954" s="7"/>
    </row>
    <row r="955" spans="1:27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>
        <v>31953</v>
      </c>
      <c r="P955" s="1">
        <f t="shared" si="46"/>
        <v>0.34990397095680237</v>
      </c>
      <c r="Q955" s="25">
        <f t="shared" si="47"/>
        <v>0.3052526262763422</v>
      </c>
      <c r="R955" s="24">
        <f t="shared" si="48"/>
        <v>-6.521419049221322E-2</v>
      </c>
      <c r="S955" s="20"/>
      <c r="T955" s="7"/>
      <c r="U955" s="7"/>
      <c r="V955" s="7"/>
      <c r="W955" s="7"/>
      <c r="X955" s="7"/>
      <c r="Y955" s="7"/>
      <c r="Z955" s="7"/>
      <c r="AA955" s="7"/>
    </row>
    <row r="956" spans="1:27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>
        <v>31954</v>
      </c>
      <c r="P956" s="1">
        <f t="shared" si="46"/>
        <v>0.35020866990089417</v>
      </c>
      <c r="Q956" s="25">
        <f t="shared" si="47"/>
        <v>0.30518722996930592</v>
      </c>
      <c r="R956" s="24">
        <f t="shared" si="48"/>
        <v>-6.550525011306263E-2</v>
      </c>
      <c r="S956" s="20"/>
      <c r="T956" s="7"/>
      <c r="U956" s="7"/>
      <c r="V956" s="7"/>
      <c r="W956" s="7"/>
      <c r="X956" s="7"/>
      <c r="Y956" s="7"/>
      <c r="Z956" s="7"/>
      <c r="AA956" s="7"/>
    </row>
    <row r="957" spans="1:27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>
        <v>31955</v>
      </c>
      <c r="P957" s="1">
        <f t="shared" si="46"/>
        <v>0.35051444172859192</v>
      </c>
      <c r="Q957" s="25">
        <f t="shared" si="47"/>
        <v>0.30512160083162598</v>
      </c>
      <c r="R957" s="24">
        <f t="shared" si="48"/>
        <v>-6.5792707282241736E-2</v>
      </c>
      <c r="S957" s="20"/>
      <c r="T957" s="7"/>
      <c r="U957" s="7"/>
      <c r="V957" s="7"/>
      <c r="W957" s="7"/>
      <c r="X957" s="7"/>
      <c r="Y957" s="7"/>
      <c r="Z957" s="7"/>
      <c r="AA957" s="7"/>
    </row>
    <row r="958" spans="1:27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>
        <v>31956</v>
      </c>
      <c r="P958" s="1">
        <f t="shared" si="46"/>
        <v>0.35081937909126282</v>
      </c>
      <c r="Q958" s="25">
        <f t="shared" si="47"/>
        <v>0.30505573886330239</v>
      </c>
      <c r="R958" s="24">
        <f t="shared" si="48"/>
        <v>-6.6076563776107378E-2</v>
      </c>
      <c r="S958" s="20"/>
      <c r="T958" s="7"/>
      <c r="U958" s="7"/>
      <c r="V958" s="7"/>
      <c r="W958" s="7"/>
      <c r="X958" s="7"/>
      <c r="Y958" s="7"/>
      <c r="Z958" s="7"/>
      <c r="AA958" s="7"/>
    </row>
    <row r="959" spans="1:27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>
        <v>31957</v>
      </c>
      <c r="P959" s="1">
        <f t="shared" si="46"/>
        <v>0.35112455487251282</v>
      </c>
      <c r="Q959" s="25">
        <f t="shared" si="47"/>
        <v>0.30498946944135241</v>
      </c>
      <c r="R959" s="24">
        <f t="shared" si="48"/>
        <v>-6.6356840910941628E-2</v>
      </c>
      <c r="S959" s="20"/>
      <c r="T959" s="7"/>
      <c r="U959" s="7"/>
      <c r="V959" s="7"/>
      <c r="W959" s="7"/>
      <c r="X959" s="7"/>
      <c r="Y959" s="7"/>
      <c r="Z959" s="7"/>
      <c r="AA959" s="7"/>
    </row>
    <row r="960" spans="1:27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>
        <v>31958</v>
      </c>
      <c r="P960" s="1">
        <f t="shared" si="46"/>
        <v>0.35142913460731506</v>
      </c>
      <c r="Q960" s="25">
        <f t="shared" si="47"/>
        <v>0.30492299629258923</v>
      </c>
      <c r="R960" s="24">
        <f t="shared" si="48"/>
        <v>-6.6633547568528684E-2</v>
      </c>
      <c r="S960" s="20"/>
      <c r="T960" s="7"/>
      <c r="U960" s="7"/>
      <c r="V960" s="7"/>
      <c r="W960" s="7"/>
      <c r="X960" s="7"/>
      <c r="Y960" s="7"/>
      <c r="Z960" s="7"/>
      <c r="AA960" s="7"/>
    </row>
    <row r="961" spans="1:27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>
        <v>31959</v>
      </c>
      <c r="P961" s="1">
        <f t="shared" si="46"/>
        <v>0.35173383355140686</v>
      </c>
      <c r="Q961" s="25">
        <f t="shared" si="47"/>
        <v>0.30485620300169103</v>
      </c>
      <c r="R961" s="24">
        <f t="shared" si="48"/>
        <v>-6.6906689077939063E-2</v>
      </c>
      <c r="S961" s="20"/>
      <c r="T961" s="7"/>
      <c r="U961" s="7"/>
      <c r="V961" s="7"/>
      <c r="W961" s="7"/>
      <c r="X961" s="7"/>
      <c r="Y961" s="7"/>
      <c r="Z961" s="7"/>
      <c r="AA961" s="7"/>
    </row>
    <row r="962" spans="1:27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>
        <v>31960</v>
      </c>
      <c r="P962" s="1">
        <f t="shared" si="46"/>
        <v>0.35203924775123596</v>
      </c>
      <c r="Q962" s="25">
        <f t="shared" si="47"/>
        <v>0.30478920598397963</v>
      </c>
      <c r="R962" s="24">
        <f t="shared" si="48"/>
        <v>-6.7176288531811679E-2</v>
      </c>
      <c r="S962" s="20"/>
      <c r="T962" s="7"/>
      <c r="U962" s="7"/>
      <c r="V962" s="7"/>
      <c r="W962" s="7"/>
      <c r="X962" s="7"/>
      <c r="Y962" s="7"/>
      <c r="Z962" s="7"/>
      <c r="AA962" s="7"/>
    </row>
    <row r="963" spans="1:27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>
        <v>31961</v>
      </c>
      <c r="P963" s="1">
        <f t="shared" si="46"/>
        <v>0.35234382748603821</v>
      </c>
      <c r="Q963" s="25">
        <f t="shared" si="47"/>
        <v>0.3047218888241332</v>
      </c>
      <c r="R963" s="24">
        <f t="shared" si="48"/>
        <v>-6.744234593014653E-2</v>
      </c>
      <c r="S963" s="20"/>
      <c r="T963" s="7"/>
      <c r="U963" s="7"/>
      <c r="V963" s="7"/>
      <c r="W963" s="7"/>
      <c r="X963" s="7"/>
      <c r="Y963" s="7"/>
      <c r="Z963" s="7"/>
      <c r="AA963" s="7"/>
    </row>
    <row r="964" spans="1:27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>
        <v>31962</v>
      </c>
      <c r="P964" s="1">
        <f t="shared" si="46"/>
        <v>0.3526482880115509</v>
      </c>
      <c r="Q964" s="25">
        <f t="shared" si="47"/>
        <v>0.30465425152215175</v>
      </c>
      <c r="R964" s="24">
        <f t="shared" si="48"/>
        <v>-6.7704887918296208E-2</v>
      </c>
      <c r="S964" s="20"/>
      <c r="T964" s="7"/>
      <c r="U964" s="7"/>
      <c r="V964" s="7"/>
      <c r="W964" s="7"/>
      <c r="X964" s="7"/>
      <c r="Y964" s="7"/>
      <c r="Z964" s="7"/>
      <c r="AA964" s="7"/>
    </row>
    <row r="965" spans="1:27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>
        <v>31963</v>
      </c>
      <c r="P965" s="1">
        <f t="shared" si="46"/>
        <v>0.3529527485370636</v>
      </c>
      <c r="Q965" s="25">
        <f t="shared" si="47"/>
        <v>0.30458646870101802</v>
      </c>
      <c r="R965" s="24">
        <f t="shared" si="48"/>
        <v>-6.7963914496260713E-2</v>
      </c>
      <c r="S965" s="20"/>
      <c r="T965" s="7"/>
      <c r="U965" s="7"/>
      <c r="V965" s="7"/>
      <c r="W965" s="7"/>
      <c r="X965" s="7"/>
      <c r="Y965" s="7"/>
      <c r="Z965" s="7"/>
      <c r="AA965" s="7"/>
    </row>
    <row r="966" spans="1:27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>
        <v>31964</v>
      </c>
      <c r="P966" s="1">
        <f t="shared" si="46"/>
        <v>0.35325804352760315</v>
      </c>
      <c r="Q966" s="25">
        <f t="shared" si="47"/>
        <v>0.30451833663391881</v>
      </c>
      <c r="R966" s="24">
        <f t="shared" si="48"/>
        <v>-6.8219452309392636E-2</v>
      </c>
      <c r="S966" s="20"/>
      <c r="T966" s="7"/>
      <c r="U966" s="7"/>
      <c r="V966" s="7"/>
      <c r="W966" s="7"/>
      <c r="X966" s="7"/>
      <c r="Y966" s="7"/>
      <c r="Z966" s="7"/>
      <c r="AA966" s="7"/>
    </row>
    <row r="967" spans="1:27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>
        <v>31965</v>
      </c>
      <c r="P967" s="1">
        <f t="shared" si="46"/>
        <v>0.35356202721595764</v>
      </c>
      <c r="Q967" s="25">
        <f t="shared" si="47"/>
        <v>0.30445005904766731</v>
      </c>
      <c r="R967" s="24">
        <f t="shared" si="48"/>
        <v>-6.8471499581335138E-2</v>
      </c>
      <c r="S967" s="20"/>
      <c r="T967" s="7"/>
      <c r="U967" s="7"/>
      <c r="V967" s="7"/>
      <c r="W967" s="7"/>
      <c r="X967" s="7"/>
      <c r="Y967" s="7"/>
      <c r="Z967" s="7"/>
      <c r="AA967" s="7"/>
    </row>
    <row r="968" spans="1:27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>
        <v>31966</v>
      </c>
      <c r="P968" s="1">
        <f t="shared" si="46"/>
        <v>0.35386672616004944</v>
      </c>
      <c r="Q968" s="25">
        <f t="shared" si="47"/>
        <v>0.30438143221545033</v>
      </c>
      <c r="R968" s="24">
        <f t="shared" si="48"/>
        <v>-6.8720077628370291E-2</v>
      </c>
      <c r="S968" s="20"/>
      <c r="T968" s="7"/>
      <c r="U968" s="7"/>
      <c r="V968" s="7"/>
      <c r="W968" s="7"/>
      <c r="X968" s="7"/>
      <c r="Y968" s="7"/>
      <c r="Z968" s="7"/>
      <c r="AA968" s="7"/>
    </row>
    <row r="969" spans="1:27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>
        <v>31967</v>
      </c>
      <c r="P969" s="1">
        <f t="shared" si="46"/>
        <v>0.35417106747627258</v>
      </c>
      <c r="Q969" s="25">
        <f t="shared" si="47"/>
        <v>0.30431251434492879</v>
      </c>
      <c r="R969" s="24">
        <f t="shared" si="48"/>
        <v>-6.8965197108639131E-2</v>
      </c>
      <c r="S969" s="20"/>
      <c r="T969" s="7"/>
      <c r="U969" s="7"/>
      <c r="V969" s="7"/>
      <c r="W969" s="7"/>
      <c r="X969" s="7"/>
      <c r="Y969" s="7"/>
      <c r="Z969" s="7"/>
      <c r="AA969" s="7"/>
    </row>
    <row r="970" spans="1:27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>
        <v>31968</v>
      </c>
      <c r="P970" s="1">
        <f t="shared" ref="P970:P1033" si="49" xml:space="preserve"> -1.4681315616E-19*$O970^6 + 2.80493263066289E-14*$O970^5 - 2.23271907955907E-09*$O970^4 + 0.0000947783879077569*$O970^3 - 2.26293121558813*$O970^2 + 28813.4861268598*$O970 - 152852350.445896</f>
        <v>0.35447552800178528</v>
      </c>
      <c r="Q970" s="25">
        <f t="shared" ref="Q970:Q1033" si="50" xml:space="preserve"> (6*-1.4681315616E-19*$O970^5 + 5*2.80493263066289E-14*$O970^4 - 4*2.23271907955907E-09*$O970^3 + 3*0.0000947783879077569*$O970^2 - 2*2.26293121558813*$O970^1 + 28813.4861268598)*1000</f>
        <v>0.30424345095525496</v>
      </c>
      <c r="R970" s="24">
        <f t="shared" ref="R970:R1033" si="51" xml:space="preserve"> (5*6*-1.4681315616E-19*$O970^4 + 4*5*2.80493263066289E-14*$O970^3 - 3*4*2.23271907955907E-09*$O970^2 + 2*3*0.0000947783879077569*$O970^1 - 2*2.26293121558813)*1000*1000</f>
        <v>-6.9206872232996375E-2</v>
      </c>
      <c r="S970" s="20"/>
      <c r="T970" s="7"/>
      <c r="U970" s="7"/>
      <c r="V970" s="7"/>
      <c r="W970" s="7"/>
      <c r="X970" s="7"/>
      <c r="Y970" s="7"/>
      <c r="Z970" s="7"/>
      <c r="AA970" s="7"/>
    </row>
    <row r="971" spans="1:27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>
        <v>31969</v>
      </c>
      <c r="P971" s="1">
        <f t="shared" si="49"/>
        <v>0.35477951169013977</v>
      </c>
      <c r="Q971" s="25">
        <f t="shared" si="50"/>
        <v>0.30417421294259839</v>
      </c>
      <c r="R971" s="24">
        <f t="shared" si="51"/>
        <v>-6.9445110106869379E-2</v>
      </c>
      <c r="S971" s="20"/>
      <c r="T971" s="7"/>
      <c r="U971" s="7"/>
      <c r="V971" s="7"/>
      <c r="W971" s="7"/>
      <c r="X971" s="7"/>
      <c r="Y971" s="7"/>
      <c r="Z971" s="7"/>
      <c r="AA971" s="7"/>
    </row>
    <row r="972" spans="1:27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>
        <v>31970</v>
      </c>
      <c r="P972" s="1">
        <f t="shared" si="49"/>
        <v>0.35508337616920471</v>
      </c>
      <c r="Q972" s="25">
        <f t="shared" si="50"/>
        <v>0.30410462568397634</v>
      </c>
      <c r="R972" s="24">
        <f t="shared" si="51"/>
        <v>-6.9679935599253895E-2</v>
      </c>
      <c r="S972" s="20"/>
      <c r="T972" s="7"/>
      <c r="U972" s="7"/>
      <c r="V972" s="7"/>
      <c r="W972" s="7"/>
      <c r="X972" s="7"/>
      <c r="Y972" s="7"/>
      <c r="Z972" s="7"/>
      <c r="AA972" s="7"/>
    </row>
    <row r="973" spans="1:27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>
        <v>31971</v>
      </c>
      <c r="P973" s="1">
        <f t="shared" si="49"/>
        <v>0.35538759827613831</v>
      </c>
      <c r="Q973" s="25">
        <f t="shared" si="50"/>
        <v>0.30403477649088018</v>
      </c>
      <c r="R973" s="24">
        <f t="shared" si="51"/>
        <v>-6.9911350486506763E-2</v>
      </c>
      <c r="S973" s="20"/>
      <c r="T973" s="7"/>
      <c r="U973" s="7"/>
      <c r="V973" s="7"/>
      <c r="W973" s="7"/>
      <c r="X973" s="7"/>
      <c r="Y973" s="7"/>
      <c r="Z973" s="7"/>
      <c r="AA973" s="7"/>
    </row>
    <row r="974" spans="1:27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>
        <v>31972</v>
      </c>
      <c r="P974" s="1">
        <f t="shared" si="49"/>
        <v>0.35569110512733459</v>
      </c>
      <c r="Q974" s="25">
        <f t="shared" si="50"/>
        <v>0.30396472357097082</v>
      </c>
      <c r="R974" s="24">
        <f t="shared" si="51"/>
        <v>-7.0139376084910054E-2</v>
      </c>
      <c r="S974" s="20"/>
      <c r="T974" s="7"/>
      <c r="U974" s="7"/>
      <c r="V974" s="7"/>
      <c r="W974" s="7"/>
      <c r="X974" s="7"/>
      <c r="Y974" s="7"/>
      <c r="Z974" s="7"/>
      <c r="AA974" s="7"/>
    </row>
    <row r="975" spans="1:27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>
        <v>31973</v>
      </c>
      <c r="P975" s="1">
        <f t="shared" si="49"/>
        <v>0.35599568486213684</v>
      </c>
      <c r="Q975" s="25">
        <f t="shared" si="50"/>
        <v>0.30389449602807872</v>
      </c>
      <c r="R975" s="24">
        <f t="shared" si="51"/>
        <v>-7.0364026605318486E-2</v>
      </c>
      <c r="S975" s="20"/>
      <c r="T975" s="7"/>
      <c r="U975" s="7"/>
      <c r="V975" s="7"/>
      <c r="W975" s="7"/>
      <c r="X975" s="7"/>
      <c r="Y975" s="7"/>
      <c r="Z975" s="7"/>
      <c r="AA975" s="7"/>
    </row>
    <row r="976" spans="1:27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>
        <v>31974</v>
      </c>
      <c r="P976" s="1">
        <f t="shared" si="49"/>
        <v>0.35629966855049133</v>
      </c>
      <c r="Q976" s="25">
        <f t="shared" si="50"/>
        <v>0.30382409386220388</v>
      </c>
      <c r="R976" s="24">
        <f t="shared" si="51"/>
        <v>-7.0585307376802575E-2</v>
      </c>
      <c r="S976" s="20"/>
      <c r="T976" s="7"/>
      <c r="U976" s="7"/>
      <c r="V976" s="7"/>
      <c r="W976" s="7"/>
      <c r="X976" s="7"/>
      <c r="Y976" s="7"/>
      <c r="Z976" s="7"/>
      <c r="AA976" s="7"/>
    </row>
    <row r="977" spans="1:27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>
        <v>31975</v>
      </c>
      <c r="P977" s="1">
        <f t="shared" si="49"/>
        <v>0.35660341382026672</v>
      </c>
      <c r="Q977" s="25">
        <f t="shared" si="50"/>
        <v>0.30375328424270265</v>
      </c>
      <c r="R977" s="24">
        <f t="shared" si="51"/>
        <v>-7.0803243268358074E-2</v>
      </c>
      <c r="S977" s="20"/>
      <c r="T977" s="7"/>
      <c r="U977" s="7"/>
      <c r="V977" s="7"/>
      <c r="W977" s="7"/>
      <c r="X977" s="7"/>
      <c r="Y977" s="7"/>
      <c r="Z977" s="7"/>
      <c r="AA977" s="7"/>
    </row>
    <row r="978" spans="1:27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>
        <v>31976</v>
      </c>
      <c r="P978" s="1">
        <f t="shared" si="49"/>
        <v>0.35690656304359436</v>
      </c>
      <c r="Q978" s="25">
        <f t="shared" si="50"/>
        <v>0.30368247462320141</v>
      </c>
      <c r="R978" s="24">
        <f t="shared" si="51"/>
        <v>-7.1017834279984982E-2</v>
      </c>
      <c r="S978" s="20"/>
      <c r="T978" s="7"/>
      <c r="U978" s="7"/>
      <c r="V978" s="7"/>
      <c r="W978" s="7"/>
      <c r="X978" s="7"/>
      <c r="Y978" s="7"/>
      <c r="Z978" s="7"/>
      <c r="AA978" s="7"/>
    </row>
    <row r="979" spans="1:27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>
        <v>31977</v>
      </c>
      <c r="P979" s="1">
        <f t="shared" si="49"/>
        <v>0.35721078515052795</v>
      </c>
      <c r="Q979" s="25">
        <f t="shared" si="50"/>
        <v>0.3036113157577347</v>
      </c>
      <c r="R979" s="24">
        <f t="shared" si="51"/>
        <v>-7.1229114162463247E-2</v>
      </c>
      <c r="S979" s="20"/>
      <c r="T979" s="7"/>
      <c r="U979" s="7"/>
      <c r="V979" s="7"/>
      <c r="W979" s="7"/>
      <c r="X979" s="7"/>
      <c r="Y979" s="7"/>
      <c r="Z979" s="7"/>
      <c r="AA979" s="7"/>
    </row>
    <row r="980" spans="1:27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>
        <v>31978</v>
      </c>
      <c r="P980" s="1">
        <f t="shared" si="49"/>
        <v>0.35751429200172424</v>
      </c>
      <c r="Q980" s="25">
        <f t="shared" si="50"/>
        <v>0.3035400113731157</v>
      </c>
      <c r="R980" s="24">
        <f t="shared" si="51"/>
        <v>-7.1437077586722353E-2</v>
      </c>
      <c r="S980" s="20"/>
      <c r="T980" s="7"/>
      <c r="U980" s="7"/>
      <c r="V980" s="7"/>
      <c r="W980" s="7"/>
      <c r="X980" s="7"/>
      <c r="Y980" s="7"/>
      <c r="Z980" s="7"/>
      <c r="AA980" s="7"/>
    </row>
    <row r="981" spans="1:27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>
        <v>31979</v>
      </c>
      <c r="P981" s="1">
        <f t="shared" si="49"/>
        <v>0.35781720280647278</v>
      </c>
      <c r="Q981" s="25">
        <f t="shared" si="50"/>
        <v>0.30346838684636168</v>
      </c>
      <c r="R981" s="24">
        <f t="shared" si="51"/>
        <v>-7.1641742316330692E-2</v>
      </c>
      <c r="S981" s="20"/>
      <c r="T981" s="7"/>
      <c r="U981" s="7"/>
      <c r="V981" s="7"/>
      <c r="W981" s="7"/>
      <c r="X981" s="7"/>
      <c r="Y981" s="7"/>
      <c r="Z981" s="7"/>
      <c r="AA981" s="7"/>
    </row>
    <row r="982" spans="1:27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>
        <v>31980</v>
      </c>
      <c r="P982" s="1">
        <f t="shared" si="49"/>
        <v>0.35812166333198547</v>
      </c>
      <c r="Q982" s="25">
        <f t="shared" si="50"/>
        <v>0.30339670411194675</v>
      </c>
      <c r="R982" s="24">
        <f t="shared" si="51"/>
        <v>-7.1843133220284017E-2</v>
      </c>
      <c r="S982" s="20"/>
      <c r="T982" s="7"/>
      <c r="U982" s="7"/>
      <c r="V982" s="7"/>
      <c r="W982" s="7"/>
      <c r="X982" s="7"/>
      <c r="Y982" s="7"/>
      <c r="Z982" s="7"/>
      <c r="AA982" s="7"/>
    </row>
    <row r="983" spans="1:27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>
        <v>31981</v>
      </c>
      <c r="P983" s="1">
        <f t="shared" si="49"/>
        <v>0.35842469334602356</v>
      </c>
      <c r="Q983" s="25">
        <f t="shared" si="50"/>
        <v>0.30332473033922724</v>
      </c>
      <c r="R983" s="24">
        <f t="shared" si="51"/>
        <v>-7.2041262733080202E-2</v>
      </c>
      <c r="S983" s="20"/>
      <c r="T983" s="7"/>
      <c r="U983" s="7"/>
      <c r="V983" s="7"/>
      <c r="W983" s="7"/>
      <c r="X983" s="7"/>
      <c r="Y983" s="7"/>
      <c r="Z983" s="7"/>
      <c r="AA983" s="7"/>
    </row>
    <row r="984" spans="1:27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>
        <v>31982</v>
      </c>
      <c r="P984" s="1">
        <f t="shared" si="49"/>
        <v>0.3587278425693512</v>
      </c>
      <c r="Q984" s="25">
        <f t="shared" si="50"/>
        <v>0.30325264015118591</v>
      </c>
      <c r="R984" s="24">
        <f t="shared" si="51"/>
        <v>-7.2236137960146607E-2</v>
      </c>
      <c r="S984" s="20"/>
      <c r="T984" s="7"/>
      <c r="U984" s="7"/>
      <c r="V984" s="7"/>
      <c r="W984" s="7"/>
      <c r="X984" s="7"/>
      <c r="Y984" s="7"/>
      <c r="Z984" s="7"/>
      <c r="AA984" s="7"/>
    </row>
    <row r="985" spans="1:27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>
        <v>31983</v>
      </c>
      <c r="P985" s="1">
        <f t="shared" si="49"/>
        <v>0.35903039574623108</v>
      </c>
      <c r="Q985" s="25">
        <f t="shared" si="50"/>
        <v>0.30318031713250093</v>
      </c>
      <c r="R985" s="24">
        <f t="shared" si="51"/>
        <v>-7.2427780217765303E-2</v>
      </c>
      <c r="S985" s="20"/>
      <c r="T985" s="7"/>
      <c r="U985" s="7"/>
      <c r="V985" s="7"/>
      <c r="W985" s="7"/>
      <c r="X985" s="7"/>
      <c r="Y985" s="7"/>
      <c r="Z985" s="7"/>
      <c r="AA985" s="7"/>
    </row>
    <row r="986" spans="1:27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>
        <v>31984</v>
      </c>
      <c r="P986" s="1">
        <f t="shared" si="49"/>
        <v>0.35933437943458557</v>
      </c>
      <c r="Q986" s="25">
        <f t="shared" si="50"/>
        <v>0.30310776128317229</v>
      </c>
      <c r="R986" s="24">
        <f t="shared" si="51"/>
        <v>-7.2616194835006809E-2</v>
      </c>
      <c r="S986" s="20"/>
      <c r="T986" s="7"/>
      <c r="U986" s="7"/>
      <c r="V986" s="7"/>
      <c r="W986" s="7"/>
      <c r="X986" s="7"/>
      <c r="Y986" s="7"/>
      <c r="Z986" s="7"/>
      <c r="AA986" s="7"/>
    </row>
    <row r="987" spans="1:27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>
        <v>31985</v>
      </c>
      <c r="P987" s="1">
        <f t="shared" si="49"/>
        <v>0.359637051820755</v>
      </c>
      <c r="Q987" s="25">
        <f t="shared" si="50"/>
        <v>0.30303503081086092</v>
      </c>
      <c r="R987" s="24">
        <f t="shared" si="51"/>
        <v>-7.2801408457223715E-2</v>
      </c>
      <c r="S987" s="20"/>
      <c r="T987" s="7"/>
      <c r="U987" s="7"/>
      <c r="V987" s="7"/>
      <c r="W987" s="7"/>
      <c r="X987" s="7"/>
      <c r="Y987" s="7"/>
      <c r="Z987" s="7"/>
      <c r="AA987" s="7"/>
    </row>
    <row r="988" spans="1:27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>
        <v>31986</v>
      </c>
      <c r="P988" s="1">
        <f t="shared" si="49"/>
        <v>0.35993984341621399</v>
      </c>
      <c r="Q988" s="25">
        <f t="shared" si="50"/>
        <v>0.30296218392322771</v>
      </c>
      <c r="R988" s="24">
        <f t="shared" si="51"/>
        <v>-7.2983431742557059E-2</v>
      </c>
      <c r="S988" s="20"/>
      <c r="T988" s="7"/>
      <c r="U988" s="7"/>
      <c r="V988" s="7"/>
      <c r="W988" s="7"/>
      <c r="X988" s="7"/>
      <c r="Y988" s="7"/>
      <c r="Z988" s="7"/>
      <c r="AA988" s="7"/>
    </row>
    <row r="989" spans="1:27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>
        <v>31987</v>
      </c>
      <c r="P989" s="1">
        <f t="shared" si="49"/>
        <v>0.36024311184883118</v>
      </c>
      <c r="Q989" s="25">
        <f t="shared" si="50"/>
        <v>0.3028890751011204</v>
      </c>
      <c r="R989" s="24">
        <f t="shared" si="51"/>
        <v>-7.3162278901861555E-2</v>
      </c>
      <c r="S989" s="20"/>
      <c r="T989" s="7"/>
      <c r="U989" s="7"/>
      <c r="V989" s="7"/>
      <c r="W989" s="7"/>
      <c r="X989" s="7"/>
      <c r="Y989" s="7"/>
      <c r="Z989" s="7"/>
      <c r="AA989" s="7"/>
    </row>
    <row r="990" spans="1:27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>
        <v>31988</v>
      </c>
      <c r="P990" s="1">
        <f t="shared" si="49"/>
        <v>0.36054626107215881</v>
      </c>
      <c r="Q990" s="25">
        <f t="shared" si="50"/>
        <v>0.30281584986369126</v>
      </c>
      <c r="R990" s="24">
        <f t="shared" si="51"/>
        <v>-7.333796059327824E-2</v>
      </c>
      <c r="S990" s="20"/>
      <c r="T990" s="7"/>
      <c r="U990" s="7"/>
      <c r="V990" s="7"/>
      <c r="W990" s="7"/>
      <c r="X990" s="7"/>
      <c r="Y990" s="7"/>
      <c r="Z990" s="7"/>
      <c r="AA990" s="7"/>
    </row>
    <row r="991" spans="1:27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>
        <v>31989</v>
      </c>
      <c r="P991" s="1">
        <f t="shared" si="49"/>
        <v>0.3608488142490387</v>
      </c>
      <c r="Q991" s="25">
        <f t="shared" si="50"/>
        <v>0.30274242089944892</v>
      </c>
      <c r="R991" s="24">
        <f t="shared" si="51"/>
        <v>-7.3510498133089186E-2</v>
      </c>
      <c r="S991" s="20"/>
      <c r="T991" s="7"/>
      <c r="U991" s="7"/>
      <c r="V991" s="7"/>
      <c r="W991" s="7"/>
      <c r="X991" s="7"/>
      <c r="Y991" s="7"/>
      <c r="Z991" s="7"/>
      <c r="AA991" s="7"/>
    </row>
    <row r="992" spans="1:27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>
        <v>31990</v>
      </c>
      <c r="P992" s="1">
        <f t="shared" si="49"/>
        <v>0.36115136742591858</v>
      </c>
      <c r="Q992" s="25">
        <f t="shared" si="50"/>
        <v>0.30266881731222384</v>
      </c>
      <c r="R992" s="24">
        <f t="shared" si="51"/>
        <v>-7.3679909284862788E-2</v>
      </c>
      <c r="S992" s="20"/>
      <c r="T992" s="7"/>
      <c r="U992" s="7"/>
      <c r="V992" s="7"/>
      <c r="W992" s="7"/>
      <c r="X992" s="7"/>
      <c r="Y992" s="7"/>
      <c r="Z992" s="7"/>
      <c r="AA992" s="7"/>
    </row>
    <row r="993" spans="1:27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>
        <v>31991</v>
      </c>
      <c r="P993" s="1">
        <f t="shared" si="49"/>
        <v>0.36145380139350891</v>
      </c>
      <c r="Q993" s="25">
        <f t="shared" si="50"/>
        <v>0.30259503910201602</v>
      </c>
      <c r="R993" s="24">
        <f t="shared" si="51"/>
        <v>-7.3846201154026403E-2</v>
      </c>
      <c r="S993" s="20"/>
      <c r="T993" s="7"/>
      <c r="U993" s="7"/>
      <c r="V993" s="7"/>
      <c r="W993" s="7"/>
      <c r="X993" s="7"/>
      <c r="Y993" s="7"/>
      <c r="Z993" s="7"/>
      <c r="AA993" s="7"/>
    </row>
    <row r="994" spans="1:27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>
        <v>31992</v>
      </c>
      <c r="P994" s="1">
        <f t="shared" si="49"/>
        <v>0.361756831407547</v>
      </c>
      <c r="Q994" s="25">
        <f t="shared" si="50"/>
        <v>0.30252111537265591</v>
      </c>
      <c r="R994" s="24">
        <f t="shared" si="51"/>
        <v>-7.4009402162289462E-2</v>
      </c>
      <c r="S994" s="20"/>
      <c r="T994" s="7"/>
      <c r="U994" s="7"/>
      <c r="V994" s="7"/>
      <c r="W994" s="7"/>
      <c r="X994" s="7"/>
      <c r="Y994" s="7"/>
      <c r="Z994" s="7"/>
      <c r="AA994" s="7"/>
    </row>
    <row r="995" spans="1:27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>
        <v>31993</v>
      </c>
      <c r="P995" s="1">
        <f t="shared" si="49"/>
        <v>0.36205890774726868</v>
      </c>
      <c r="Q995" s="25">
        <f t="shared" si="50"/>
        <v>0.30244701702031307</v>
      </c>
      <c r="R995" s="24">
        <f t="shared" si="51"/>
        <v>-7.4169510533295124E-2</v>
      </c>
      <c r="S995" s="20"/>
      <c r="T995" s="7"/>
      <c r="U995" s="7"/>
      <c r="V995" s="7"/>
      <c r="W995" s="7"/>
      <c r="X995" s="7"/>
      <c r="Y995" s="7"/>
      <c r="Z995" s="7"/>
      <c r="AA995" s="7"/>
    </row>
    <row r="996" spans="1:27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>
        <v>31994</v>
      </c>
      <c r="P996" s="1">
        <f t="shared" si="49"/>
        <v>0.36236134171485901</v>
      </c>
      <c r="Q996" s="25">
        <f t="shared" si="50"/>
        <v>0.3023728022526484</v>
      </c>
      <c r="R996" s="24">
        <f t="shared" si="51"/>
        <v>-7.4326556465109661E-2</v>
      </c>
      <c r="S996" s="20"/>
      <c r="T996" s="7"/>
      <c r="U996" s="7"/>
      <c r="V996" s="7"/>
      <c r="W996" s="7"/>
      <c r="X996" s="7"/>
      <c r="Y996" s="7"/>
      <c r="Z996" s="7"/>
      <c r="AA996" s="7"/>
    </row>
    <row r="997" spans="1:27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>
        <v>31995</v>
      </c>
      <c r="P997" s="1">
        <f t="shared" si="49"/>
        <v>0.36266365647315979</v>
      </c>
      <c r="Q997" s="25">
        <f t="shared" si="50"/>
        <v>0.30229838375817053</v>
      </c>
      <c r="R997" s="24">
        <f t="shared" si="51"/>
        <v>-7.4480550615874108E-2</v>
      </c>
      <c r="S997" s="20"/>
      <c r="T997" s="7"/>
      <c r="U997" s="7"/>
      <c r="V997" s="7"/>
      <c r="W997" s="7"/>
      <c r="X997" s="7"/>
      <c r="Y997" s="7"/>
      <c r="Z997" s="7"/>
      <c r="AA997" s="7"/>
    </row>
    <row r="998" spans="1:27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>
        <v>31996</v>
      </c>
      <c r="P998" s="1">
        <f t="shared" si="49"/>
        <v>0.36296620965003967</v>
      </c>
      <c r="Q998" s="25">
        <f t="shared" si="50"/>
        <v>0.30222384884837084</v>
      </c>
      <c r="R998" s="24">
        <f t="shared" si="51"/>
        <v>-7.463151074915686E-2</v>
      </c>
      <c r="S998" s="20"/>
      <c r="T998" s="7"/>
      <c r="U998" s="7"/>
      <c r="V998" s="7"/>
      <c r="W998" s="7"/>
      <c r="X998" s="7"/>
      <c r="Y998" s="7"/>
      <c r="Z998" s="7"/>
      <c r="AA998" s="7"/>
    </row>
    <row r="999" spans="1:27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>
        <v>31997</v>
      </c>
      <c r="P999" s="1">
        <f t="shared" si="49"/>
        <v>0.3632681667804718</v>
      </c>
      <c r="Q999" s="25">
        <f t="shared" si="50"/>
        <v>0.30214916841941886</v>
      </c>
      <c r="R999" s="24">
        <f t="shared" si="51"/>
        <v>-7.4779445746742113E-2</v>
      </c>
      <c r="S999" s="20"/>
      <c r="T999" s="7"/>
      <c r="U999" s="7"/>
      <c r="V999" s="7"/>
      <c r="W999" s="7"/>
      <c r="X999" s="7"/>
      <c r="Y999" s="7"/>
      <c r="Z999" s="7"/>
      <c r="AA999" s="7"/>
    </row>
    <row r="1000" spans="1:27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>
        <v>31998</v>
      </c>
      <c r="P1000" s="1">
        <f t="shared" si="49"/>
        <v>0.36357048153877258</v>
      </c>
      <c r="Q1000" s="25">
        <f t="shared" si="50"/>
        <v>0.30207425515982322</v>
      </c>
      <c r="R1000" s="24">
        <f t="shared" si="51"/>
        <v>-7.4924385806696137E-2</v>
      </c>
      <c r="S1000" s="20"/>
      <c r="T1000" s="7"/>
      <c r="U1000" s="7"/>
      <c r="V1000" s="7"/>
      <c r="W1000" s="7"/>
      <c r="X1000" s="7"/>
      <c r="Y1000" s="7"/>
      <c r="Z1000" s="7"/>
      <c r="AA1000" s="7"/>
    </row>
    <row r="1001" spans="1:27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>
        <v>31999</v>
      </c>
      <c r="P1001" s="1">
        <f t="shared" si="49"/>
        <v>0.36387231945991516</v>
      </c>
      <c r="Q1001" s="25">
        <f t="shared" si="50"/>
        <v>0.30199922548490576</v>
      </c>
      <c r="R1001" s="24">
        <f t="shared" si="51"/>
        <v>-7.5066334481732611E-2</v>
      </c>
      <c r="S1001" s="20"/>
      <c r="T1001" s="7"/>
      <c r="U1001" s="7"/>
      <c r="V1001" s="7"/>
      <c r="W1001" s="7"/>
      <c r="X1001" s="7"/>
      <c r="Y1001" s="7"/>
      <c r="Z1001" s="7"/>
      <c r="AA1001" s="7"/>
    </row>
    <row r="1002" spans="1:27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>
        <v>32000</v>
      </c>
      <c r="P1002" s="1">
        <f t="shared" si="49"/>
        <v>0.36417451500892639</v>
      </c>
      <c r="Q1002" s="25">
        <f t="shared" si="50"/>
        <v>0.30192413760232739</v>
      </c>
      <c r="R1002" s="24">
        <f t="shared" si="51"/>
        <v>-7.5205316640847286E-2</v>
      </c>
      <c r="S1002" s="20"/>
      <c r="T1002" s="7"/>
      <c r="U1002" s="7"/>
      <c r="V1002" s="7"/>
      <c r="W1002" s="7"/>
      <c r="X1002" s="7"/>
      <c r="Y1002" s="7"/>
      <c r="Z1002" s="7"/>
      <c r="AA1002" s="7"/>
    </row>
    <row r="1003" spans="1:27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>
        <v>32001</v>
      </c>
      <c r="P1003" s="1">
        <f t="shared" si="49"/>
        <v>0.36447611451148987</v>
      </c>
      <c r="Q1003" s="25">
        <f t="shared" si="50"/>
        <v>0.30184890420059673</v>
      </c>
      <c r="R1003" s="24">
        <f t="shared" si="51"/>
        <v>-7.53413429421812E-2</v>
      </c>
      <c r="S1003" s="20"/>
      <c r="T1003" s="7"/>
      <c r="U1003" s="7"/>
      <c r="V1003" s="7"/>
      <c r="W1003" s="7"/>
      <c r="X1003" s="7"/>
      <c r="Y1003" s="7"/>
      <c r="Z1003" s="7"/>
      <c r="AA1003" s="7"/>
    </row>
    <row r="1004" spans="1:27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>
        <v>32002</v>
      </c>
      <c r="P1004" s="1">
        <f t="shared" si="49"/>
        <v>0.36477795243263245</v>
      </c>
      <c r="Q1004" s="25">
        <f t="shared" si="50"/>
        <v>0.30177343796822242</v>
      </c>
      <c r="R1004" s="24">
        <f t="shared" si="51"/>
        <v>-7.5474434702016424E-2</v>
      </c>
      <c r="S1004" s="20"/>
      <c r="T1004" s="7"/>
      <c r="U1004" s="7"/>
      <c r="V1004" s="7"/>
      <c r="W1004" s="7"/>
      <c r="X1004" s="7"/>
      <c r="Y1004" s="7"/>
      <c r="Z1004" s="7"/>
      <c r="AA1004" s="7"/>
    </row>
    <row r="1005" spans="1:27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>
        <v>32003</v>
      </c>
      <c r="P1005" s="1">
        <f t="shared" si="49"/>
        <v>0.36507990956306458</v>
      </c>
      <c r="Q1005" s="25">
        <f t="shared" si="50"/>
        <v>0.30169794263201766</v>
      </c>
      <c r="R1005" s="24">
        <f t="shared" si="51"/>
        <v>-7.5604607907564514E-2</v>
      </c>
      <c r="S1005" s="20"/>
      <c r="T1005" s="7"/>
      <c r="U1005" s="7"/>
      <c r="V1005" s="7"/>
      <c r="W1005" s="7"/>
      <c r="X1005" s="7"/>
      <c r="Y1005" s="7"/>
      <c r="Z1005" s="7"/>
      <c r="AA1005" s="7"/>
    </row>
    <row r="1006" spans="1:27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>
        <v>32004</v>
      </c>
      <c r="P1006" s="1">
        <f t="shared" si="49"/>
        <v>0.36538127064704895</v>
      </c>
      <c r="Q1006" s="25">
        <f t="shared" si="50"/>
        <v>0.30162221446516924</v>
      </c>
      <c r="R1006" s="24">
        <f t="shared" si="51"/>
        <v>-7.5731874993323345E-2</v>
      </c>
      <c r="S1006" s="20"/>
      <c r="T1006" s="7"/>
      <c r="U1006" s="7"/>
      <c r="V1006" s="7"/>
      <c r="W1006" s="7"/>
      <c r="X1006" s="7"/>
      <c r="Y1006" s="7"/>
      <c r="Z1006" s="7"/>
      <c r="AA1006" s="7"/>
    </row>
    <row r="1007" spans="1:27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>
        <v>32005</v>
      </c>
      <c r="P1007" s="1">
        <f t="shared" si="49"/>
        <v>0.36568310856819153</v>
      </c>
      <c r="Q1007" s="25">
        <f t="shared" si="50"/>
        <v>0.3015464280906599</v>
      </c>
      <c r="R1007" s="24">
        <f t="shared" si="51"/>
        <v>-7.5856259051931829E-2</v>
      </c>
      <c r="S1007" s="20"/>
      <c r="T1007" s="7"/>
      <c r="U1007" s="7"/>
      <c r="V1007" s="7"/>
      <c r="W1007" s="7"/>
      <c r="X1007" s="7"/>
      <c r="Y1007" s="7"/>
      <c r="Z1007" s="7"/>
      <c r="AA1007" s="7"/>
    </row>
    <row r="1008" spans="1:27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>
        <v>32006</v>
      </c>
      <c r="P1008" s="1">
        <f t="shared" si="49"/>
        <v>0.36598458886146545</v>
      </c>
      <c r="Q1008" s="25">
        <f t="shared" si="50"/>
        <v>0.30147049619699828</v>
      </c>
      <c r="R1008" s="24">
        <f t="shared" si="51"/>
        <v>-7.5977774294244682E-2</v>
      </c>
      <c r="S1008" s="20"/>
      <c r="T1008" s="7"/>
      <c r="U1008" s="7"/>
      <c r="V1008" s="7"/>
      <c r="W1008" s="7"/>
      <c r="X1008" s="7"/>
      <c r="Y1008" s="7"/>
      <c r="Z1008" s="7"/>
      <c r="AA1008" s="7"/>
    </row>
    <row r="1009" spans="1:27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>
        <v>32007</v>
      </c>
      <c r="P1009" s="1">
        <f t="shared" si="49"/>
        <v>0.36628618836402893</v>
      </c>
      <c r="Q1009" s="25">
        <f t="shared" si="50"/>
        <v>0.30139450609567575</v>
      </c>
      <c r="R1009" s="24">
        <f t="shared" si="51"/>
        <v>-7.6096438483830298E-2</v>
      </c>
      <c r="S1009" s="20"/>
      <c r="T1009" s="7"/>
      <c r="U1009" s="7"/>
      <c r="V1009" s="7"/>
      <c r="W1009" s="7"/>
      <c r="X1009" s="7"/>
      <c r="Y1009" s="7"/>
      <c r="Z1009" s="7"/>
      <c r="AA1009" s="7"/>
    </row>
    <row r="1010" spans="1:27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>
        <v>32008</v>
      </c>
      <c r="P1010" s="1">
        <f t="shared" si="49"/>
        <v>0.3665873110294342</v>
      </c>
      <c r="Q1010" s="25">
        <f t="shared" si="50"/>
        <v>0.30131834137137048</v>
      </c>
      <c r="R1010" s="24">
        <f t="shared" si="51"/>
        <v>-7.621226938425707E-2</v>
      </c>
      <c r="S1010" s="20"/>
      <c r="T1010" s="7"/>
      <c r="U1010" s="7"/>
      <c r="V1010" s="7"/>
      <c r="W1010" s="7"/>
      <c r="X1010" s="7"/>
      <c r="Y1010" s="7"/>
      <c r="Z1010" s="7"/>
      <c r="AA1010" s="7"/>
    </row>
    <row r="1011" spans="1:27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>
        <v>32009</v>
      </c>
      <c r="P1011" s="1">
        <f t="shared" si="49"/>
        <v>0.36688926815986633</v>
      </c>
      <c r="Q1011" s="25">
        <f t="shared" si="50"/>
        <v>0.30124208933557384</v>
      </c>
      <c r="R1011" s="24">
        <f t="shared" si="51"/>
        <v>-7.6325281206379714E-2</v>
      </c>
      <c r="S1011" s="20"/>
      <c r="T1011" s="7"/>
      <c r="U1011" s="7"/>
      <c r="V1011" s="7"/>
      <c r="W1011" s="7"/>
      <c r="X1011" s="7"/>
      <c r="Y1011" s="7"/>
      <c r="Z1011" s="7"/>
      <c r="AA1011" s="7"/>
    </row>
    <row r="1012" spans="1:27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>
        <v>32010</v>
      </c>
      <c r="P1012" s="1">
        <f t="shared" si="49"/>
        <v>0.3671899139881134</v>
      </c>
      <c r="Q1012" s="25">
        <f t="shared" si="50"/>
        <v>0.30116569178062491</v>
      </c>
      <c r="R1012" s="24">
        <f t="shared" si="51"/>
        <v>-7.6435493490123463E-2</v>
      </c>
      <c r="S1012" s="20"/>
      <c r="T1012" s="7"/>
      <c r="U1012" s="7"/>
      <c r="V1012" s="7"/>
      <c r="W1012" s="7"/>
      <c r="X1012" s="7"/>
      <c r="Y1012" s="7"/>
      <c r="Z1012" s="7"/>
      <c r="AA1012" s="7"/>
    </row>
    <row r="1013" spans="1:27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>
        <v>32011</v>
      </c>
      <c r="P1013" s="1">
        <f t="shared" si="49"/>
        <v>0.36749091744422913</v>
      </c>
      <c r="Q1013" s="25">
        <f t="shared" si="50"/>
        <v>0.30108917781035416</v>
      </c>
      <c r="R1013" s="24">
        <f t="shared" si="51"/>
        <v>-7.654292755177039E-2</v>
      </c>
      <c r="S1013" s="20"/>
      <c r="T1013" s="7"/>
      <c r="U1013" s="7"/>
      <c r="V1013" s="7"/>
      <c r="W1013" s="7"/>
      <c r="X1013" s="7"/>
      <c r="Y1013" s="7"/>
      <c r="Z1013" s="7"/>
      <c r="AA1013" s="7"/>
    </row>
    <row r="1014" spans="1:27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>
        <v>32012</v>
      </c>
      <c r="P1014" s="1">
        <f t="shared" si="49"/>
        <v>0.3677918016910553</v>
      </c>
      <c r="Q1014" s="25">
        <f t="shared" si="50"/>
        <v>0.30101260563242249</v>
      </c>
      <c r="R1014" s="24">
        <f t="shared" si="51"/>
        <v>-7.664759760217521E-2</v>
      </c>
      <c r="S1014" s="20"/>
      <c r="T1014" s="7"/>
      <c r="U1014" s="7"/>
      <c r="V1014" s="7"/>
      <c r="W1014" s="7"/>
      <c r="X1014" s="7"/>
      <c r="Y1014" s="7"/>
      <c r="Z1014" s="7"/>
      <c r="AA1014" s="7"/>
    </row>
    <row r="1015" spans="1:27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>
        <v>32013</v>
      </c>
      <c r="P1015" s="1">
        <f t="shared" si="49"/>
        <v>0.36809316277503967</v>
      </c>
      <c r="Q1015" s="25">
        <f t="shared" si="50"/>
        <v>0.300935917039169</v>
      </c>
      <c r="R1015" s="24">
        <f t="shared" si="51"/>
        <v>-7.6749521404906318E-2</v>
      </c>
      <c r="S1015" s="20"/>
      <c r="T1015" s="7"/>
      <c r="U1015" s="7"/>
      <c r="V1015" s="7"/>
      <c r="W1015" s="7"/>
      <c r="X1015" s="7"/>
      <c r="Y1015" s="7"/>
      <c r="Z1015" s="7"/>
      <c r="AA1015" s="7"/>
    </row>
    <row r="1016" spans="1:27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>
        <v>32014</v>
      </c>
      <c r="P1016" s="1">
        <f t="shared" si="49"/>
        <v>0.36839392781257629</v>
      </c>
      <c r="Q1016" s="25">
        <f t="shared" si="50"/>
        <v>0.30085914113442414</v>
      </c>
      <c r="R1016" s="24">
        <f t="shared" si="51"/>
        <v>-7.6848711394461588E-2</v>
      </c>
      <c r="S1016" s="20"/>
      <c r="T1016" s="7"/>
      <c r="U1016" s="7"/>
      <c r="V1016" s="7"/>
      <c r="W1016" s="7"/>
      <c r="X1016" s="7"/>
      <c r="Y1016" s="7"/>
      <c r="Z1016" s="7"/>
      <c r="AA1016" s="7"/>
    </row>
    <row r="1017" spans="1:27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>
        <v>32015</v>
      </c>
      <c r="P1017" s="1">
        <f t="shared" si="49"/>
        <v>0.36869457364082336</v>
      </c>
      <c r="Q1017" s="25">
        <f t="shared" si="50"/>
        <v>0.30078221971052699</v>
      </c>
      <c r="R1017" s="24">
        <f t="shared" si="51"/>
        <v>-7.6945197768907292E-2</v>
      </c>
      <c r="S1017" s="20"/>
      <c r="T1017" s="7"/>
      <c r="U1017" s="7"/>
      <c r="V1017" s="7"/>
      <c r="W1017" s="7"/>
      <c r="X1017" s="7"/>
      <c r="Y1017" s="7"/>
      <c r="Z1017" s="7"/>
      <c r="AA1017" s="7"/>
    </row>
    <row r="1018" spans="1:27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>
        <v>32016</v>
      </c>
      <c r="P1018" s="1">
        <f t="shared" si="49"/>
        <v>0.36899521946907043</v>
      </c>
      <c r="Q1018" s="25">
        <f t="shared" si="50"/>
        <v>0.30070524007896893</v>
      </c>
      <c r="R1018" s="24">
        <f t="shared" si="51"/>
        <v>-7.7038989410027625E-2</v>
      </c>
      <c r="S1018" s="20"/>
      <c r="T1018" s="7"/>
      <c r="U1018" s="7"/>
      <c r="V1018" s="7"/>
      <c r="W1018" s="7"/>
      <c r="X1018" s="7"/>
      <c r="Y1018" s="7"/>
      <c r="Z1018" s="7"/>
      <c r="AA1018" s="7"/>
    </row>
    <row r="1019" spans="1:27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>
        <v>32017</v>
      </c>
      <c r="P1019" s="1">
        <f t="shared" si="49"/>
        <v>0.36929622292518616</v>
      </c>
      <c r="Q1019" s="25">
        <f t="shared" si="50"/>
        <v>0.30062814403208904</v>
      </c>
      <c r="R1019" s="24">
        <f t="shared" si="51"/>
        <v>-7.71301094104615E-2</v>
      </c>
      <c r="S1019" s="20"/>
      <c r="T1019" s="7"/>
      <c r="U1019" s="7"/>
      <c r="V1019" s="7"/>
      <c r="W1019" s="7"/>
      <c r="X1019" s="7"/>
      <c r="Y1019" s="7"/>
      <c r="Z1019" s="7"/>
      <c r="AA1019" s="7"/>
    </row>
    <row r="1020" spans="1:27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>
        <v>32018</v>
      </c>
      <c r="P1020" s="1">
        <f t="shared" si="49"/>
        <v>0.36959663033485413</v>
      </c>
      <c r="Q1020" s="25">
        <f t="shared" si="50"/>
        <v>0.30055098977754824</v>
      </c>
      <c r="R1020" s="24">
        <f t="shared" si="51"/>
        <v>-7.721857908649099E-2</v>
      </c>
      <c r="S1020" s="20"/>
      <c r="T1020" s="7"/>
      <c r="U1020" s="7"/>
      <c r="V1020" s="7"/>
      <c r="W1020" s="7"/>
      <c r="X1020" s="7"/>
      <c r="Y1020" s="7"/>
      <c r="Z1020" s="7"/>
      <c r="AA1020" s="7"/>
    </row>
    <row r="1021" spans="1:27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>
        <v>32019</v>
      </c>
      <c r="P1021" s="1">
        <f t="shared" si="49"/>
        <v>0.3698977530002594</v>
      </c>
      <c r="Q1021" s="25">
        <f t="shared" si="50"/>
        <v>0.30047369000385515</v>
      </c>
      <c r="R1021" s="24">
        <f t="shared" si="51"/>
        <v>-7.7304405543543453E-2</v>
      </c>
      <c r="S1021" s="20"/>
      <c r="T1021" s="7"/>
      <c r="U1021" s="7"/>
      <c r="V1021" s="7"/>
      <c r="W1021" s="7"/>
      <c r="X1021" s="7"/>
      <c r="Y1021" s="7"/>
      <c r="Z1021" s="7"/>
      <c r="AA1021" s="7"/>
    </row>
    <row r="1022" spans="1:27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>
        <v>32020</v>
      </c>
      <c r="P1022" s="1">
        <f t="shared" si="49"/>
        <v>0.37019780278205872</v>
      </c>
      <c r="Q1022" s="25">
        <f t="shared" si="50"/>
        <v>0.30039636112633161</v>
      </c>
      <c r="R1022" s="24">
        <f t="shared" si="51"/>
        <v>-7.7387620756041997E-2</v>
      </c>
      <c r="S1022" s="20"/>
      <c r="T1022" s="7"/>
      <c r="U1022" s="7"/>
      <c r="V1022" s="7"/>
      <c r="W1022" s="7"/>
      <c r="X1022" s="7"/>
      <c r="Y1022" s="7"/>
      <c r="Z1022" s="7"/>
      <c r="AA1022" s="7"/>
    </row>
    <row r="1023" spans="1:27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>
        <v>32021</v>
      </c>
      <c r="P1023" s="1">
        <f t="shared" si="49"/>
        <v>0.37049797177314758</v>
      </c>
      <c r="Q1023" s="25">
        <f t="shared" si="50"/>
        <v>0.30031891583348624</v>
      </c>
      <c r="R1023" s="24">
        <f t="shared" si="51"/>
        <v>-7.746823182941398E-2</v>
      </c>
      <c r="S1023" s="20"/>
      <c r="T1023" s="7"/>
      <c r="U1023" s="7"/>
      <c r="V1023" s="7"/>
      <c r="W1023" s="7"/>
      <c r="X1023" s="7"/>
      <c r="Y1023" s="7"/>
      <c r="Z1023" s="7"/>
      <c r="AA1023" s="7"/>
    </row>
    <row r="1024" spans="1:27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>
        <v>32022</v>
      </c>
      <c r="P1024" s="1">
        <f t="shared" si="49"/>
        <v>0.37079861760139465</v>
      </c>
      <c r="Q1024" s="25">
        <f t="shared" si="50"/>
        <v>0.30024141233297996</v>
      </c>
      <c r="R1024" s="24">
        <f t="shared" si="51"/>
        <v>-7.7546265409011994E-2</v>
      </c>
      <c r="S1024" s="20"/>
      <c r="T1024" s="7"/>
      <c r="U1024" s="7"/>
      <c r="V1024" s="7"/>
      <c r="W1024" s="7"/>
      <c r="X1024" s="7"/>
      <c r="Y1024" s="7"/>
      <c r="Z1024" s="7"/>
      <c r="AA1024" s="7"/>
    </row>
    <row r="1025" spans="1:27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>
        <v>32023</v>
      </c>
      <c r="P1025" s="1">
        <f t="shared" si="49"/>
        <v>0.37109890580177307</v>
      </c>
      <c r="Q1025" s="25">
        <f t="shared" si="50"/>
        <v>0.30016382152098231</v>
      </c>
      <c r="R1025" s="24">
        <f t="shared" si="51"/>
        <v>-7.7621737482047592E-2</v>
      </c>
      <c r="S1025" s="20"/>
      <c r="T1025" s="7"/>
      <c r="U1025" s="7"/>
      <c r="V1025" s="7"/>
      <c r="W1025" s="7"/>
      <c r="X1025" s="7"/>
      <c r="Y1025" s="7"/>
      <c r="Z1025" s="7"/>
      <c r="AA1025" s="7"/>
    </row>
    <row r="1026" spans="1:27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>
        <v>32024</v>
      </c>
      <c r="P1026" s="1">
        <f t="shared" si="49"/>
        <v>0.37139859795570374</v>
      </c>
      <c r="Q1026" s="25">
        <f t="shared" si="50"/>
        <v>0.30008623070898466</v>
      </c>
      <c r="R1026" s="24">
        <f t="shared" si="51"/>
        <v>-7.769466581208917E-2</v>
      </c>
      <c r="S1026" s="20"/>
      <c r="T1026" s="7"/>
      <c r="U1026" s="7"/>
      <c r="V1026" s="7"/>
      <c r="W1026" s="7"/>
      <c r="X1026" s="7"/>
      <c r="Y1026" s="7"/>
      <c r="Z1026" s="7"/>
      <c r="AA1026" s="7"/>
    </row>
    <row r="1027" spans="1:27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>
        <v>32025</v>
      </c>
      <c r="P1027" s="1">
        <f t="shared" si="49"/>
        <v>0.3716985285282135</v>
      </c>
      <c r="Q1027" s="25">
        <f t="shared" si="50"/>
        <v>0.30000840706634335</v>
      </c>
      <c r="R1027" s="24">
        <f t="shared" si="51"/>
        <v>-7.7765071715418799E-2</v>
      </c>
      <c r="S1027" s="20"/>
      <c r="T1027" s="7"/>
      <c r="U1027" s="7"/>
      <c r="V1027" s="7"/>
      <c r="W1027" s="7"/>
      <c r="X1027" s="7"/>
      <c r="Y1027" s="7"/>
      <c r="Z1027" s="7"/>
      <c r="AA1027" s="7"/>
    </row>
    <row r="1028" spans="1:27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>
        <v>32026</v>
      </c>
      <c r="P1028" s="1">
        <f t="shared" si="49"/>
        <v>0.37199881672859192</v>
      </c>
      <c r="Q1028" s="25">
        <f t="shared" si="50"/>
        <v>0.2999306125275325</v>
      </c>
      <c r="R1028" s="24">
        <f t="shared" si="51"/>
        <v>-7.7832974731961713E-2</v>
      </c>
      <c r="S1028" s="20"/>
      <c r="T1028" s="7"/>
      <c r="U1028" s="7"/>
      <c r="V1028" s="7"/>
      <c r="W1028" s="7"/>
      <c r="X1028" s="7"/>
      <c r="Y1028" s="7"/>
      <c r="Z1028" s="7"/>
      <c r="AA1028" s="7"/>
    </row>
    <row r="1029" spans="1:27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>
        <v>32027</v>
      </c>
      <c r="P1029" s="1">
        <f t="shared" si="49"/>
        <v>0.37229827046394348</v>
      </c>
      <c r="Q1029" s="25">
        <f t="shared" si="50"/>
        <v>0.2998527888848912</v>
      </c>
      <c r="R1029" s="24">
        <f t="shared" si="51"/>
        <v>-7.7898392625286306E-2</v>
      </c>
      <c r="S1029" s="20"/>
      <c r="T1029" s="7"/>
      <c r="U1029" s="7"/>
      <c r="V1029" s="7"/>
      <c r="W1029" s="7"/>
      <c r="X1029" s="7"/>
      <c r="Y1029" s="7"/>
      <c r="Z1029" s="7"/>
      <c r="AA1029" s="7"/>
    </row>
    <row r="1030" spans="1:27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>
        <v>32028</v>
      </c>
      <c r="P1030" s="1">
        <f t="shared" si="49"/>
        <v>0.37259772419929504</v>
      </c>
      <c r="Q1030" s="25">
        <f t="shared" si="50"/>
        <v>0.29977487793075852</v>
      </c>
      <c r="R1030" s="24">
        <f t="shared" si="51"/>
        <v>-7.796134848803149E-2</v>
      </c>
      <c r="S1030" s="20"/>
      <c r="T1030" s="7"/>
      <c r="U1030" s="7"/>
      <c r="V1030" s="7"/>
      <c r="W1030" s="7"/>
      <c r="X1030" s="7"/>
      <c r="Y1030" s="7"/>
      <c r="Z1030" s="7"/>
      <c r="AA1030" s="7"/>
    </row>
    <row r="1031" spans="1:27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>
        <v>32029</v>
      </c>
      <c r="P1031" s="1">
        <f t="shared" si="49"/>
        <v>0.37289777398109436</v>
      </c>
      <c r="Q1031" s="25">
        <f t="shared" si="50"/>
        <v>0.2996967923536431</v>
      </c>
      <c r="R1031" s="24">
        <f t="shared" si="51"/>
        <v>-7.8021854754695141E-2</v>
      </c>
      <c r="S1031" s="20"/>
      <c r="T1031" s="7"/>
      <c r="U1031" s="7"/>
      <c r="V1031" s="7"/>
      <c r="W1031" s="7"/>
      <c r="X1031" s="7"/>
      <c r="Y1031" s="7"/>
      <c r="Z1031" s="7"/>
      <c r="AA1031" s="7"/>
    </row>
    <row r="1032" spans="1:27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>
        <v>32030</v>
      </c>
      <c r="P1032" s="1">
        <f t="shared" si="49"/>
        <v>0.37319722771644592</v>
      </c>
      <c r="Q1032" s="25">
        <f t="shared" si="50"/>
        <v>0.2996187649841886</v>
      </c>
      <c r="R1032" s="24">
        <f t="shared" si="51"/>
        <v>-7.8079938070629851E-2</v>
      </c>
      <c r="S1032" s="20"/>
      <c r="T1032" s="7"/>
      <c r="U1032" s="7"/>
      <c r="V1032" s="7"/>
      <c r="W1032" s="7"/>
      <c r="X1032" s="7"/>
      <c r="Y1032" s="7"/>
      <c r="Z1032" s="7"/>
      <c r="AA1032" s="7"/>
    </row>
    <row r="1033" spans="1:27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>
        <v>32031</v>
      </c>
      <c r="P1033" s="1">
        <f t="shared" si="49"/>
        <v>0.37349739670753479</v>
      </c>
      <c r="Q1033" s="25">
        <f t="shared" si="50"/>
        <v>0.29954067940707318</v>
      </c>
      <c r="R1033" s="24">
        <f t="shared" si="51"/>
        <v>-7.8135614423047173E-2</v>
      </c>
      <c r="S1033" s="20"/>
      <c r="T1033" s="7"/>
      <c r="U1033" s="7"/>
      <c r="V1033" s="7"/>
      <c r="W1033" s="7"/>
      <c r="X1033" s="7"/>
      <c r="Y1033" s="7"/>
      <c r="Z1033" s="7"/>
      <c r="AA1033" s="7"/>
    </row>
    <row r="1034" spans="1:27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>
        <v>32032</v>
      </c>
      <c r="P1034" s="1">
        <f t="shared" ref="P1034:P1097" si="52" xml:space="preserve"> -1.4681315616E-19*$O1034^6 + 2.80493263066289E-14*$O1034^5 - 2.23271907955907E-09*$O1034^4 + 0.0000947783879077569*$O1034^3 - 2.26293121558813*$O1034^2 + 28813.4861268598*$O1034 - 152852350.445896</f>
        <v>0.3737967312335968</v>
      </c>
      <c r="Q1034" s="25">
        <f t="shared" ref="Q1034:Q1097" si="53" xml:space="preserve"> (6*-1.4681315616E-19*$O1034^5 + 5*2.80493263066289E-14*$O1034^4 - 4*2.23271907955907E-09*$O1034^3 + 3*0.0000947783879077569*$O1034^2 - 2*2.26293121558813*$O1034^1 + 28813.4861268598)*1000</f>
        <v>0.29946256472612731</v>
      </c>
      <c r="R1034" s="24">
        <f t="shared" ref="R1034:R1097" si="54" xml:space="preserve"> (5*6*-1.4681315616E-19*$O1034^4 + 4*5*2.80493263066289E-14*$O1034^3 - 3*4*2.23271907955907E-09*$O1034^2 + 2*3*0.0000947783879077569*$O1034^1 - 2*2.26293121558813)*1000*1000</f>
        <v>-7.8188903351872341E-2</v>
      </c>
      <c r="S1034" s="20"/>
      <c r="T1034" s="7"/>
      <c r="U1034" s="7"/>
      <c r="V1034" s="7"/>
      <c r="W1034" s="7"/>
      <c r="X1034" s="7"/>
      <c r="Y1034" s="7"/>
      <c r="Z1034" s="7"/>
      <c r="AA1034" s="7"/>
    </row>
    <row r="1035" spans="1:27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>
        <v>32033</v>
      </c>
      <c r="P1035" s="1">
        <f t="shared" si="52"/>
        <v>0.37409618496894836</v>
      </c>
      <c r="Q1035" s="25">
        <f t="shared" si="53"/>
        <v>0.29938433362985961</v>
      </c>
      <c r="R1035" s="24">
        <f t="shared" si="54"/>
        <v>-7.8239824397030588E-2</v>
      </c>
      <c r="S1035" s="20"/>
      <c r="T1035" s="7"/>
      <c r="U1035" s="7"/>
      <c r="V1035" s="7"/>
      <c r="W1035" s="7"/>
      <c r="X1035" s="7"/>
      <c r="Y1035" s="7"/>
      <c r="Z1035" s="7"/>
      <c r="AA1035" s="7"/>
    </row>
    <row r="1036" spans="1:27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>
        <v>32034</v>
      </c>
      <c r="P1036" s="1">
        <f t="shared" si="52"/>
        <v>0.37439611554145813</v>
      </c>
      <c r="Q1036" s="25">
        <f t="shared" si="53"/>
        <v>0.299306044325931</v>
      </c>
      <c r="R1036" s="24">
        <f t="shared" si="54"/>
        <v>-7.8288404203874506E-2</v>
      </c>
      <c r="S1036" s="20"/>
      <c r="T1036" s="7"/>
      <c r="U1036" s="7"/>
      <c r="V1036" s="7"/>
      <c r="W1036" s="7"/>
      <c r="X1036" s="7"/>
      <c r="Y1036" s="7"/>
      <c r="Z1036" s="7"/>
      <c r="AA1036" s="7"/>
    </row>
    <row r="1037" spans="1:27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>
        <v>32035</v>
      </c>
      <c r="P1037" s="1">
        <f t="shared" si="52"/>
        <v>0.37469473481178284</v>
      </c>
      <c r="Q1037" s="25">
        <f t="shared" si="53"/>
        <v>0.29922775502200238</v>
      </c>
      <c r="R1037" s="24">
        <f t="shared" si="54"/>
        <v>-7.833465698325881E-2</v>
      </c>
      <c r="S1037" s="20"/>
      <c r="T1037" s="7"/>
      <c r="U1037" s="7"/>
      <c r="V1037" s="7"/>
      <c r="W1037" s="7"/>
      <c r="X1037" s="7"/>
      <c r="Y1037" s="7"/>
      <c r="Z1037" s="7"/>
      <c r="AA1037" s="7"/>
    </row>
    <row r="1038" spans="1:27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>
        <v>32036</v>
      </c>
      <c r="P1038" s="1">
        <f t="shared" si="52"/>
        <v>0.37499347329139709</v>
      </c>
      <c r="Q1038" s="25">
        <f t="shared" si="53"/>
        <v>0.29914940751041286</v>
      </c>
      <c r="R1038" s="24">
        <f t="shared" si="54"/>
        <v>-7.8378604051465572E-2</v>
      </c>
      <c r="S1038" s="20"/>
      <c r="T1038" s="7"/>
      <c r="U1038" s="7"/>
      <c r="V1038" s="7"/>
      <c r="W1038" s="7"/>
      <c r="X1038" s="7"/>
      <c r="Y1038" s="7"/>
      <c r="Z1038" s="7"/>
      <c r="AA1038" s="7"/>
    </row>
    <row r="1039" spans="1:27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>
        <v>32037</v>
      </c>
      <c r="P1039" s="1">
        <f t="shared" si="52"/>
        <v>0.37529340386390686</v>
      </c>
      <c r="Q1039" s="25">
        <f t="shared" si="53"/>
        <v>0.29907100179116242</v>
      </c>
      <c r="R1039" s="24">
        <f t="shared" si="54"/>
        <v>-7.8420263172063187E-2</v>
      </c>
      <c r="S1039" s="20"/>
      <c r="T1039" s="7"/>
      <c r="U1039" s="7"/>
      <c r="V1039" s="7"/>
      <c r="W1039" s="7"/>
      <c r="X1039" s="7"/>
      <c r="Y1039" s="7"/>
      <c r="Z1039" s="7"/>
      <c r="AA1039" s="7"/>
    </row>
    <row r="1040" spans="1:27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>
        <v>32038</v>
      </c>
      <c r="P1040" s="1">
        <f t="shared" si="52"/>
        <v>0.37559226155281067</v>
      </c>
      <c r="Q1040" s="25">
        <f t="shared" si="53"/>
        <v>0.29899247965659015</v>
      </c>
      <c r="R1040" s="24">
        <f t="shared" si="54"/>
        <v>-7.8459660990404245E-2</v>
      </c>
      <c r="S1040" s="20"/>
      <c r="T1040" s="7"/>
      <c r="U1040" s="7"/>
      <c r="V1040" s="7"/>
      <c r="W1040" s="7"/>
      <c r="X1040" s="7"/>
      <c r="Y1040" s="7"/>
      <c r="Z1040" s="7"/>
      <c r="AA1040" s="7"/>
    </row>
    <row r="1041" spans="1:27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>
        <v>32039</v>
      </c>
      <c r="P1041" s="1">
        <f t="shared" si="52"/>
        <v>0.37589123845100403</v>
      </c>
      <c r="Q1041" s="25">
        <f t="shared" si="53"/>
        <v>0.29891407393733971</v>
      </c>
      <c r="R1041" s="24">
        <f t="shared" si="54"/>
        <v>-7.849681704641398E-2</v>
      </c>
      <c r="S1041" s="20"/>
      <c r="T1041" s="7"/>
      <c r="U1041" s="7"/>
      <c r="V1041" s="7"/>
      <c r="W1041" s="7"/>
      <c r="X1041" s="7"/>
      <c r="Y1041" s="7"/>
      <c r="Z1041" s="7"/>
      <c r="AA1041" s="7"/>
    </row>
    <row r="1042" spans="1:27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>
        <v>32040</v>
      </c>
      <c r="P1042" s="1">
        <f t="shared" si="52"/>
        <v>0.37619021534919739</v>
      </c>
      <c r="Q1042" s="25">
        <f t="shared" si="53"/>
        <v>0.29883552269893698</v>
      </c>
      <c r="R1042" s="24">
        <f t="shared" si="54"/>
        <v>-7.8531747327303947E-2</v>
      </c>
      <c r="S1042" s="20"/>
      <c r="T1042" s="7"/>
      <c r="U1042" s="7"/>
      <c r="V1042" s="7"/>
      <c r="W1042" s="7"/>
      <c r="X1042" s="7"/>
      <c r="Y1042" s="7"/>
      <c r="Z1042" s="7"/>
      <c r="AA1042" s="7"/>
    </row>
    <row r="1043" spans="1:27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>
        <v>32041</v>
      </c>
      <c r="P1043" s="1">
        <f t="shared" si="52"/>
        <v>0.3764890730381012</v>
      </c>
      <c r="Q1043" s="25">
        <f t="shared" si="53"/>
        <v>0.29875700056436472</v>
      </c>
      <c r="R1043" s="24">
        <f t="shared" si="54"/>
        <v>-7.8564471372999378E-2</v>
      </c>
      <c r="S1043" s="20"/>
      <c r="T1043" s="7"/>
      <c r="U1043" s="7"/>
      <c r="V1043" s="7"/>
      <c r="W1043" s="7"/>
      <c r="X1043" s="7"/>
      <c r="Y1043" s="7"/>
      <c r="Z1043" s="7"/>
      <c r="AA1043" s="7"/>
    </row>
    <row r="1044" spans="1:27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>
        <v>32042</v>
      </c>
      <c r="P1044" s="1">
        <f t="shared" si="52"/>
        <v>0.37678757309913635</v>
      </c>
      <c r="Q1044" s="25">
        <f t="shared" si="53"/>
        <v>0.29867844932596199</v>
      </c>
      <c r="R1044" s="24">
        <f t="shared" si="54"/>
        <v>-7.8595017605209705E-2</v>
      </c>
      <c r="S1044" s="20"/>
      <c r="T1044" s="7"/>
      <c r="U1044" s="7"/>
      <c r="V1044" s="7"/>
      <c r="W1044" s="7"/>
      <c r="X1044" s="7"/>
      <c r="Y1044" s="7"/>
      <c r="Z1044" s="7"/>
      <c r="AA1044" s="7"/>
    </row>
    <row r="1045" spans="1:27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>
        <v>32043</v>
      </c>
      <c r="P1045" s="1">
        <f t="shared" si="52"/>
        <v>0.37708631157875061</v>
      </c>
      <c r="Q1045" s="25">
        <f t="shared" si="53"/>
        <v>0.29859978167223744</v>
      </c>
      <c r="R1045" s="24">
        <f t="shared" si="54"/>
        <v>-7.8623403787503321E-2</v>
      </c>
      <c r="S1045" s="20"/>
      <c r="T1045" s="7"/>
      <c r="U1045" s="7"/>
      <c r="V1045" s="7"/>
      <c r="W1045" s="7"/>
      <c r="X1045" s="7"/>
      <c r="Y1045" s="7"/>
      <c r="Z1045" s="7"/>
      <c r="AA1045" s="7"/>
    </row>
    <row r="1046" spans="1:27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>
        <v>32044</v>
      </c>
      <c r="P1046" s="1">
        <f t="shared" si="52"/>
        <v>0.37738445401191711</v>
      </c>
      <c r="Q1046" s="25">
        <f t="shared" si="53"/>
        <v>0.29852123043383472</v>
      </c>
      <c r="R1046" s="24">
        <f t="shared" si="54"/>
        <v>-7.8649653012519138E-2</v>
      </c>
      <c r="S1046" s="20"/>
      <c r="T1046" s="7"/>
      <c r="U1046" s="7"/>
      <c r="V1046" s="7"/>
      <c r="W1046" s="7"/>
      <c r="X1046" s="7"/>
      <c r="Y1046" s="7"/>
      <c r="Z1046" s="7"/>
      <c r="AA1046" s="7"/>
    </row>
    <row r="1047" spans="1:27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>
        <v>32045</v>
      </c>
      <c r="P1047" s="1">
        <f t="shared" si="52"/>
        <v>0.37768295407295227</v>
      </c>
      <c r="Q1047" s="25">
        <f t="shared" si="53"/>
        <v>0.29844253367627971</v>
      </c>
      <c r="R1047" s="24">
        <f t="shared" si="54"/>
        <v>-7.8673777714755033E-2</v>
      </c>
      <c r="S1047" s="20"/>
      <c r="T1047" s="7"/>
      <c r="U1047" s="7"/>
      <c r="V1047" s="7"/>
      <c r="W1047" s="7"/>
      <c r="X1047" s="7"/>
      <c r="Y1047" s="7"/>
      <c r="Z1047" s="7"/>
      <c r="AA1047" s="7"/>
    </row>
    <row r="1048" spans="1:27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>
        <v>32046</v>
      </c>
      <c r="P1048" s="1">
        <f t="shared" si="52"/>
        <v>0.37798193097114563</v>
      </c>
      <c r="Q1048" s="25">
        <f t="shared" si="53"/>
        <v>0.29836380781489424</v>
      </c>
      <c r="R1048" s="24">
        <f t="shared" si="54"/>
        <v>-7.8695808092277275E-2</v>
      </c>
      <c r="S1048" s="20"/>
      <c r="T1048" s="7"/>
      <c r="U1048" s="7"/>
      <c r="V1048" s="7"/>
      <c r="W1048" s="7"/>
      <c r="X1048" s="7"/>
      <c r="Y1048" s="7"/>
      <c r="Z1048" s="7"/>
      <c r="AA1048" s="7"/>
    </row>
    <row r="1049" spans="1:27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>
        <v>32047</v>
      </c>
      <c r="P1049" s="1">
        <f t="shared" si="52"/>
        <v>0.37827983498573303</v>
      </c>
      <c r="Q1049" s="25">
        <f t="shared" si="53"/>
        <v>0.29828511105733924</v>
      </c>
      <c r="R1049" s="24">
        <f t="shared" si="54"/>
        <v>-7.8715767237724776E-2</v>
      </c>
      <c r="S1049" s="20"/>
      <c r="T1049" s="7"/>
      <c r="U1049" s="7"/>
      <c r="V1049" s="7"/>
      <c r="W1049" s="7"/>
      <c r="X1049" s="7"/>
      <c r="Y1049" s="7"/>
      <c r="Z1049" s="7"/>
      <c r="AA1049" s="7"/>
    </row>
    <row r="1050" spans="1:27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>
        <v>32048</v>
      </c>
      <c r="P1050" s="1">
        <f t="shared" si="52"/>
        <v>0.37857833504676819</v>
      </c>
      <c r="Q1050" s="25">
        <f t="shared" si="53"/>
        <v>0.29820638519595377</v>
      </c>
      <c r="R1050" s="24">
        <f t="shared" si="54"/>
        <v>-7.8733672914665931E-2</v>
      </c>
      <c r="S1050" s="20"/>
      <c r="T1050" s="7"/>
      <c r="U1050" s="7"/>
      <c r="V1050" s="7"/>
      <c r="W1050" s="7"/>
      <c r="X1050" s="7"/>
      <c r="Y1050" s="7"/>
      <c r="Z1050" s="7"/>
      <c r="AA1050" s="7"/>
    </row>
    <row r="1051" spans="1:27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>
        <v>32049</v>
      </c>
      <c r="P1051" s="1">
        <f t="shared" si="52"/>
        <v>0.37887659668922424</v>
      </c>
      <c r="Q1051" s="25">
        <f t="shared" si="53"/>
        <v>0.29812768843839876</v>
      </c>
      <c r="R1051" s="24">
        <f t="shared" si="54"/>
        <v>-7.8749542886669133E-2</v>
      </c>
      <c r="S1051" s="20"/>
      <c r="T1051" s="7"/>
      <c r="U1051" s="7"/>
      <c r="V1051" s="7"/>
      <c r="W1051" s="7"/>
      <c r="X1051" s="7"/>
      <c r="Y1051" s="7"/>
      <c r="Z1051" s="7"/>
      <c r="AA1051" s="7"/>
    </row>
    <row r="1052" spans="1:27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>
        <v>32050</v>
      </c>
      <c r="P1052" s="1">
        <f t="shared" si="52"/>
        <v>0.37917473912239075</v>
      </c>
      <c r="Q1052" s="25">
        <f t="shared" si="53"/>
        <v>0.29804893347318284</v>
      </c>
      <c r="R1052" s="24">
        <f t="shared" si="54"/>
        <v>-7.8763396693659615E-2</v>
      </c>
      <c r="S1052" s="20"/>
      <c r="T1052" s="7"/>
      <c r="U1052" s="7"/>
      <c r="V1052" s="7"/>
      <c r="W1052" s="7"/>
      <c r="X1052" s="7"/>
      <c r="Y1052" s="7"/>
      <c r="Z1052" s="7"/>
      <c r="AA1052" s="7"/>
    </row>
    <row r="1053" spans="1:27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>
        <v>32051</v>
      </c>
      <c r="P1053" s="1">
        <f t="shared" si="52"/>
        <v>0.3794727623462677</v>
      </c>
      <c r="Q1053" s="25">
        <f t="shared" si="53"/>
        <v>0.29797014940413646</v>
      </c>
      <c r="R1053" s="24">
        <f t="shared" si="54"/>
        <v>-7.8775271639131006E-2</v>
      </c>
      <c r="S1053" s="20"/>
      <c r="T1053" s="7"/>
      <c r="U1053" s="7"/>
      <c r="V1053" s="7"/>
      <c r="W1053" s="7"/>
      <c r="X1053" s="7"/>
      <c r="Y1053" s="7"/>
      <c r="Z1053" s="7"/>
      <c r="AA1053" s="7"/>
    </row>
    <row r="1054" spans="1:27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>
        <v>32052</v>
      </c>
      <c r="P1054" s="1">
        <f t="shared" si="52"/>
        <v>0.37977078557014465</v>
      </c>
      <c r="Q1054" s="25">
        <f t="shared" si="53"/>
        <v>0.29789133623125963</v>
      </c>
      <c r="R1054" s="24">
        <f t="shared" si="54"/>
        <v>-7.8785174828510662E-2</v>
      </c>
      <c r="S1054" s="20"/>
      <c r="T1054" s="7"/>
      <c r="U1054" s="7"/>
      <c r="V1054" s="7"/>
      <c r="W1054" s="7"/>
      <c r="X1054" s="7"/>
      <c r="Y1054" s="7"/>
      <c r="Z1054" s="7"/>
      <c r="AA1054" s="7"/>
    </row>
    <row r="1055" spans="1:27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>
        <v>32053</v>
      </c>
      <c r="P1055" s="1">
        <f t="shared" si="52"/>
        <v>0.38006797432899475</v>
      </c>
      <c r="Q1055" s="25">
        <f t="shared" si="53"/>
        <v>0.29781252305838279</v>
      </c>
      <c r="R1055" s="24">
        <f t="shared" si="54"/>
        <v>-7.8793138236221694E-2</v>
      </c>
      <c r="S1055" s="20"/>
      <c r="T1055" s="7"/>
      <c r="U1055" s="7"/>
      <c r="V1055" s="7"/>
      <c r="W1055" s="7"/>
      <c r="X1055" s="7"/>
      <c r="Y1055" s="7"/>
      <c r="Z1055" s="7"/>
      <c r="AA1055" s="7"/>
    </row>
    <row r="1056" spans="1:27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>
        <v>32054</v>
      </c>
      <c r="P1056" s="1">
        <f t="shared" si="52"/>
        <v>0.3803657591342926</v>
      </c>
      <c r="Q1056" s="25">
        <f t="shared" si="53"/>
        <v>0.29773376809316687</v>
      </c>
      <c r="R1056" s="24">
        <f t="shared" si="54"/>
        <v>-7.8799181402189333E-2</v>
      </c>
      <c r="S1056" s="20"/>
      <c r="T1056" s="7"/>
      <c r="U1056" s="7"/>
      <c r="V1056" s="7"/>
      <c r="W1056" s="7"/>
      <c r="X1056" s="7"/>
      <c r="Y1056" s="7"/>
      <c r="Z1056" s="7"/>
      <c r="AA1056" s="7"/>
    </row>
    <row r="1057" spans="1:27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>
        <v>32055</v>
      </c>
      <c r="P1057" s="1">
        <f t="shared" si="52"/>
        <v>0.38066402077674866</v>
      </c>
      <c r="Q1057" s="25">
        <f t="shared" si="53"/>
        <v>0.29765495492029004</v>
      </c>
      <c r="R1057" s="24">
        <f t="shared" si="54"/>
        <v>-7.8803320313625136E-2</v>
      </c>
      <c r="S1057" s="20"/>
      <c r="T1057" s="7"/>
      <c r="U1057" s="7"/>
      <c r="V1057" s="7"/>
      <c r="W1057" s="7"/>
      <c r="X1057" s="7"/>
      <c r="Y1057" s="7"/>
      <c r="Z1057" s="7"/>
      <c r="AA1057" s="7"/>
    </row>
    <row r="1058" spans="1:27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>
        <v>32056</v>
      </c>
      <c r="P1058" s="1">
        <f t="shared" si="52"/>
        <v>0.38096144795417786</v>
      </c>
      <c r="Q1058" s="25">
        <f t="shared" si="53"/>
        <v>0.29757617085124366</v>
      </c>
      <c r="R1058" s="24">
        <f t="shared" si="54"/>
        <v>-7.8805583392238532E-2</v>
      </c>
      <c r="S1058" s="20"/>
      <c r="T1058" s="7"/>
      <c r="U1058" s="7"/>
      <c r="V1058" s="7"/>
      <c r="W1058" s="7"/>
      <c r="X1058" s="7"/>
      <c r="Y1058" s="7"/>
      <c r="Z1058" s="7"/>
      <c r="AA1058" s="7"/>
    </row>
    <row r="1059" spans="1:27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>
        <v>32057</v>
      </c>
      <c r="P1059" s="1">
        <f t="shared" si="52"/>
        <v>0.3812587559223175</v>
      </c>
      <c r="Q1059" s="25">
        <f t="shared" si="53"/>
        <v>0.29749729947070591</v>
      </c>
      <c r="R1059" s="24">
        <f t="shared" si="54"/>
        <v>-7.8805990177954754E-2</v>
      </c>
      <c r="S1059" s="20"/>
      <c r="T1059" s="7"/>
      <c r="U1059" s="7"/>
      <c r="V1059" s="7"/>
      <c r="W1059" s="7"/>
      <c r="X1059" s="7"/>
      <c r="Y1059" s="7"/>
      <c r="Z1059" s="7"/>
      <c r="AA1059" s="7"/>
    </row>
    <row r="1060" spans="1:27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>
        <v>32058</v>
      </c>
      <c r="P1060" s="1">
        <f t="shared" si="52"/>
        <v>0.38155654072761536</v>
      </c>
      <c r="Q1060" s="25">
        <f t="shared" si="53"/>
        <v>0.29741851540165953</v>
      </c>
      <c r="R1060" s="24">
        <f t="shared" si="54"/>
        <v>-7.8804569092483234E-2</v>
      </c>
      <c r="S1060" s="20"/>
      <c r="T1060" s="7"/>
      <c r="U1060" s="7"/>
      <c r="V1060" s="7"/>
      <c r="W1060" s="7"/>
      <c r="X1060" s="7"/>
      <c r="Y1060" s="7"/>
      <c r="Z1060" s="7"/>
      <c r="AA1060" s="7"/>
    </row>
    <row r="1061" spans="1:27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>
        <v>32059</v>
      </c>
      <c r="P1061" s="1">
        <f t="shared" si="52"/>
        <v>0.38185372948646545</v>
      </c>
      <c r="Q1061" s="25">
        <f t="shared" si="53"/>
        <v>0.29733976043644361</v>
      </c>
      <c r="R1061" s="24">
        <f t="shared" si="54"/>
        <v>-7.8801336123035526E-2</v>
      </c>
      <c r="S1061" s="20"/>
      <c r="T1061" s="7"/>
      <c r="U1061" s="7"/>
      <c r="V1061" s="7"/>
      <c r="W1061" s="7"/>
      <c r="X1061" s="7"/>
      <c r="Y1061" s="7"/>
      <c r="Z1061" s="7"/>
      <c r="AA1061" s="7"/>
    </row>
    <row r="1062" spans="1:27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>
        <v>32060</v>
      </c>
      <c r="P1062" s="1">
        <f t="shared" si="52"/>
        <v>0.382150799036026</v>
      </c>
      <c r="Q1062" s="25">
        <f t="shared" si="53"/>
        <v>0.29726091815973632</v>
      </c>
      <c r="R1062" s="24">
        <f t="shared" si="54"/>
        <v>-7.8796312585893702E-2</v>
      </c>
      <c r="S1062" s="20"/>
      <c r="T1062" s="7"/>
      <c r="U1062" s="7"/>
      <c r="V1062" s="7"/>
      <c r="W1062" s="7"/>
      <c r="X1062" s="7"/>
      <c r="Y1062" s="7"/>
      <c r="Z1062" s="7"/>
      <c r="AA1062" s="7"/>
    </row>
    <row r="1063" spans="1:27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>
        <v>32061</v>
      </c>
      <c r="P1063" s="1">
        <f t="shared" si="52"/>
        <v>0.38244810700416565</v>
      </c>
      <c r="Q1063" s="25">
        <f t="shared" si="53"/>
        <v>0.29718213409068994</v>
      </c>
      <c r="R1063" s="24">
        <f t="shared" si="54"/>
        <v>-7.8789532231837711E-2</v>
      </c>
      <c r="S1063" s="20"/>
      <c r="T1063" s="7"/>
      <c r="U1063" s="7"/>
      <c r="V1063" s="7"/>
      <c r="W1063" s="7"/>
      <c r="X1063" s="7"/>
      <c r="Y1063" s="7"/>
      <c r="Z1063" s="7"/>
      <c r="AA1063" s="7"/>
    </row>
    <row r="1064" spans="1:27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>
        <v>32062</v>
      </c>
      <c r="P1064" s="1">
        <f t="shared" si="52"/>
        <v>0.38274529576301575</v>
      </c>
      <c r="Q1064" s="25">
        <f t="shared" si="53"/>
        <v>0.29710332091781311</v>
      </c>
      <c r="R1064" s="24">
        <f t="shared" si="54"/>
        <v>-7.878100571900859E-2</v>
      </c>
      <c r="S1064" s="20"/>
      <c r="T1064" s="7"/>
      <c r="U1064" s="7"/>
      <c r="V1064" s="7"/>
      <c r="W1064" s="7"/>
      <c r="X1064" s="7"/>
      <c r="Y1064" s="7"/>
      <c r="Z1064" s="7"/>
      <c r="AA1064" s="7"/>
    </row>
    <row r="1065" spans="1:27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>
        <v>32063</v>
      </c>
      <c r="P1065" s="1">
        <f t="shared" si="52"/>
        <v>0.38304212689399719</v>
      </c>
      <c r="Q1065" s="25">
        <f t="shared" si="53"/>
        <v>0.29702453684876673</v>
      </c>
      <c r="R1065" s="24">
        <f t="shared" si="54"/>
        <v>-7.8770766798186287E-2</v>
      </c>
      <c r="S1065" s="20"/>
      <c r="T1065" s="7"/>
      <c r="U1065" s="7"/>
      <c r="V1065" s="7"/>
      <c r="W1065" s="7"/>
      <c r="X1065" s="7"/>
      <c r="Y1065" s="7"/>
      <c r="Z1065" s="7"/>
      <c r="AA1065" s="7"/>
    </row>
    <row r="1066" spans="1:27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>
        <v>32064</v>
      </c>
      <c r="P1066" s="1">
        <f t="shared" si="52"/>
        <v>0.38333967328071594</v>
      </c>
      <c r="Q1066" s="25">
        <f t="shared" si="53"/>
        <v>0.29694584009121172</v>
      </c>
      <c r="R1066" s="24">
        <f t="shared" si="54"/>
        <v>-7.8758831456582357E-2</v>
      </c>
      <c r="S1066" s="20"/>
      <c r="T1066" s="7"/>
      <c r="U1066" s="7"/>
      <c r="V1066" s="7"/>
      <c r="W1066" s="7"/>
      <c r="X1066" s="7"/>
      <c r="Y1066" s="7"/>
      <c r="Z1066" s="7"/>
      <c r="AA1066" s="7"/>
    </row>
    <row r="1067" spans="1:27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>
        <v>32065</v>
      </c>
      <c r="P1067" s="1">
        <f t="shared" si="52"/>
        <v>0.38363614678382874</v>
      </c>
      <c r="Q1067" s="25">
        <f t="shared" si="53"/>
        <v>0.2968670851259958</v>
      </c>
      <c r="R1067" s="24">
        <f t="shared" si="54"/>
        <v>-7.8745222786835711E-2</v>
      </c>
      <c r="S1067" s="20"/>
      <c r="T1067" s="7"/>
      <c r="U1067" s="7"/>
      <c r="V1067" s="7"/>
      <c r="W1067" s="7"/>
      <c r="X1067" s="7"/>
      <c r="Y1067" s="7"/>
      <c r="Z1067" s="7"/>
      <c r="AA1067" s="7"/>
    </row>
    <row r="1068" spans="1:27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>
        <v>32066</v>
      </c>
      <c r="P1068" s="1">
        <f t="shared" si="52"/>
        <v>0.38393273949623108</v>
      </c>
      <c r="Q1068" s="25">
        <f t="shared" si="53"/>
        <v>0.29678835926461034</v>
      </c>
      <c r="R1068" s="24">
        <f t="shared" si="54"/>
        <v>-7.8729970987012621E-2</v>
      </c>
      <c r="S1068" s="20"/>
      <c r="T1068" s="7"/>
      <c r="U1068" s="7"/>
      <c r="V1068" s="7"/>
      <c r="W1068" s="7"/>
      <c r="X1068" s="7"/>
      <c r="Y1068" s="7"/>
      <c r="Z1068" s="7"/>
      <c r="AA1068" s="7"/>
    </row>
    <row r="1069" spans="1:27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>
        <v>32067</v>
      </c>
      <c r="P1069" s="1">
        <f t="shared" si="52"/>
        <v>0.38422980904579163</v>
      </c>
      <c r="Q1069" s="25">
        <f t="shared" si="53"/>
        <v>0.29670963340322487</v>
      </c>
      <c r="R1069" s="24">
        <f t="shared" si="54"/>
        <v>-7.87130902679678E-2</v>
      </c>
      <c r="S1069" s="20"/>
      <c r="T1069" s="7"/>
      <c r="U1069" s="7"/>
      <c r="V1069" s="7"/>
      <c r="W1069" s="7"/>
      <c r="X1069" s="7"/>
      <c r="Y1069" s="7"/>
      <c r="Z1069" s="7"/>
      <c r="AA1069" s="7"/>
    </row>
    <row r="1070" spans="1:27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>
        <v>32068</v>
      </c>
      <c r="P1070" s="1">
        <f t="shared" si="52"/>
        <v>0.38452652096748352</v>
      </c>
      <c r="Q1070" s="25">
        <f t="shared" si="53"/>
        <v>0.29663093664566986</v>
      </c>
      <c r="R1070" s="24">
        <f t="shared" si="54"/>
        <v>-7.8694616156838038E-2</v>
      </c>
      <c r="S1070" s="20"/>
      <c r="T1070" s="7"/>
      <c r="U1070" s="7"/>
      <c r="V1070" s="7"/>
      <c r="W1070" s="7"/>
      <c r="X1070" s="7"/>
      <c r="Y1070" s="7"/>
      <c r="Z1070" s="7"/>
      <c r="AA1070" s="7"/>
    </row>
    <row r="1071" spans="1:27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>
        <v>32069</v>
      </c>
      <c r="P1071" s="1">
        <f t="shared" si="52"/>
        <v>0.38482311367988586</v>
      </c>
      <c r="Q1071" s="25">
        <f t="shared" si="53"/>
        <v>0.29655223988811485</v>
      </c>
      <c r="R1071" s="24">
        <f t="shared" si="54"/>
        <v>-7.8674562864478048E-2</v>
      </c>
      <c r="S1071" s="20"/>
      <c r="T1071" s="7"/>
      <c r="U1071" s="7"/>
      <c r="V1071" s="7"/>
      <c r="W1071" s="7"/>
      <c r="X1071" s="7"/>
      <c r="Y1071" s="7"/>
      <c r="Z1071" s="7"/>
      <c r="AA1071" s="7"/>
    </row>
    <row r="1072" spans="1:27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>
        <v>32070</v>
      </c>
      <c r="P1072" s="1">
        <f t="shared" si="52"/>
        <v>0.38511970639228821</v>
      </c>
      <c r="Q1072" s="25">
        <f t="shared" si="53"/>
        <v>0.2964735722343903</v>
      </c>
      <c r="R1072" s="24">
        <f t="shared" si="54"/>
        <v>-7.8652957036240423E-2</v>
      </c>
      <c r="S1072" s="20"/>
      <c r="T1072" s="7"/>
      <c r="U1072" s="7"/>
      <c r="V1072" s="7"/>
      <c r="W1072" s="7"/>
      <c r="X1072" s="7"/>
      <c r="Y1072" s="7"/>
      <c r="Z1072" s="7"/>
      <c r="AA1072" s="7"/>
    </row>
    <row r="1073" spans="1:27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>
        <v>32071</v>
      </c>
      <c r="P1073" s="1">
        <f t="shared" si="52"/>
        <v>0.3854159414768219</v>
      </c>
      <c r="Q1073" s="25">
        <f t="shared" si="53"/>
        <v>0.2963948754768353</v>
      </c>
      <c r="R1073" s="24">
        <f t="shared" si="54"/>
        <v>-7.8629823541120913E-2</v>
      </c>
      <c r="S1073" s="20"/>
      <c r="T1073" s="7"/>
      <c r="U1073" s="7"/>
      <c r="V1073" s="7"/>
      <c r="W1073" s="7"/>
      <c r="X1073" s="7"/>
      <c r="Y1073" s="7"/>
      <c r="Z1073" s="7"/>
      <c r="AA1073" s="7"/>
    </row>
    <row r="1074" spans="1:27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>
        <v>32072</v>
      </c>
      <c r="P1074" s="1">
        <f t="shared" si="52"/>
        <v>0.38571253418922424</v>
      </c>
      <c r="Q1074" s="25">
        <f t="shared" si="53"/>
        <v>0.29631635334226303</v>
      </c>
      <c r="R1074" s="24">
        <f t="shared" si="54"/>
        <v>-7.8605181919044753E-2</v>
      </c>
      <c r="S1074" s="20"/>
      <c r="T1074" s="7"/>
      <c r="U1074" s="7"/>
      <c r="V1074" s="7"/>
      <c r="W1074" s="7"/>
      <c r="X1074" s="7"/>
      <c r="Y1074" s="7"/>
      <c r="Z1074" s="7"/>
      <c r="AA1074" s="7"/>
    </row>
    <row r="1075" spans="1:27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>
        <v>32073</v>
      </c>
      <c r="P1075" s="1">
        <f t="shared" si="52"/>
        <v>0.38600888848304749</v>
      </c>
      <c r="Q1075" s="25">
        <f t="shared" si="53"/>
        <v>0.29623774389619939</v>
      </c>
      <c r="R1075" s="24">
        <f t="shared" si="54"/>
        <v>-7.8579065920791891E-2</v>
      </c>
      <c r="S1075" s="20"/>
      <c r="T1075" s="7"/>
      <c r="U1075" s="7"/>
      <c r="V1075" s="7"/>
      <c r="W1075" s="7"/>
      <c r="X1075" s="7"/>
      <c r="Y1075" s="7"/>
      <c r="Z1075" s="7"/>
      <c r="AA1075" s="7"/>
    </row>
    <row r="1076" spans="1:27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>
        <v>32074</v>
      </c>
      <c r="P1076" s="1">
        <f t="shared" si="52"/>
        <v>0.38630488514900208</v>
      </c>
      <c r="Q1076" s="25">
        <f t="shared" si="53"/>
        <v>0.2961591053463053</v>
      </c>
      <c r="R1076" s="24">
        <f t="shared" si="54"/>
        <v>-7.8551491533573881E-2</v>
      </c>
      <c r="S1076" s="20"/>
      <c r="T1076" s="7"/>
      <c r="U1076" s="7"/>
      <c r="V1076" s="7"/>
      <c r="W1076" s="7"/>
      <c r="X1076" s="7"/>
      <c r="Y1076" s="7"/>
      <c r="Z1076" s="7"/>
      <c r="AA1076" s="7"/>
    </row>
    <row r="1077" spans="1:27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>
        <v>32075</v>
      </c>
      <c r="P1077" s="1">
        <f t="shared" si="52"/>
        <v>0.38660123944282532</v>
      </c>
      <c r="Q1077" s="25">
        <f t="shared" si="53"/>
        <v>0.29608058321173303</v>
      </c>
      <c r="R1077" s="24">
        <f t="shared" si="54"/>
        <v>-7.8522485402743314E-2</v>
      </c>
      <c r="S1077" s="20"/>
      <c r="T1077" s="7"/>
      <c r="U1077" s="7"/>
      <c r="V1077" s="7"/>
      <c r="W1077" s="7"/>
      <c r="X1077" s="7"/>
      <c r="Y1077" s="7"/>
      <c r="Z1077" s="7"/>
      <c r="AA1077" s="7"/>
    </row>
    <row r="1078" spans="1:27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>
        <v>32076</v>
      </c>
      <c r="P1078" s="1">
        <f t="shared" si="52"/>
        <v>0.38689735531806946</v>
      </c>
      <c r="Q1078" s="25">
        <f t="shared" si="53"/>
        <v>0.29600209018099122</v>
      </c>
      <c r="R1078" s="24">
        <f t="shared" si="54"/>
        <v>-7.8492075950009621E-2</v>
      </c>
      <c r="S1078" s="20"/>
      <c r="T1078" s="7"/>
      <c r="U1078" s="7"/>
      <c r="V1078" s="7"/>
      <c r="W1078" s="7"/>
      <c r="X1078" s="7"/>
      <c r="Y1078" s="7"/>
      <c r="Z1078" s="7"/>
      <c r="AA1078" s="7"/>
    </row>
    <row r="1079" spans="1:27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>
        <v>32077</v>
      </c>
      <c r="P1079" s="1">
        <f t="shared" si="52"/>
        <v>0.38719359040260315</v>
      </c>
      <c r="Q1079" s="25">
        <f t="shared" si="53"/>
        <v>0.29592362625407986</v>
      </c>
      <c r="R1079" s="24">
        <f t="shared" si="54"/>
        <v>-7.8460280938941196E-2</v>
      </c>
      <c r="S1079" s="20"/>
      <c r="T1079" s="7"/>
      <c r="U1079" s="7"/>
      <c r="V1079" s="7"/>
      <c r="W1079" s="7"/>
      <c r="X1079" s="7"/>
      <c r="Y1079" s="7"/>
      <c r="Z1079" s="7"/>
      <c r="AA1079" s="7"/>
    </row>
    <row r="1080" spans="1:27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>
        <v>32078</v>
      </c>
      <c r="P1080" s="1">
        <f t="shared" si="52"/>
        <v>0.38748899102210999</v>
      </c>
      <c r="Q1080" s="25">
        <f t="shared" si="53"/>
        <v>0.29584519143099897</v>
      </c>
      <c r="R1080" s="24">
        <f t="shared" si="54"/>
        <v>-7.8427130567604308E-2</v>
      </c>
      <c r="S1080" s="20"/>
      <c r="T1080" s="7"/>
      <c r="U1080" s="7"/>
      <c r="V1080" s="7"/>
      <c r="W1080" s="7"/>
      <c r="X1080" s="7"/>
      <c r="Y1080" s="7"/>
      <c r="Z1080" s="7"/>
      <c r="AA1080" s="7"/>
    </row>
    <row r="1081" spans="1:27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>
        <v>32079</v>
      </c>
      <c r="P1081" s="1">
        <f t="shared" si="52"/>
        <v>0.38778439164161682</v>
      </c>
      <c r="Q1081" s="25">
        <f t="shared" si="53"/>
        <v>0.29576681481557898</v>
      </c>
      <c r="R1081" s="24">
        <f t="shared" si="54"/>
        <v>-7.839264970499471E-2</v>
      </c>
      <c r="S1081" s="20"/>
      <c r="T1081" s="7"/>
      <c r="U1081" s="7"/>
      <c r="V1081" s="7"/>
      <c r="W1081" s="7"/>
      <c r="X1081" s="7"/>
      <c r="Y1081" s="7"/>
      <c r="Z1081" s="7"/>
      <c r="AA1081" s="7"/>
    </row>
    <row r="1082" spans="1:27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>
        <v>32080</v>
      </c>
      <c r="P1082" s="1">
        <f t="shared" si="52"/>
        <v>0.38808038830757141</v>
      </c>
      <c r="Q1082" s="25">
        <f t="shared" si="53"/>
        <v>0.295688438200159</v>
      </c>
      <c r="R1082" s="24">
        <f t="shared" si="54"/>
        <v>-7.8356857891037635E-2</v>
      </c>
      <c r="S1082" s="20"/>
      <c r="T1082" s="7"/>
      <c r="U1082" s="7"/>
      <c r="V1082" s="7"/>
      <c r="W1082" s="7"/>
      <c r="X1082" s="7"/>
      <c r="Y1082" s="7"/>
      <c r="Z1082" s="7"/>
      <c r="AA1082" s="7"/>
    </row>
    <row r="1083" spans="1:27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>
        <v>32081</v>
      </c>
      <c r="P1083" s="1">
        <f t="shared" si="52"/>
        <v>0.38837602734565735</v>
      </c>
      <c r="Q1083" s="25">
        <f t="shared" si="53"/>
        <v>0.29561009068856947</v>
      </c>
      <c r="R1083" s="24">
        <f t="shared" si="54"/>
        <v>-7.8319781771085673E-2</v>
      </c>
      <c r="S1083" s="20"/>
      <c r="T1083" s="7"/>
      <c r="U1083" s="7"/>
      <c r="V1083" s="7"/>
      <c r="W1083" s="7"/>
      <c r="X1083" s="7"/>
      <c r="Y1083" s="7"/>
      <c r="Z1083" s="7"/>
      <c r="AA1083" s="7"/>
    </row>
    <row r="1084" spans="1:27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>
        <v>32082</v>
      </c>
      <c r="P1084" s="1">
        <f t="shared" si="52"/>
        <v>0.38867166638374329</v>
      </c>
      <c r="Q1084" s="25">
        <f t="shared" si="53"/>
        <v>0.2955317722808104</v>
      </c>
      <c r="R1084" s="24">
        <f t="shared" si="54"/>
        <v>-7.8281451543205094E-2</v>
      </c>
      <c r="S1084" s="20"/>
      <c r="T1084" s="7"/>
      <c r="U1084" s="7"/>
      <c r="V1084" s="7"/>
      <c r="W1084" s="7"/>
      <c r="X1084" s="7"/>
      <c r="Y1084" s="7"/>
      <c r="Z1084" s="7"/>
      <c r="AA1084" s="7"/>
    </row>
    <row r="1085" spans="1:27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>
        <v>32083</v>
      </c>
      <c r="P1085" s="1">
        <f t="shared" si="52"/>
        <v>0.38896694779396057</v>
      </c>
      <c r="Q1085" s="25">
        <f t="shared" si="53"/>
        <v>0.29545351208071224</v>
      </c>
      <c r="R1085" s="24">
        <f t="shared" si="54"/>
        <v>-7.8241888523677972E-2</v>
      </c>
      <c r="S1085" s="20"/>
      <c r="T1085" s="7"/>
      <c r="U1085" s="7"/>
      <c r="V1085" s="7"/>
      <c r="W1085" s="7"/>
      <c r="X1085" s="7"/>
      <c r="Y1085" s="7"/>
      <c r="Z1085" s="7"/>
      <c r="AA1085" s="7"/>
    </row>
    <row r="1086" spans="1:27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>
        <v>32084</v>
      </c>
      <c r="P1086" s="1">
        <f t="shared" si="52"/>
        <v>0.38926306366920471</v>
      </c>
      <c r="Q1086" s="25">
        <f t="shared" si="53"/>
        <v>0.295375310088275</v>
      </c>
      <c r="R1086" s="24">
        <f t="shared" si="54"/>
        <v>-7.8201121134213736E-2</v>
      </c>
      <c r="S1086" s="20"/>
      <c r="T1086" s="7"/>
      <c r="U1086" s="7"/>
      <c r="V1086" s="7"/>
      <c r="W1086" s="7"/>
      <c r="X1086" s="7"/>
      <c r="Y1086" s="7"/>
      <c r="Z1086" s="7"/>
      <c r="AA1086" s="7"/>
    </row>
    <row r="1087" spans="1:27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>
        <v>32085</v>
      </c>
      <c r="P1087" s="1">
        <f t="shared" si="52"/>
        <v>0.38955798745155334</v>
      </c>
      <c r="Q1087" s="25">
        <f t="shared" si="53"/>
        <v>0.2952970789920073</v>
      </c>
      <c r="R1087" s="24">
        <f t="shared" si="54"/>
        <v>-7.8159163585667102E-2</v>
      </c>
      <c r="S1087" s="20"/>
      <c r="T1087" s="7"/>
      <c r="U1087" s="7"/>
      <c r="V1087" s="7"/>
      <c r="W1087" s="7"/>
      <c r="X1087" s="7"/>
      <c r="Y1087" s="7"/>
      <c r="Z1087" s="7"/>
      <c r="AA1087" s="7"/>
    </row>
    <row r="1088" spans="1:27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>
        <v>32086</v>
      </c>
      <c r="P1088" s="1">
        <f t="shared" si="52"/>
        <v>0.38985303044319153</v>
      </c>
      <c r="Q1088" s="25">
        <f t="shared" si="53"/>
        <v>0.29521893520723097</v>
      </c>
      <c r="R1088" s="24">
        <f t="shared" si="54"/>
        <v>-7.8116058510602215E-2</v>
      </c>
      <c r="S1088" s="20"/>
      <c r="T1088" s="7"/>
      <c r="U1088" s="7"/>
      <c r="V1088" s="7"/>
      <c r="W1088" s="7"/>
      <c r="X1088" s="7"/>
      <c r="Y1088" s="7"/>
      <c r="Z1088" s="7"/>
      <c r="AA1088" s="7"/>
    </row>
    <row r="1089" spans="1:27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>
        <v>32087</v>
      </c>
      <c r="P1089" s="1">
        <f t="shared" si="52"/>
        <v>0.39014819264411926</v>
      </c>
      <c r="Q1089" s="25">
        <f t="shared" si="53"/>
        <v>0.29514084963011555</v>
      </c>
      <c r="R1089" s="24">
        <f t="shared" si="54"/>
        <v>-7.807182367258747E-2</v>
      </c>
      <c r="S1089" s="20"/>
      <c r="T1089" s="7"/>
      <c r="U1089" s="7"/>
      <c r="V1089" s="7"/>
      <c r="W1089" s="7"/>
      <c r="X1089" s="7"/>
      <c r="Y1089" s="7"/>
      <c r="Z1089" s="7"/>
      <c r="AA1089" s="7"/>
    </row>
    <row r="1090" spans="1:27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>
        <v>32088</v>
      </c>
      <c r="P1090" s="1">
        <f t="shared" si="52"/>
        <v>0.3904435932636261</v>
      </c>
      <c r="Q1090" s="25">
        <f t="shared" si="53"/>
        <v>0.29506282226066105</v>
      </c>
      <c r="R1090" s="24">
        <f t="shared" si="54"/>
        <v>-7.802648038790494E-2</v>
      </c>
      <c r="S1090" s="20"/>
      <c r="T1090" s="7"/>
      <c r="U1090" s="7"/>
      <c r="V1090" s="7"/>
      <c r="W1090" s="7"/>
      <c r="X1090" s="7"/>
      <c r="Y1090" s="7"/>
      <c r="Z1090" s="7"/>
      <c r="AA1090" s="7"/>
    </row>
    <row r="1091" spans="1:27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>
        <v>32089</v>
      </c>
      <c r="P1091" s="1">
        <f t="shared" si="52"/>
        <v>0.39073887467384338</v>
      </c>
      <c r="Q1091" s="25">
        <f t="shared" si="53"/>
        <v>0.294984823995037</v>
      </c>
      <c r="R1091" s="24">
        <f t="shared" si="54"/>
        <v>-7.7980064183691411E-2</v>
      </c>
      <c r="S1091" s="20"/>
      <c r="T1091" s="7"/>
      <c r="U1091" s="7"/>
      <c r="V1091" s="7"/>
      <c r="W1091" s="7"/>
      <c r="X1091" s="7"/>
      <c r="Y1091" s="7"/>
      <c r="Z1091" s="7"/>
      <c r="AA1091" s="7"/>
    </row>
    <row r="1092" spans="1:27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>
        <v>32090</v>
      </c>
      <c r="P1092" s="1">
        <f t="shared" si="52"/>
        <v>0.39103332161903381</v>
      </c>
      <c r="Q1092" s="25">
        <f t="shared" si="53"/>
        <v>0.29490688393707387</v>
      </c>
      <c r="R1092" s="24">
        <f t="shared" si="54"/>
        <v>-7.79325892708016E-2</v>
      </c>
      <c r="S1092" s="20"/>
      <c r="T1092" s="7"/>
      <c r="U1092" s="7"/>
      <c r="V1092" s="7"/>
      <c r="W1092" s="7"/>
      <c r="X1092" s="7"/>
      <c r="Y1092" s="7"/>
      <c r="Z1092" s="7"/>
      <c r="AA1092" s="7"/>
    </row>
    <row r="1093" spans="1:27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>
        <v>32091</v>
      </c>
      <c r="P1093" s="1">
        <f t="shared" si="52"/>
        <v>0.39132824540138245</v>
      </c>
      <c r="Q1093" s="25">
        <f t="shared" si="53"/>
        <v>0.29482900208677165</v>
      </c>
      <c r="R1093" s="24">
        <f t="shared" si="54"/>
        <v>-7.7884094729085973E-2</v>
      </c>
      <c r="S1093" s="20"/>
      <c r="T1093" s="7"/>
      <c r="U1093" s="7"/>
      <c r="V1093" s="7"/>
      <c r="W1093" s="7"/>
      <c r="X1093" s="7"/>
      <c r="Y1093" s="7"/>
      <c r="Z1093" s="7"/>
      <c r="AA1093" s="7"/>
    </row>
    <row r="1094" spans="1:27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>
        <v>32092</v>
      </c>
      <c r="P1094" s="1">
        <f t="shared" si="52"/>
        <v>0.39162328839302063</v>
      </c>
      <c r="Q1094" s="25">
        <f t="shared" si="53"/>
        <v>0.29475112023646943</v>
      </c>
      <c r="R1094" s="24">
        <f t="shared" si="54"/>
        <v>-7.7834598322112925E-2</v>
      </c>
      <c r="S1094" s="20"/>
      <c r="T1094" s="7"/>
      <c r="U1094" s="7"/>
      <c r="V1094" s="7"/>
      <c r="W1094" s="7"/>
      <c r="X1094" s="7"/>
      <c r="Y1094" s="7"/>
      <c r="Z1094" s="7"/>
      <c r="AA1094" s="7"/>
    </row>
    <row r="1095" spans="1:27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>
        <v>32093</v>
      </c>
      <c r="P1095" s="1">
        <f t="shared" si="52"/>
        <v>0.39191797375679016</v>
      </c>
      <c r="Q1095" s="25">
        <f t="shared" si="53"/>
        <v>0.29467326748999767</v>
      </c>
      <c r="R1095" s="24">
        <f t="shared" si="54"/>
        <v>-7.7784124918878206E-2</v>
      </c>
      <c r="S1095" s="20"/>
      <c r="T1095" s="7"/>
      <c r="U1095" s="7"/>
      <c r="V1095" s="7"/>
      <c r="W1095" s="7"/>
      <c r="X1095" s="7"/>
      <c r="Y1095" s="7"/>
      <c r="Z1095" s="7"/>
      <c r="AA1095" s="7"/>
    </row>
    <row r="1096" spans="1:27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>
        <v>32094</v>
      </c>
      <c r="P1096" s="1">
        <f t="shared" si="52"/>
        <v>0.39221265912055969</v>
      </c>
      <c r="Q1096" s="25">
        <f t="shared" si="53"/>
        <v>0.29459550205501728</v>
      </c>
      <c r="R1096" s="24">
        <f t="shared" si="54"/>
        <v>-7.7732706493804926E-2</v>
      </c>
      <c r="S1096" s="20"/>
      <c r="T1096" s="7"/>
      <c r="U1096" s="7"/>
      <c r="V1096" s="7"/>
      <c r="W1096" s="7"/>
      <c r="X1096" s="7"/>
      <c r="Y1096" s="7"/>
      <c r="Z1096" s="7"/>
      <c r="AA1096" s="7"/>
    </row>
    <row r="1097" spans="1:27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>
        <v>32095</v>
      </c>
      <c r="P1097" s="1">
        <f t="shared" si="52"/>
        <v>0.39250674843788147</v>
      </c>
      <c r="Q1097" s="25">
        <f t="shared" si="53"/>
        <v>0.2945177948276978</v>
      </c>
      <c r="R1097" s="24">
        <f t="shared" si="54"/>
        <v>-7.7680371468602516E-2</v>
      </c>
      <c r="S1097" s="20"/>
      <c r="T1097" s="7"/>
      <c r="U1097" s="7"/>
      <c r="V1097" s="7"/>
      <c r="W1097" s="7"/>
      <c r="X1097" s="7"/>
      <c r="Y1097" s="7"/>
      <c r="Z1097" s="7"/>
      <c r="AA1097" s="7"/>
    </row>
    <row r="1098" spans="1:27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>
        <v>32096</v>
      </c>
      <c r="P1098" s="1">
        <f t="shared" ref="P1098:P1161" si="55" xml:space="preserve"> -1.4681315616E-19*$O1098^6 + 2.80493263066289E-14*$O1098^5 - 2.23271907955907E-09*$O1098^4 + 0.0000947783879077569*$O1098^3 - 2.26293121558813*$O1098^2 + 28813.4861268598*$O1098 - 152852350.445896</f>
        <v>0.392801433801651</v>
      </c>
      <c r="Q1098" s="25">
        <f t="shared" ref="Q1098:Q1161" si="56" xml:space="preserve"> (6*-1.4681315616E-19*$O1098^5 + 5*2.80493263066289E-14*$O1098^4 - 4*2.23271907955907E-09*$O1098^3 + 3*0.0000947783879077569*$O1098^2 - 2*2.26293121558813*$O1098^1 + 28813.4861268598)*1000</f>
        <v>0.29444020401570015</v>
      </c>
      <c r="R1098" s="24">
        <f t="shared" ref="R1098:R1161" si="57" xml:space="preserve"> (5*6*-1.4681315616E-19*$O1098^4 + 4*5*2.80493263066289E-14*$O1098^3 - 3*4*2.23271907955907E-09*$O1098^2 + 2*3*0.0000947783879077569*$O1098^1 - 2*2.26293121558813)*1000*1000</f>
        <v>-7.7627141159553048E-2</v>
      </c>
      <c r="S1098" s="20"/>
      <c r="T1098" s="7"/>
      <c r="U1098" s="7"/>
      <c r="V1098" s="7"/>
      <c r="W1098" s="7"/>
      <c r="X1098" s="7"/>
      <c r="Y1098" s="7"/>
      <c r="Z1098" s="7"/>
      <c r="AA1098" s="7"/>
    </row>
    <row r="1099" spans="1:27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>
        <v>32097</v>
      </c>
      <c r="P1099" s="1">
        <f t="shared" si="55"/>
        <v>0.39309611916542053</v>
      </c>
      <c r="Q1099" s="25">
        <f t="shared" si="56"/>
        <v>0.29436255499604158</v>
      </c>
      <c r="R1099" s="24">
        <f t="shared" si="57"/>
        <v>-7.7573042212009113E-2</v>
      </c>
      <c r="S1099" s="20"/>
      <c r="T1099" s="7"/>
      <c r="U1099" s="7"/>
      <c r="V1099" s="7"/>
      <c r="W1099" s="7"/>
      <c r="X1099" s="7"/>
      <c r="Y1099" s="7"/>
      <c r="Z1099" s="7"/>
      <c r="AA1099" s="7"/>
    </row>
    <row r="1100" spans="1:27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>
        <v>32098</v>
      </c>
      <c r="P1100" s="1">
        <f t="shared" si="55"/>
        <v>0.39339068531990051</v>
      </c>
      <c r="Q1100" s="25">
        <f t="shared" si="56"/>
        <v>0.29428499328787439</v>
      </c>
      <c r="R1100" s="24">
        <f t="shared" si="57"/>
        <v>-7.7518104824036982E-2</v>
      </c>
      <c r="S1100" s="20"/>
      <c r="T1100" s="7"/>
      <c r="U1100" s="7"/>
      <c r="V1100" s="7"/>
      <c r="W1100" s="7"/>
      <c r="X1100" s="7"/>
      <c r="Y1100" s="7"/>
      <c r="Z1100" s="7"/>
      <c r="AA1100" s="7"/>
    </row>
    <row r="1101" spans="1:27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>
        <v>32099</v>
      </c>
      <c r="P1101" s="1">
        <f t="shared" si="55"/>
        <v>0.39368465542793274</v>
      </c>
      <c r="Q1101" s="25">
        <f t="shared" si="56"/>
        <v>0.29420757709885947</v>
      </c>
      <c r="R1101" s="24">
        <f t="shared" si="57"/>
        <v>-7.7462352088275566E-2</v>
      </c>
      <c r="S1101" s="20"/>
      <c r="T1101" s="7"/>
      <c r="U1101" s="7"/>
      <c r="V1101" s="7"/>
      <c r="W1101" s="7"/>
      <c r="X1101" s="7"/>
      <c r="Y1101" s="7"/>
      <c r="Z1101" s="7"/>
      <c r="AA1101" s="7"/>
    </row>
    <row r="1102" spans="1:27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>
        <v>32100</v>
      </c>
      <c r="P1102" s="1">
        <f t="shared" si="55"/>
        <v>0.39397862553596497</v>
      </c>
      <c r="Q1102" s="25">
        <f t="shared" si="56"/>
        <v>0.29413013180601411</v>
      </c>
      <c r="R1102" s="24">
        <f t="shared" si="57"/>
        <v>-7.7405808873720616E-2</v>
      </c>
      <c r="S1102" s="20"/>
      <c r="T1102" s="7"/>
      <c r="U1102" s="7"/>
      <c r="V1102" s="7"/>
      <c r="W1102" s="7"/>
      <c r="X1102" s="7"/>
      <c r="Y1102" s="7"/>
      <c r="Z1102" s="7"/>
      <c r="AA1102" s="7"/>
    </row>
    <row r="1103" spans="1:27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>
        <v>32101</v>
      </c>
      <c r="P1103" s="1">
        <f t="shared" si="55"/>
        <v>0.39427271485328674</v>
      </c>
      <c r="Q1103" s="25">
        <f t="shared" si="56"/>
        <v>0.29405271561699919</v>
      </c>
      <c r="R1103" s="24">
        <f t="shared" si="57"/>
        <v>-7.7348512483865761E-2</v>
      </c>
      <c r="S1103" s="20"/>
      <c r="T1103" s="7"/>
      <c r="U1103" s="7"/>
      <c r="V1103" s="7"/>
      <c r="W1103" s="7"/>
      <c r="X1103" s="7"/>
      <c r="Y1103" s="7"/>
      <c r="Z1103" s="7"/>
      <c r="AA1103" s="7"/>
    </row>
    <row r="1104" spans="1:27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>
        <v>32102</v>
      </c>
      <c r="P1104" s="1">
        <f t="shared" si="55"/>
        <v>0.39456692337989807</v>
      </c>
      <c r="Q1104" s="25">
        <f t="shared" si="56"/>
        <v>0.2939753576356452</v>
      </c>
      <c r="R1104" s="24">
        <f t="shared" si="57"/>
        <v>-7.7290484234993073E-2</v>
      </c>
      <c r="S1104" s="20"/>
      <c r="T1104" s="7"/>
      <c r="U1104" s="7"/>
      <c r="V1104" s="7"/>
      <c r="W1104" s="7"/>
      <c r="X1104" s="7"/>
      <c r="Y1104" s="7"/>
      <c r="Z1104" s="7"/>
      <c r="AA1104" s="7"/>
    </row>
    <row r="1105" spans="1:27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>
        <v>32103</v>
      </c>
      <c r="P1105" s="1">
        <f t="shared" si="55"/>
        <v>0.3948606550693512</v>
      </c>
      <c r="Q1105" s="25">
        <f t="shared" si="56"/>
        <v>0.29389817427727394</v>
      </c>
      <c r="R1105" s="24">
        <f t="shared" si="57"/>
        <v>-7.7231745443384625E-2</v>
      </c>
      <c r="S1105" s="20"/>
      <c r="T1105" s="7"/>
      <c r="U1105" s="7"/>
      <c r="V1105" s="7"/>
      <c r="W1105" s="7"/>
      <c r="X1105" s="7"/>
      <c r="Y1105" s="7"/>
      <c r="Z1105" s="7"/>
      <c r="AA1105" s="7"/>
    </row>
    <row r="1106" spans="1:27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>
        <v>32104</v>
      </c>
      <c r="P1106" s="1">
        <f t="shared" si="55"/>
        <v>0.39515474438667297</v>
      </c>
      <c r="Q1106" s="25">
        <f t="shared" si="56"/>
        <v>0.29382093271124177</v>
      </c>
      <c r="R1106" s="24">
        <f t="shared" si="57"/>
        <v>-7.7172333412534044E-2</v>
      </c>
      <c r="S1106" s="20"/>
      <c r="T1106" s="7"/>
      <c r="U1106" s="7"/>
      <c r="V1106" s="7"/>
      <c r="W1106" s="7"/>
      <c r="X1106" s="7"/>
      <c r="Y1106" s="7"/>
      <c r="Z1106" s="7"/>
      <c r="AA1106" s="7"/>
    </row>
    <row r="1107" spans="1:27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>
        <v>32105</v>
      </c>
      <c r="P1107" s="1">
        <f t="shared" si="55"/>
        <v>0.3954487144947052</v>
      </c>
      <c r="Q1107" s="25">
        <f t="shared" si="56"/>
        <v>0.29374377845670097</v>
      </c>
      <c r="R1107" s="24">
        <f t="shared" si="57"/>
        <v>-7.7112274787793922E-2</v>
      </c>
      <c r="S1107" s="20"/>
      <c r="T1107" s="7"/>
      <c r="U1107" s="7"/>
      <c r="V1107" s="7"/>
      <c r="W1107" s="7"/>
      <c r="X1107" s="7"/>
      <c r="Y1107" s="7"/>
      <c r="Z1107" s="7"/>
      <c r="AA1107" s="7"/>
    </row>
    <row r="1108" spans="1:27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>
        <v>32106</v>
      </c>
      <c r="P1108" s="1">
        <f t="shared" si="55"/>
        <v>0.39574173092842102</v>
      </c>
      <c r="Q1108" s="25">
        <f t="shared" si="56"/>
        <v>0.29366674061748199</v>
      </c>
      <c r="R1108" s="24">
        <f t="shared" si="57"/>
        <v>-7.7051594438160009E-2</v>
      </c>
      <c r="S1108" s="20"/>
      <c r="T1108" s="7"/>
      <c r="U1108" s="7"/>
      <c r="V1108" s="7"/>
      <c r="W1108" s="7"/>
      <c r="X1108" s="7"/>
      <c r="Y1108" s="7"/>
      <c r="Z1108" s="7"/>
      <c r="AA1108" s="7"/>
    </row>
    <row r="1109" spans="1:27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>
        <v>32107</v>
      </c>
      <c r="P1109" s="1">
        <f t="shared" si="55"/>
        <v>0.3960355818271637</v>
      </c>
      <c r="Q1109" s="25">
        <f t="shared" si="56"/>
        <v>0.29358967367443256</v>
      </c>
      <c r="R1109" s="24">
        <f t="shared" si="57"/>
        <v>-7.6990319008984898E-2</v>
      </c>
      <c r="S1109" s="20"/>
      <c r="T1109" s="7"/>
      <c r="U1109" s="7"/>
      <c r="V1109" s="7"/>
      <c r="W1109" s="7"/>
      <c r="X1109" s="7"/>
      <c r="Y1109" s="7"/>
      <c r="Z1109" s="7"/>
      <c r="AA1109" s="7"/>
    </row>
    <row r="1110" spans="1:27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>
        <v>32108</v>
      </c>
      <c r="P1110" s="1">
        <f t="shared" si="55"/>
        <v>0.39632931351661682</v>
      </c>
      <c r="Q1110" s="25">
        <f t="shared" si="56"/>
        <v>0.29351278135436587</v>
      </c>
      <c r="R1110" s="24">
        <f t="shared" si="57"/>
        <v>-7.6928476921978017E-2</v>
      </c>
      <c r="S1110" s="20"/>
      <c r="T1110" s="7"/>
      <c r="U1110" s="7"/>
      <c r="V1110" s="7"/>
      <c r="W1110" s="7"/>
      <c r="X1110" s="7"/>
      <c r="Y1110" s="7"/>
      <c r="Z1110" s="7"/>
      <c r="AA1110" s="7"/>
    </row>
    <row r="1111" spans="1:27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>
        <v>32109</v>
      </c>
      <c r="P1111" s="1">
        <f t="shared" si="55"/>
        <v>0.39662256836891174</v>
      </c>
      <c r="Q1111" s="25">
        <f t="shared" si="56"/>
        <v>0.29343583082663827</v>
      </c>
      <c r="R1111" s="24">
        <f t="shared" si="57"/>
        <v>-7.6866096598848799E-2</v>
      </c>
      <c r="S1111" s="20"/>
      <c r="T1111" s="7"/>
      <c r="U1111" s="7"/>
      <c r="V1111" s="7"/>
      <c r="W1111" s="7"/>
      <c r="X1111" s="7"/>
      <c r="Y1111" s="7"/>
      <c r="Z1111" s="7"/>
      <c r="AA1111" s="7"/>
    </row>
    <row r="1112" spans="1:27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>
        <v>32110</v>
      </c>
      <c r="P1112" s="1">
        <f t="shared" si="55"/>
        <v>0.39691594243049622</v>
      </c>
      <c r="Q1112" s="25">
        <f t="shared" si="56"/>
        <v>0.29335893850657158</v>
      </c>
      <c r="R1112" s="24">
        <f t="shared" si="57"/>
        <v>-7.6803206461306672E-2</v>
      </c>
      <c r="S1112" s="20"/>
      <c r="T1112" s="7"/>
      <c r="U1112" s="7"/>
      <c r="V1112" s="7"/>
      <c r="W1112" s="7"/>
      <c r="X1112" s="7"/>
      <c r="Y1112" s="7"/>
      <c r="Z1112" s="7"/>
      <c r="AA1112" s="7"/>
    </row>
    <row r="1113" spans="1:27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>
        <v>32111</v>
      </c>
      <c r="P1113" s="1">
        <f t="shared" si="55"/>
        <v>0.39720919728279114</v>
      </c>
      <c r="Q1113" s="25">
        <f t="shared" si="56"/>
        <v>0.29328227901714854</v>
      </c>
      <c r="R1113" s="24">
        <f t="shared" si="57"/>
        <v>-7.6739834931061068E-2</v>
      </c>
      <c r="S1113" s="20"/>
      <c r="T1113" s="7"/>
      <c r="U1113" s="7"/>
      <c r="V1113" s="7"/>
      <c r="W1113" s="7"/>
      <c r="X1113" s="7"/>
      <c r="Y1113" s="7"/>
      <c r="Z1113" s="7"/>
      <c r="AA1113" s="7"/>
    </row>
    <row r="1114" spans="1:27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>
        <v>32112</v>
      </c>
      <c r="P1114" s="1">
        <f t="shared" si="55"/>
        <v>0.39750269055366516</v>
      </c>
      <c r="Q1114" s="25">
        <f t="shared" si="56"/>
        <v>0.29320547400857322</v>
      </c>
      <c r="R1114" s="24">
        <f t="shared" si="57"/>
        <v>-7.6676008653464578E-2</v>
      </c>
      <c r="S1114" s="20"/>
      <c r="T1114" s="7"/>
      <c r="U1114" s="7"/>
      <c r="V1114" s="7"/>
      <c r="W1114" s="7"/>
      <c r="X1114" s="7"/>
      <c r="Y1114" s="7"/>
      <c r="Z1114" s="7"/>
      <c r="AA1114" s="7"/>
    </row>
    <row r="1115" spans="1:27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>
        <v>32113</v>
      </c>
      <c r="P1115" s="1">
        <f t="shared" si="55"/>
        <v>0.39779606461524963</v>
      </c>
      <c r="Q1115" s="25">
        <f t="shared" si="56"/>
        <v>0.29312884362298064</v>
      </c>
      <c r="R1115" s="24">
        <f t="shared" si="57"/>
        <v>-7.661176137929715E-2</v>
      </c>
      <c r="S1115" s="20"/>
      <c r="T1115" s="7"/>
      <c r="U1115" s="7"/>
      <c r="V1115" s="7"/>
      <c r="W1115" s="7"/>
      <c r="X1115" s="7"/>
      <c r="Y1115" s="7"/>
      <c r="Z1115" s="7"/>
      <c r="AA1115" s="7"/>
    </row>
    <row r="1116" spans="1:27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>
        <v>32114</v>
      </c>
      <c r="P1116" s="1">
        <f t="shared" si="55"/>
        <v>0.39808931946754456</v>
      </c>
      <c r="Q1116" s="25">
        <f t="shared" si="56"/>
        <v>0.29305230054887943</v>
      </c>
      <c r="R1116" s="24">
        <f t="shared" si="57"/>
        <v>-7.6547117977554535E-2</v>
      </c>
      <c r="S1116" s="20"/>
      <c r="T1116" s="7"/>
      <c r="U1116" s="7"/>
      <c r="V1116" s="7"/>
      <c r="W1116" s="7"/>
      <c r="X1116" s="7"/>
      <c r="Y1116" s="7"/>
      <c r="Z1116" s="7"/>
      <c r="AA1116" s="7"/>
    </row>
    <row r="1117" spans="1:27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>
        <v>32115</v>
      </c>
      <c r="P1117" s="1">
        <f t="shared" si="55"/>
        <v>0.39838185906410217</v>
      </c>
      <c r="Q1117" s="25">
        <f t="shared" si="56"/>
        <v>0.29297575747477822</v>
      </c>
      <c r="R1117" s="24">
        <f t="shared" si="57"/>
        <v>-7.6482101540875647E-2</v>
      </c>
      <c r="S1117" s="20"/>
      <c r="T1117" s="7"/>
      <c r="U1117" s="7"/>
      <c r="V1117" s="7"/>
      <c r="W1117" s="7"/>
      <c r="X1117" s="7"/>
      <c r="Y1117" s="7"/>
      <c r="Z1117" s="7"/>
      <c r="AA1117" s="7"/>
    </row>
    <row r="1118" spans="1:27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>
        <v>32116</v>
      </c>
      <c r="P1118" s="1">
        <f t="shared" si="55"/>
        <v>0.39867427945137024</v>
      </c>
      <c r="Q1118" s="25">
        <f t="shared" si="56"/>
        <v>0.29289927260833792</v>
      </c>
      <c r="R1118" s="24">
        <f t="shared" si="57"/>
        <v>-7.641675292546779E-2</v>
      </c>
      <c r="S1118" s="20"/>
      <c r="T1118" s="7"/>
      <c r="U1118" s="7"/>
      <c r="V1118" s="7"/>
      <c r="W1118" s="7"/>
      <c r="X1118" s="7"/>
      <c r="Y1118" s="7"/>
      <c r="Z1118" s="7"/>
      <c r="AA1118" s="7"/>
    </row>
    <row r="1119" spans="1:27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>
        <v>32117</v>
      </c>
      <c r="P1119" s="1">
        <f t="shared" si="55"/>
        <v>0.39896801114082336</v>
      </c>
      <c r="Q1119" s="25">
        <f t="shared" si="56"/>
        <v>0.29282293326104991</v>
      </c>
      <c r="R1119" s="24">
        <f t="shared" si="57"/>
        <v>-7.635108989489936E-2</v>
      </c>
      <c r="S1119" s="20"/>
      <c r="T1119" s="7"/>
      <c r="U1119" s="7"/>
      <c r="V1119" s="7"/>
      <c r="W1119" s="7"/>
      <c r="X1119" s="7"/>
      <c r="Y1119" s="7"/>
      <c r="Z1119" s="7"/>
      <c r="AA1119" s="7"/>
    </row>
    <row r="1120" spans="1:27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>
        <v>32118</v>
      </c>
      <c r="P1120" s="1">
        <f t="shared" si="55"/>
        <v>0.39926007390022278</v>
      </c>
      <c r="Q1120" s="25">
        <f t="shared" si="56"/>
        <v>0.29274662301759236</v>
      </c>
      <c r="R1120" s="24">
        <f t="shared" si="57"/>
        <v>-7.6285149752663983E-2</v>
      </c>
      <c r="S1120" s="20"/>
      <c r="T1120" s="7"/>
      <c r="U1120" s="7"/>
      <c r="V1120" s="7"/>
      <c r="W1120" s="7"/>
      <c r="X1120" s="7"/>
      <c r="Y1120" s="7"/>
      <c r="Z1120" s="7"/>
      <c r="AA1120" s="7"/>
    </row>
    <row r="1121" spans="1:27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>
        <v>32119</v>
      </c>
      <c r="P1121" s="1">
        <f t="shared" si="55"/>
        <v>0.39955344796180725</v>
      </c>
      <c r="Q1121" s="25">
        <f t="shared" si="56"/>
        <v>0.29267040008562617</v>
      </c>
      <c r="R1121" s="24">
        <f t="shared" si="57"/>
        <v>-7.6218950262330054E-2</v>
      </c>
      <c r="S1121" s="20"/>
      <c r="T1121" s="7"/>
      <c r="U1121" s="7"/>
      <c r="V1121" s="7"/>
      <c r="W1121" s="7"/>
      <c r="X1121" s="7"/>
      <c r="Y1121" s="7"/>
      <c r="Z1121" s="7"/>
      <c r="AA1121" s="7"/>
    </row>
    <row r="1122" spans="1:27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>
        <v>32120</v>
      </c>
      <c r="P1122" s="1">
        <f t="shared" si="55"/>
        <v>0.39984551072120667</v>
      </c>
      <c r="Q1122" s="25">
        <f t="shared" si="56"/>
        <v>0.29259414804982953</v>
      </c>
      <c r="R1122" s="24">
        <f t="shared" si="57"/>
        <v>-7.6152534056461718E-2</v>
      </c>
      <c r="S1122" s="20"/>
      <c r="T1122" s="7"/>
      <c r="U1122" s="7"/>
      <c r="V1122" s="7"/>
      <c r="W1122" s="7"/>
      <c r="X1122" s="7"/>
      <c r="Y1122" s="7"/>
      <c r="Z1122" s="7"/>
      <c r="AA1122" s="7"/>
    </row>
    <row r="1123" spans="1:27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>
        <v>32121</v>
      </c>
      <c r="P1123" s="1">
        <f t="shared" si="55"/>
        <v>0.40013828873634338</v>
      </c>
      <c r="Q1123" s="25">
        <f t="shared" si="56"/>
        <v>0.29251807063701563</v>
      </c>
      <c r="R1123" s="24">
        <f t="shared" si="57"/>
        <v>-7.6085920674984209E-2</v>
      </c>
      <c r="S1123" s="20"/>
      <c r="T1123" s="7"/>
      <c r="U1123" s="7"/>
      <c r="V1123" s="7"/>
      <c r="W1123" s="7"/>
      <c r="X1123" s="7"/>
      <c r="Y1123" s="7"/>
      <c r="Z1123" s="7"/>
      <c r="AA1123" s="7"/>
    </row>
    <row r="1124" spans="1:27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>
        <v>32122</v>
      </c>
      <c r="P1124" s="1">
        <f t="shared" si="55"/>
        <v>0.40043118596076965</v>
      </c>
      <c r="Q1124" s="25">
        <f t="shared" si="56"/>
        <v>0.29244202232803218</v>
      </c>
      <c r="R1124" s="24">
        <f t="shared" si="57"/>
        <v>-7.6019147421391153E-2</v>
      </c>
      <c r="S1124" s="20"/>
      <c r="T1124" s="7"/>
      <c r="U1124" s="7"/>
      <c r="V1124" s="7"/>
      <c r="W1124" s="7"/>
      <c r="X1124" s="7"/>
      <c r="Y1124" s="7"/>
      <c r="Z1124" s="7"/>
      <c r="AA1124" s="7"/>
    </row>
    <row r="1125" spans="1:27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>
        <v>32123</v>
      </c>
      <c r="P1125" s="1">
        <f t="shared" si="55"/>
        <v>0.40072301030158997</v>
      </c>
      <c r="Q1125" s="25">
        <f t="shared" si="56"/>
        <v>0.29236603222670965</v>
      </c>
      <c r="R1125" s="24">
        <f t="shared" si="57"/>
        <v>-7.5952239164678303E-2</v>
      </c>
      <c r="S1125" s="20"/>
      <c r="T1125" s="7"/>
      <c r="U1125" s="7"/>
      <c r="V1125" s="7"/>
      <c r="W1125" s="7"/>
      <c r="X1125" s="7"/>
      <c r="Y1125" s="7"/>
      <c r="Z1125" s="7"/>
      <c r="AA1125" s="7"/>
    </row>
    <row r="1126" spans="1:27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>
        <v>32124</v>
      </c>
      <c r="P1126" s="1">
        <f t="shared" si="55"/>
        <v>0.40101531147956848</v>
      </c>
      <c r="Q1126" s="25">
        <f t="shared" si="56"/>
        <v>0.29229012943687849</v>
      </c>
      <c r="R1126" s="24">
        <f t="shared" si="57"/>
        <v>-7.5885227879268768E-2</v>
      </c>
      <c r="S1126" s="20"/>
      <c r="T1126" s="7"/>
      <c r="U1126" s="7"/>
      <c r="V1126" s="7"/>
      <c r="W1126" s="7"/>
      <c r="X1126" s="7"/>
      <c r="Y1126" s="7"/>
      <c r="Z1126" s="7"/>
      <c r="AA1126" s="7"/>
    </row>
    <row r="1127" spans="1:27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>
        <v>32125</v>
      </c>
      <c r="P1127" s="1">
        <f t="shared" si="55"/>
        <v>0.40130820870399475</v>
      </c>
      <c r="Q1127" s="25">
        <f t="shared" si="56"/>
        <v>0.29221422664704733</v>
      </c>
      <c r="R1127" s="24">
        <f t="shared" si="57"/>
        <v>-7.5818134881444621E-2</v>
      </c>
      <c r="S1127" s="20"/>
      <c r="T1127" s="7"/>
      <c r="U1127" s="7"/>
      <c r="V1127" s="7"/>
      <c r="W1127" s="7"/>
      <c r="X1127" s="7"/>
      <c r="Y1127" s="7"/>
      <c r="Z1127" s="7"/>
      <c r="AA1127" s="7"/>
    </row>
    <row r="1128" spans="1:27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>
        <v>32126</v>
      </c>
      <c r="P1128" s="1">
        <f t="shared" si="55"/>
        <v>0.40160074830055237</v>
      </c>
      <c r="Q1128" s="25">
        <f t="shared" si="56"/>
        <v>0.2921384984801989</v>
      </c>
      <c r="R1128" s="24">
        <f t="shared" si="57"/>
        <v>-7.5751001027413167E-2</v>
      </c>
      <c r="S1128" s="20"/>
      <c r="T1128" s="7"/>
      <c r="U1128" s="7"/>
      <c r="V1128" s="7"/>
      <c r="W1128" s="7"/>
      <c r="X1128" s="7"/>
      <c r="Y1128" s="7"/>
      <c r="Z1128" s="7"/>
      <c r="AA1128" s="7"/>
    </row>
    <row r="1129" spans="1:27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>
        <v>32127</v>
      </c>
      <c r="P1129" s="1">
        <f t="shared" si="55"/>
        <v>0.40189257264137268</v>
      </c>
      <c r="Q1129" s="25">
        <f t="shared" si="56"/>
        <v>0.29206274120952003</v>
      </c>
      <c r="R1129" s="24">
        <f t="shared" si="57"/>
        <v>-7.568384940981332E-2</v>
      </c>
      <c r="S1129" s="20"/>
      <c r="T1129" s="7"/>
      <c r="U1129" s="7"/>
      <c r="V1129" s="7"/>
      <c r="W1129" s="7"/>
      <c r="X1129" s="7"/>
      <c r="Y1129" s="7"/>
      <c r="Z1129" s="7"/>
      <c r="AA1129" s="7"/>
    </row>
    <row r="1130" spans="1:27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>
        <v>32128</v>
      </c>
      <c r="P1130" s="1">
        <f t="shared" si="55"/>
        <v>0.40218380093574524</v>
      </c>
      <c r="Q1130" s="25">
        <f t="shared" si="56"/>
        <v>0.29198710035416298</v>
      </c>
      <c r="R1130" s="24">
        <f t="shared" si="57"/>
        <v>-7.5616717332138705E-2</v>
      </c>
      <c r="S1130" s="20"/>
      <c r="T1130" s="7"/>
      <c r="U1130" s="7"/>
      <c r="V1130" s="7"/>
      <c r="W1130" s="7"/>
      <c r="X1130" s="7"/>
      <c r="Y1130" s="7"/>
      <c r="Z1130" s="7"/>
      <c r="AA1130" s="7"/>
    </row>
    <row r="1131" spans="1:27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>
        <v>32129</v>
      </c>
      <c r="P1131" s="1">
        <f t="shared" si="55"/>
        <v>0.40247657895088196</v>
      </c>
      <c r="Q1131" s="25">
        <f t="shared" si="56"/>
        <v>0.29191151770646684</v>
      </c>
      <c r="R1131" s="24">
        <f t="shared" si="57"/>
        <v>-7.5549624334314558E-2</v>
      </c>
      <c r="S1131" s="20"/>
      <c r="T1131" s="7"/>
      <c r="U1131" s="7"/>
      <c r="V1131" s="7"/>
      <c r="W1131" s="7"/>
      <c r="X1131" s="7"/>
      <c r="Y1131" s="7"/>
      <c r="Z1131" s="7"/>
      <c r="AA1131" s="7"/>
    </row>
    <row r="1132" spans="1:27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>
        <v>32130</v>
      </c>
      <c r="P1132" s="1">
        <f t="shared" si="55"/>
        <v>0.40276840329170227</v>
      </c>
      <c r="Q1132" s="25">
        <f t="shared" si="56"/>
        <v>0.29183602237026207</v>
      </c>
      <c r="R1132" s="24">
        <f t="shared" si="57"/>
        <v>-7.5482611272548183E-2</v>
      </c>
      <c r="S1132" s="20"/>
      <c r="T1132" s="7"/>
      <c r="U1132" s="7"/>
      <c r="V1132" s="7"/>
      <c r="W1132" s="7"/>
      <c r="X1132" s="7"/>
      <c r="Y1132" s="7"/>
      <c r="Z1132" s="7"/>
      <c r="AA1132" s="7"/>
    </row>
    <row r="1133" spans="1:27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>
        <v>32131</v>
      </c>
      <c r="P1133" s="1">
        <f t="shared" si="55"/>
        <v>0.40306010842323303</v>
      </c>
      <c r="Q1133" s="25">
        <f t="shared" si="56"/>
        <v>0.29176055613788776</v>
      </c>
      <c r="R1133" s="24">
        <f t="shared" si="57"/>
        <v>-7.5415699463121655E-2</v>
      </c>
      <c r="S1133" s="20"/>
      <c r="T1133" s="7"/>
      <c r="U1133" s="7"/>
      <c r="V1133" s="7"/>
      <c r="W1133" s="7"/>
      <c r="X1133" s="7"/>
      <c r="Y1133" s="7"/>
      <c r="Z1133" s="7"/>
      <c r="AA1133" s="7"/>
    </row>
    <row r="1134" spans="1:27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>
        <v>32132</v>
      </c>
      <c r="P1134" s="1">
        <f t="shared" si="55"/>
        <v>0.40335145592689514</v>
      </c>
      <c r="Q1134" s="25">
        <f t="shared" si="56"/>
        <v>0.29168520632083528</v>
      </c>
      <c r="R1134" s="24">
        <f t="shared" si="57"/>
        <v>-7.5348926209528599E-2</v>
      </c>
      <c r="S1134" s="20"/>
      <c r="T1134" s="7"/>
      <c r="U1134" s="7"/>
      <c r="V1134" s="7"/>
      <c r="W1134" s="7"/>
      <c r="X1134" s="7"/>
      <c r="Y1134" s="7"/>
      <c r="Z1134" s="7"/>
      <c r="AA1134" s="7"/>
    </row>
    <row r="1135" spans="1:27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>
        <v>32133</v>
      </c>
      <c r="P1135" s="1">
        <f t="shared" si="55"/>
        <v>0.40364280343055725</v>
      </c>
      <c r="Q1135" s="25">
        <f t="shared" si="56"/>
        <v>0.29160985650378279</v>
      </c>
      <c r="R1135" s="24">
        <f t="shared" si="57"/>
        <v>-7.5282318157121608E-2</v>
      </c>
      <c r="S1135" s="20"/>
      <c r="T1135" s="7"/>
      <c r="U1135" s="7"/>
      <c r="V1135" s="7"/>
      <c r="W1135" s="7"/>
      <c r="X1135" s="7"/>
      <c r="Y1135" s="7"/>
      <c r="Z1135" s="7"/>
      <c r="AA1135" s="7"/>
    </row>
    <row r="1136" spans="1:27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>
        <v>32134</v>
      </c>
      <c r="P1136" s="1">
        <f t="shared" si="55"/>
        <v>0.40393427014350891</v>
      </c>
      <c r="Q1136" s="25">
        <f t="shared" si="56"/>
        <v>0.29153456489439122</v>
      </c>
      <c r="R1136" s="24">
        <f t="shared" si="57"/>
        <v>-7.521590728032379E-2</v>
      </c>
      <c r="S1136" s="20"/>
      <c r="T1136" s="7"/>
      <c r="U1136" s="7"/>
      <c r="V1136" s="7"/>
      <c r="W1136" s="7"/>
      <c r="X1136" s="7"/>
      <c r="Y1136" s="7"/>
      <c r="Z1136" s="7"/>
      <c r="AA1136" s="7"/>
    </row>
    <row r="1137" spans="1:27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>
        <v>32135</v>
      </c>
      <c r="P1137" s="1">
        <f t="shared" si="55"/>
        <v>0.40422633290290833</v>
      </c>
      <c r="Q1137" s="25">
        <f t="shared" si="56"/>
        <v>0.29145941880415194</v>
      </c>
      <c r="R1137" s="24">
        <f t="shared" si="57"/>
        <v>-7.5149720224487737E-2</v>
      </c>
      <c r="S1137" s="20"/>
      <c r="T1137" s="7"/>
      <c r="U1137" s="7"/>
      <c r="V1137" s="7"/>
      <c r="W1137" s="7"/>
      <c r="X1137" s="7"/>
      <c r="Y1137" s="7"/>
      <c r="Z1137" s="7"/>
      <c r="AA1137" s="7"/>
    </row>
    <row r="1138" spans="1:27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>
        <v>32136</v>
      </c>
      <c r="P1138" s="1">
        <f t="shared" si="55"/>
        <v>0.40451768040657043</v>
      </c>
      <c r="Q1138" s="25">
        <f t="shared" si="56"/>
        <v>0.29138430181774311</v>
      </c>
      <c r="R1138" s="24">
        <f t="shared" si="57"/>
        <v>-7.5083796069463915E-2</v>
      </c>
      <c r="S1138" s="20"/>
      <c r="T1138" s="7"/>
      <c r="U1138" s="7"/>
      <c r="V1138" s="7"/>
      <c r="W1138" s="7"/>
      <c r="X1138" s="7"/>
      <c r="Y1138" s="7"/>
      <c r="Z1138" s="7"/>
      <c r="AA1138" s="7"/>
    </row>
    <row r="1139" spans="1:27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>
        <v>32137</v>
      </c>
      <c r="P1139" s="1">
        <f t="shared" si="55"/>
        <v>0.40480890870094299</v>
      </c>
      <c r="Q1139" s="25">
        <f t="shared" si="56"/>
        <v>0.29130924303899519</v>
      </c>
      <c r="R1139" s="24">
        <f t="shared" si="57"/>
        <v>-7.5018161460604915E-2</v>
      </c>
      <c r="S1139" s="20"/>
      <c r="T1139" s="7"/>
      <c r="U1139" s="7"/>
      <c r="V1139" s="7"/>
      <c r="W1139" s="7"/>
      <c r="X1139" s="7"/>
      <c r="Y1139" s="7"/>
      <c r="Z1139" s="7"/>
      <c r="AA1139" s="7"/>
    </row>
    <row r="1140" spans="1:27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>
        <v>32138</v>
      </c>
      <c r="P1140" s="1">
        <f t="shared" si="55"/>
        <v>0.4051004946231842</v>
      </c>
      <c r="Q1140" s="25">
        <f t="shared" si="56"/>
        <v>0.2912343006755691</v>
      </c>
      <c r="R1140" s="24">
        <f t="shared" si="57"/>
        <v>-7.4952841266906489E-2</v>
      </c>
      <c r="S1140" s="20"/>
      <c r="T1140" s="7"/>
      <c r="U1140" s="7"/>
      <c r="V1140" s="7"/>
      <c r="W1140" s="7"/>
      <c r="X1140" s="7"/>
      <c r="Y1140" s="7"/>
      <c r="Z1140" s="7"/>
      <c r="AA1140" s="7"/>
    </row>
    <row r="1141" spans="1:27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>
        <v>32139</v>
      </c>
      <c r="P1141" s="1">
        <f t="shared" si="55"/>
        <v>0.40539160370826721</v>
      </c>
      <c r="Q1141" s="25">
        <f t="shared" si="56"/>
        <v>0.29115938741597347</v>
      </c>
      <c r="R1141" s="24">
        <f t="shared" si="57"/>
        <v>-7.4887878120932783E-2</v>
      </c>
      <c r="S1141" s="20"/>
      <c r="T1141" s="7"/>
      <c r="U1141" s="7"/>
      <c r="V1141" s="7"/>
      <c r="W1141" s="7"/>
      <c r="X1141" s="7"/>
      <c r="Y1141" s="7"/>
      <c r="Z1141" s="7"/>
      <c r="AA1141" s="7"/>
    </row>
    <row r="1142" spans="1:27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>
        <v>32140</v>
      </c>
      <c r="P1142" s="1">
        <f t="shared" si="55"/>
        <v>0.40568259358406067</v>
      </c>
      <c r="Q1142" s="25">
        <f t="shared" si="56"/>
        <v>0.29108450326020829</v>
      </c>
      <c r="R1142" s="24">
        <f t="shared" si="57"/>
        <v>-7.4823300444393226E-2</v>
      </c>
      <c r="S1142" s="20"/>
      <c r="T1142" s="7"/>
      <c r="U1142" s="7"/>
      <c r="V1142" s="7"/>
      <c r="W1142" s="7"/>
      <c r="X1142" s="7"/>
      <c r="Y1142" s="7"/>
      <c r="Z1142" s="7"/>
      <c r="AA1142" s="7"/>
    </row>
    <row r="1143" spans="1:27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>
        <v>32141</v>
      </c>
      <c r="P1143" s="1">
        <f t="shared" si="55"/>
        <v>0.40597370266914368</v>
      </c>
      <c r="Q1143" s="25">
        <f t="shared" si="56"/>
        <v>0.29100967731210403</v>
      </c>
      <c r="R1143" s="24">
        <f t="shared" si="57"/>
        <v>-7.4759131329926731E-2</v>
      </c>
      <c r="S1143" s="20"/>
      <c r="T1143" s="7"/>
      <c r="U1143" s="7"/>
      <c r="V1143" s="7"/>
      <c r="W1143" s="7"/>
      <c r="X1143" s="7"/>
      <c r="Y1143" s="7"/>
      <c r="Z1143" s="7"/>
      <c r="AA1143" s="7"/>
    </row>
    <row r="1144" spans="1:27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>
        <v>32142</v>
      </c>
      <c r="P1144" s="1">
        <f t="shared" si="55"/>
        <v>0.40626457333564758</v>
      </c>
      <c r="Q1144" s="25">
        <f t="shared" si="56"/>
        <v>0.2909349677793216</v>
      </c>
      <c r="R1144" s="24">
        <f t="shared" si="57"/>
        <v>-7.4695413410097444E-2</v>
      </c>
      <c r="S1144" s="20"/>
      <c r="T1144" s="7"/>
      <c r="U1144" s="7"/>
      <c r="V1144" s="7"/>
      <c r="W1144" s="7"/>
      <c r="X1144" s="7"/>
      <c r="Y1144" s="7"/>
      <c r="Z1144" s="7"/>
      <c r="AA1144" s="7"/>
    </row>
    <row r="1145" spans="1:27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>
        <v>32143</v>
      </c>
      <c r="P1145" s="1">
        <f t="shared" si="55"/>
        <v>0.40655532479286194</v>
      </c>
      <c r="Q1145" s="25">
        <f t="shared" si="56"/>
        <v>0.29086031645420007</v>
      </c>
      <c r="R1145" s="24">
        <f t="shared" si="57"/>
        <v>-7.4632171553901117E-2</v>
      </c>
      <c r="S1145" s="20"/>
      <c r="T1145" s="7"/>
      <c r="U1145" s="7"/>
      <c r="V1145" s="7"/>
      <c r="W1145" s="7"/>
      <c r="X1145" s="7"/>
      <c r="Y1145" s="7"/>
      <c r="Z1145" s="7"/>
      <c r="AA1145" s="7"/>
    </row>
    <row r="1146" spans="1:27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>
        <v>32144</v>
      </c>
      <c r="P1146" s="1">
        <f t="shared" si="55"/>
        <v>0.40684691071510315</v>
      </c>
      <c r="Q1146" s="25">
        <f t="shared" si="56"/>
        <v>0.29078569423290901</v>
      </c>
      <c r="R1146" s="24">
        <f t="shared" si="57"/>
        <v>-7.4569437735760857E-2</v>
      </c>
      <c r="S1146" s="20"/>
      <c r="T1146" s="7"/>
      <c r="U1146" s="7"/>
      <c r="V1146" s="7"/>
      <c r="W1146" s="7"/>
      <c r="X1146" s="7"/>
      <c r="Y1146" s="7"/>
      <c r="Z1146" s="7"/>
      <c r="AA1146" s="7"/>
    </row>
    <row r="1147" spans="1:27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>
        <v>32145</v>
      </c>
      <c r="P1147" s="1">
        <f t="shared" si="55"/>
        <v>0.40713706612586975</v>
      </c>
      <c r="Q1147" s="25">
        <f t="shared" si="56"/>
        <v>0.29071121753077023</v>
      </c>
      <c r="R1147" s="24">
        <f t="shared" si="57"/>
        <v>-7.4507247482813455E-2</v>
      </c>
      <c r="S1147" s="20"/>
      <c r="T1147" s="7"/>
      <c r="U1147" s="7"/>
      <c r="V1147" s="7"/>
      <c r="W1147" s="7"/>
      <c r="X1147" s="7"/>
      <c r="Y1147" s="7"/>
      <c r="Z1147" s="7"/>
      <c r="AA1147" s="7"/>
    </row>
    <row r="1148" spans="1:27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>
        <v>32146</v>
      </c>
      <c r="P1148" s="1">
        <f t="shared" si="55"/>
        <v>0.407427579164505</v>
      </c>
      <c r="Q1148" s="25">
        <f t="shared" si="56"/>
        <v>0.29063668262097053</v>
      </c>
      <c r="R1148" s="24">
        <f t="shared" si="57"/>
        <v>-7.4445629216768339E-2</v>
      </c>
      <c r="S1148" s="20"/>
      <c r="T1148" s="7"/>
      <c r="U1148" s="7"/>
      <c r="V1148" s="7"/>
      <c r="W1148" s="7"/>
      <c r="X1148" s="7"/>
      <c r="Y1148" s="7"/>
      <c r="Z1148" s="7"/>
      <c r="AA1148" s="7"/>
    </row>
    <row r="1149" spans="1:27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>
        <v>32147</v>
      </c>
      <c r="P1149" s="1">
        <f t="shared" si="55"/>
        <v>0.40771821141242981</v>
      </c>
      <c r="Q1149" s="25">
        <f t="shared" si="56"/>
        <v>0.29056226412649266</v>
      </c>
      <c r="R1149" s="24">
        <f t="shared" si="57"/>
        <v>-7.4384614912048619E-2</v>
      </c>
      <c r="S1149" s="20"/>
      <c r="T1149" s="7"/>
      <c r="U1149" s="7"/>
      <c r="V1149" s="7"/>
      <c r="W1149" s="7"/>
      <c r="X1149" s="7"/>
      <c r="Y1149" s="7"/>
      <c r="Z1149" s="7"/>
      <c r="AA1149" s="7"/>
    </row>
    <row r="1150" spans="1:27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>
        <v>32148</v>
      </c>
      <c r="P1150" s="1">
        <f t="shared" si="55"/>
        <v>0.40800860524177551</v>
      </c>
      <c r="Q1150" s="25">
        <f t="shared" si="56"/>
        <v>0.29048793294350617</v>
      </c>
      <c r="R1150" s="24">
        <f t="shared" si="57"/>
        <v>-7.4324240095791083E-2</v>
      </c>
      <c r="S1150" s="20"/>
      <c r="T1150" s="7"/>
      <c r="U1150" s="7"/>
      <c r="V1150" s="7"/>
      <c r="W1150" s="7"/>
      <c r="X1150" s="7"/>
      <c r="Y1150" s="7"/>
      <c r="Z1150" s="7"/>
      <c r="AA1150" s="7"/>
    </row>
    <row r="1151" spans="1:27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>
        <v>32149</v>
      </c>
      <c r="P1151" s="1">
        <f t="shared" si="55"/>
        <v>0.40829911828041077</v>
      </c>
      <c r="Q1151" s="25">
        <f t="shared" si="56"/>
        <v>0.29041363086435013</v>
      </c>
      <c r="R1151" s="24">
        <f t="shared" si="57"/>
        <v>-7.4264536742418841E-2</v>
      </c>
      <c r="S1151" s="20"/>
      <c r="T1151" s="7"/>
      <c r="U1151" s="7"/>
      <c r="V1151" s="7"/>
      <c r="W1151" s="7"/>
      <c r="X1151" s="7"/>
      <c r="Y1151" s="7"/>
      <c r="Z1151" s="7"/>
      <c r="AA1151" s="7"/>
    </row>
    <row r="1152" spans="1:27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>
        <v>32150</v>
      </c>
      <c r="P1152" s="1">
        <f t="shared" si="55"/>
        <v>0.40858927369117737</v>
      </c>
      <c r="Q1152" s="25">
        <f t="shared" si="56"/>
        <v>0.29033935788902454</v>
      </c>
      <c r="R1152" s="24">
        <f t="shared" si="57"/>
        <v>-7.4205529720927643E-2</v>
      </c>
      <c r="S1152" s="20"/>
      <c r="T1152" s="7"/>
      <c r="U1152" s="7"/>
      <c r="V1152" s="7"/>
      <c r="W1152" s="7"/>
      <c r="X1152" s="7"/>
      <c r="Y1152" s="7"/>
      <c r="Z1152" s="7"/>
      <c r="AA1152" s="7"/>
    </row>
    <row r="1153" spans="1:27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>
        <v>32151</v>
      </c>
      <c r="P1153" s="1">
        <f t="shared" si="55"/>
        <v>0.40888014435768127</v>
      </c>
      <c r="Q1153" s="25">
        <f t="shared" si="56"/>
        <v>0.2902652595366817</v>
      </c>
      <c r="R1153" s="24">
        <f t="shared" si="57"/>
        <v>-7.4147261663881636E-2</v>
      </c>
      <c r="S1153" s="20"/>
      <c r="T1153" s="7"/>
      <c r="U1153" s="7"/>
      <c r="V1153" s="7"/>
      <c r="W1153" s="7"/>
      <c r="X1153" s="7"/>
      <c r="Y1153" s="7"/>
      <c r="Z1153" s="7"/>
      <c r="AA1153" s="7"/>
    </row>
    <row r="1154" spans="1:27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>
        <v>32152</v>
      </c>
      <c r="P1154" s="1">
        <f t="shared" si="55"/>
        <v>0.40917089581489563</v>
      </c>
      <c r="Q1154" s="25">
        <f t="shared" si="56"/>
        <v>0.2901911320805084</v>
      </c>
      <c r="R1154" s="24">
        <f t="shared" si="57"/>
        <v>-7.408976099299025E-2</v>
      </c>
      <c r="S1154" s="20"/>
      <c r="T1154" s="7"/>
      <c r="U1154" s="7"/>
      <c r="V1154" s="7"/>
      <c r="W1154" s="7"/>
      <c r="X1154" s="7"/>
      <c r="Y1154" s="7"/>
      <c r="Z1154" s="7"/>
      <c r="AA1154" s="7"/>
    </row>
    <row r="1155" spans="1:27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>
        <v>32153</v>
      </c>
      <c r="P1155" s="1">
        <f t="shared" si="55"/>
        <v>0.40946033596992493</v>
      </c>
      <c r="Q1155" s="25">
        <f t="shared" si="56"/>
        <v>0.29011706283199601</v>
      </c>
      <c r="R1155" s="24">
        <f t="shared" si="57"/>
        <v>-7.4033052577249236E-2</v>
      </c>
      <c r="S1155" s="20"/>
      <c r="T1155" s="7"/>
      <c r="U1155" s="7"/>
      <c r="V1155" s="7"/>
      <c r="W1155" s="7"/>
      <c r="X1155" s="7"/>
      <c r="Y1155" s="7"/>
      <c r="Z1155" s="7"/>
      <c r="AA1155" s="7"/>
    </row>
    <row r="1156" spans="1:27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>
        <v>32154</v>
      </c>
      <c r="P1156" s="1">
        <f t="shared" si="55"/>
        <v>0.40975049138069153</v>
      </c>
      <c r="Q1156" s="25">
        <f t="shared" si="56"/>
        <v>0.29004305179114453</v>
      </c>
      <c r="R1156" s="24">
        <f t="shared" si="57"/>
        <v>-7.397718260193642E-2</v>
      </c>
      <c r="S1156" s="20"/>
      <c r="T1156" s="7"/>
      <c r="U1156" s="7"/>
      <c r="V1156" s="7"/>
      <c r="W1156" s="7"/>
      <c r="X1156" s="7"/>
      <c r="Y1156" s="7"/>
      <c r="Z1156" s="7"/>
      <c r="AA1156" s="7"/>
    </row>
    <row r="1157" spans="1:27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>
        <v>32155</v>
      </c>
      <c r="P1157" s="1">
        <f t="shared" si="55"/>
        <v>0.41004005074501038</v>
      </c>
      <c r="Q1157" s="25">
        <f t="shared" si="56"/>
        <v>0.28996912806178443</v>
      </c>
      <c r="R1157" s="24">
        <f t="shared" si="57"/>
        <v>-7.3922175936047552E-2</v>
      </c>
      <c r="S1157" s="20"/>
      <c r="T1157" s="7"/>
      <c r="U1157" s="7"/>
      <c r="V1157" s="7"/>
      <c r="W1157" s="7"/>
      <c r="X1157" s="7"/>
      <c r="Y1157" s="7"/>
      <c r="Z1157" s="7"/>
      <c r="AA1157" s="7"/>
    </row>
    <row r="1158" spans="1:27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>
        <v>32156</v>
      </c>
      <c r="P1158" s="1">
        <f t="shared" si="55"/>
        <v>0.41033044457435608</v>
      </c>
      <c r="Q1158" s="25">
        <f t="shared" si="56"/>
        <v>0.28989514612476341</v>
      </c>
      <c r="R1158" s="24">
        <f t="shared" si="57"/>
        <v>-7.3868064554005741E-2</v>
      </c>
      <c r="S1158" s="20"/>
      <c r="T1158" s="7"/>
      <c r="U1158" s="7"/>
      <c r="V1158" s="7"/>
      <c r="W1158" s="7"/>
      <c r="X1158" s="7"/>
      <c r="Y1158" s="7"/>
      <c r="Z1158" s="7"/>
      <c r="AA1158" s="7"/>
    </row>
    <row r="1159" spans="1:27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>
        <v>32157</v>
      </c>
      <c r="P1159" s="1">
        <f t="shared" si="55"/>
        <v>0.41061988472938538</v>
      </c>
      <c r="Q1159" s="25">
        <f t="shared" si="56"/>
        <v>0.28982139701838605</v>
      </c>
      <c r="R1159" s="24">
        <f t="shared" si="57"/>
        <v>-7.3814891088375134E-2</v>
      </c>
      <c r="S1159" s="20"/>
      <c r="T1159" s="7"/>
      <c r="U1159" s="7"/>
      <c r="V1159" s="7"/>
      <c r="W1159" s="7"/>
      <c r="X1159" s="7"/>
      <c r="Y1159" s="7"/>
      <c r="Z1159" s="7"/>
      <c r="AA1159" s="7"/>
    </row>
    <row r="1160" spans="1:27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>
        <v>32158</v>
      </c>
      <c r="P1160" s="1">
        <f t="shared" si="55"/>
        <v>0.41091015934944153</v>
      </c>
      <c r="Q1160" s="25">
        <f t="shared" si="56"/>
        <v>0.28974758970434777</v>
      </c>
      <c r="R1160" s="24">
        <f t="shared" si="57"/>
        <v>-7.3762676855437803E-2</v>
      </c>
      <c r="S1160" s="20"/>
      <c r="T1160" s="7"/>
      <c r="U1160" s="7"/>
      <c r="V1160" s="7"/>
      <c r="W1160" s="7"/>
      <c r="X1160" s="7"/>
      <c r="Y1160" s="7"/>
      <c r="Z1160" s="7"/>
      <c r="AA1160" s="7"/>
    </row>
    <row r="1161" spans="1:27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>
        <v>32159</v>
      </c>
      <c r="P1161" s="1">
        <f t="shared" si="55"/>
        <v>0.41119959950447083</v>
      </c>
      <c r="Q1161" s="25">
        <f t="shared" si="56"/>
        <v>0.28967386970180087</v>
      </c>
      <c r="R1161" s="24">
        <f t="shared" si="57"/>
        <v>-7.3711464487757894E-2</v>
      </c>
      <c r="S1161" s="20"/>
      <c r="T1161" s="7"/>
      <c r="U1161" s="7"/>
      <c r="V1161" s="7"/>
      <c r="W1161" s="7"/>
      <c r="X1161" s="7"/>
      <c r="Y1161" s="7"/>
      <c r="Z1161" s="7"/>
      <c r="AA1161" s="7"/>
    </row>
    <row r="1162" spans="1:27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>
        <v>32160</v>
      </c>
      <c r="P1162" s="1">
        <f t="shared" ref="P1162:P1225" si="58" xml:space="preserve"> -1.4681315616E-19*$O1162^6 + 2.80493263066289E-14*$O1162^5 - 2.23271907955907E-09*$O1162^4 + 0.0000947783879077569*$O1162^3 - 2.26293121558813*$O1162^2 + 28813.4861268598*$O1162 - 152852350.445896</f>
        <v>0.41148951649665833</v>
      </c>
      <c r="Q1162" s="25">
        <f t="shared" ref="Q1162:Q1225" si="59" xml:space="preserve"> (6*-1.4681315616E-19*$O1162^5 + 5*2.80493263066289E-14*$O1162^4 - 4*2.23271907955907E-09*$O1162^3 + 3*0.0000947783879077569*$O1162^2 - 2*2.26293121558813*$O1162^1 + 28813.4861268598)*1000</f>
        <v>0.28960014969925396</v>
      </c>
      <c r="R1162" s="24">
        <f t="shared" ref="R1162:R1225" si="60" xml:space="preserve"> (5*6*-1.4681315616E-19*$O1162^4 + 4*5*2.80493263066289E-14*$O1162^3 - 3*4*2.23271907955907E-09*$O1162^2 + 2*3*0.0000947783879077569*$O1162^1 - 2*2.26293121558813)*1000*1000</f>
        <v>-7.3661282407044837E-2</v>
      </c>
      <c r="S1162" s="20"/>
      <c r="T1162" s="7"/>
      <c r="U1162" s="7"/>
      <c r="V1162" s="7"/>
      <c r="W1162" s="7"/>
      <c r="X1162" s="7"/>
      <c r="Y1162" s="7"/>
      <c r="Z1162" s="7"/>
      <c r="AA1162" s="7"/>
    </row>
    <row r="1163" spans="1:27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>
        <v>32161</v>
      </c>
      <c r="P1163" s="1">
        <f t="shared" si="58"/>
        <v>0.41177883744239807</v>
      </c>
      <c r="Q1163" s="25">
        <f t="shared" si="59"/>
        <v>0.28952654611202888</v>
      </c>
      <c r="R1163" s="24">
        <f t="shared" si="60"/>
        <v>-7.3612162587721741E-2</v>
      </c>
      <c r="S1163" s="20"/>
      <c r="T1163" s="7"/>
      <c r="U1163" s="7"/>
      <c r="V1163" s="7"/>
      <c r="W1163" s="7"/>
      <c r="X1163" s="7"/>
      <c r="Y1163" s="7"/>
      <c r="Z1163" s="7"/>
      <c r="AA1163" s="7"/>
    </row>
    <row r="1164" spans="1:27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>
        <v>32162</v>
      </c>
      <c r="P1164" s="1">
        <f t="shared" si="58"/>
        <v>0.41206875443458557</v>
      </c>
      <c r="Q1164" s="25">
        <f t="shared" si="59"/>
        <v>0.28945291342097335</v>
      </c>
      <c r="R1164" s="24">
        <f t="shared" si="60"/>
        <v>-7.3564147662352752E-2</v>
      </c>
      <c r="S1164" s="20"/>
      <c r="T1164" s="7"/>
      <c r="U1164" s="7"/>
      <c r="V1164" s="7"/>
      <c r="W1164" s="7"/>
      <c r="X1164" s="7"/>
      <c r="Y1164" s="7"/>
      <c r="Z1164" s="7"/>
      <c r="AA1164" s="7"/>
    </row>
    <row r="1165" spans="1:27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>
        <v>32163</v>
      </c>
      <c r="P1165" s="1">
        <f t="shared" si="58"/>
        <v>0.41235747933387756</v>
      </c>
      <c r="Q1165" s="25">
        <f t="shared" si="59"/>
        <v>0.28937942624907009</v>
      </c>
      <c r="R1165" s="24">
        <f t="shared" si="60"/>
        <v>-7.3517258947219943E-2</v>
      </c>
      <c r="S1165" s="20"/>
      <c r="T1165" s="7"/>
      <c r="U1165" s="7"/>
      <c r="V1165" s="7"/>
      <c r="W1165" s="7"/>
      <c r="X1165" s="7"/>
      <c r="Y1165" s="7"/>
      <c r="Z1165" s="7"/>
      <c r="AA1165" s="7"/>
    </row>
    <row r="1166" spans="1:27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>
        <v>32164</v>
      </c>
      <c r="P1166" s="1">
        <f t="shared" si="58"/>
        <v>0.41264751553535461</v>
      </c>
      <c r="Q1166" s="25">
        <f t="shared" si="59"/>
        <v>0.28930588086950593</v>
      </c>
      <c r="R1166" s="24">
        <f t="shared" si="60"/>
        <v>-7.347153907488746E-2</v>
      </c>
      <c r="S1166" s="20"/>
      <c r="T1166" s="7"/>
      <c r="U1166" s="7"/>
      <c r="V1166" s="7"/>
      <c r="W1166" s="7"/>
      <c r="X1166" s="7"/>
      <c r="Y1166" s="7"/>
      <c r="Z1166" s="7"/>
      <c r="AA1166" s="7"/>
    </row>
    <row r="1167" spans="1:27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>
        <v>32165</v>
      </c>
      <c r="P1167" s="1">
        <f t="shared" si="58"/>
        <v>0.41293647885322571</v>
      </c>
      <c r="Q1167" s="25">
        <f t="shared" si="59"/>
        <v>0.28923242280143313</v>
      </c>
      <c r="R1167" s="24">
        <f t="shared" si="60"/>
        <v>-7.3427012914351053E-2</v>
      </c>
      <c r="S1167" s="20"/>
      <c r="T1167" s="7"/>
      <c r="U1167" s="7"/>
      <c r="V1167" s="7"/>
      <c r="W1167" s="7"/>
      <c r="X1167" s="7"/>
      <c r="Y1167" s="7"/>
      <c r="Z1167" s="7"/>
      <c r="AA1167" s="7"/>
    </row>
    <row r="1168" spans="1:27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>
        <v>32166</v>
      </c>
      <c r="P1168" s="1">
        <f t="shared" si="58"/>
        <v>0.4132254421710968</v>
      </c>
      <c r="Q1168" s="25">
        <f t="shared" si="59"/>
        <v>0.28915908114868216</v>
      </c>
      <c r="R1168" s="24">
        <f t="shared" si="60"/>
        <v>-7.3383726650888548E-2</v>
      </c>
      <c r="S1168" s="20"/>
      <c r="T1168" s="7"/>
      <c r="U1168" s="7"/>
      <c r="V1168" s="7"/>
      <c r="W1168" s="7"/>
      <c r="X1168" s="7"/>
      <c r="Y1168" s="7"/>
      <c r="Z1168" s="7"/>
      <c r="AA1168" s="7"/>
    </row>
    <row r="1169" spans="1:27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>
        <v>32167</v>
      </c>
      <c r="P1169" s="1">
        <f t="shared" si="58"/>
        <v>0.41351428627967834</v>
      </c>
      <c r="Q1169" s="25">
        <f t="shared" si="59"/>
        <v>0.28908571039210074</v>
      </c>
      <c r="R1169" s="24">
        <f t="shared" si="60"/>
        <v>-7.3341710482566214E-2</v>
      </c>
      <c r="S1169" s="20"/>
      <c r="T1169" s="7"/>
      <c r="U1169" s="7"/>
      <c r="V1169" s="7"/>
      <c r="W1169" s="7"/>
      <c r="X1169" s="7"/>
      <c r="Y1169" s="7"/>
      <c r="Z1169" s="7"/>
      <c r="AA1169" s="7"/>
    </row>
    <row r="1170" spans="1:27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>
        <v>32168</v>
      </c>
      <c r="P1170" s="1">
        <f t="shared" si="58"/>
        <v>0.41380396485328674</v>
      </c>
      <c r="Q1170" s="25">
        <f t="shared" si="59"/>
        <v>0.28901236873934977</v>
      </c>
      <c r="R1170" s="24">
        <f t="shared" si="60"/>
        <v>-7.3300991054736642E-2</v>
      </c>
      <c r="S1170" s="20"/>
      <c r="T1170" s="7"/>
      <c r="U1170" s="7"/>
      <c r="V1170" s="7"/>
      <c r="W1170" s="7"/>
      <c r="X1170" s="7"/>
      <c r="Y1170" s="7"/>
      <c r="Z1170" s="7"/>
      <c r="AA1170" s="7"/>
    </row>
    <row r="1171" spans="1:27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>
        <v>32169</v>
      </c>
      <c r="P1171" s="1">
        <f t="shared" si="58"/>
        <v>0.41409268975257874</v>
      </c>
      <c r="Q1171" s="25">
        <f t="shared" si="59"/>
        <v>0.28893911439809017</v>
      </c>
      <c r="R1171" s="24">
        <f t="shared" si="60"/>
        <v>-7.3261612776320817E-2</v>
      </c>
      <c r="S1171" s="20"/>
      <c r="T1171" s="7"/>
      <c r="U1171" s="7"/>
      <c r="V1171" s="7"/>
      <c r="W1171" s="7"/>
      <c r="X1171" s="7"/>
      <c r="Y1171" s="7"/>
      <c r="Z1171" s="7"/>
      <c r="AA1171" s="7"/>
    </row>
    <row r="1172" spans="1:27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>
        <v>32170</v>
      </c>
      <c r="P1172" s="1">
        <f t="shared" si="58"/>
        <v>0.41438153386116028</v>
      </c>
      <c r="Q1172" s="25">
        <f t="shared" si="59"/>
        <v>0.28886580184916966</v>
      </c>
      <c r="R1172" s="24">
        <f t="shared" si="60"/>
        <v>-7.322360406902817E-2</v>
      </c>
      <c r="S1172" s="20"/>
      <c r="T1172" s="7"/>
      <c r="U1172" s="7"/>
      <c r="V1172" s="7"/>
      <c r="W1172" s="7"/>
      <c r="X1172" s="7"/>
      <c r="Y1172" s="7"/>
      <c r="Z1172" s="7"/>
      <c r="AA1172" s="7"/>
    </row>
    <row r="1173" spans="1:27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>
        <v>32171</v>
      </c>
      <c r="P1173" s="1">
        <f t="shared" si="58"/>
        <v>0.41467073559761047</v>
      </c>
      <c r="Q1173" s="25">
        <f t="shared" si="59"/>
        <v>0.28879263481940143</v>
      </c>
      <c r="R1173" s="24">
        <f t="shared" si="60"/>
        <v>-7.3186998683638649E-2</v>
      </c>
      <c r="S1173" s="20"/>
      <c r="T1173" s="7"/>
      <c r="U1173" s="7"/>
      <c r="V1173" s="7"/>
      <c r="W1173" s="7"/>
      <c r="X1173" s="7"/>
      <c r="Y1173" s="7"/>
      <c r="Z1173" s="7"/>
      <c r="AA1173" s="7"/>
    </row>
    <row r="1174" spans="1:27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>
        <v>32172</v>
      </c>
      <c r="P1174" s="1">
        <f t="shared" si="58"/>
        <v>0.41495946049690247</v>
      </c>
      <c r="Q1174" s="25">
        <f t="shared" si="59"/>
        <v>0.28871949689346366</v>
      </c>
      <c r="R1174" s="24">
        <f t="shared" si="60"/>
        <v>-7.315183747635956E-2</v>
      </c>
      <c r="S1174" s="20"/>
      <c r="T1174" s="7"/>
      <c r="U1174" s="7"/>
      <c r="V1174" s="7"/>
      <c r="W1174" s="7"/>
      <c r="X1174" s="7"/>
      <c r="Y1174" s="7"/>
      <c r="Z1174" s="7"/>
      <c r="AA1174" s="7"/>
    </row>
    <row r="1175" spans="1:27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>
        <v>32173</v>
      </c>
      <c r="P1175" s="1">
        <f t="shared" si="58"/>
        <v>0.41524782776832581</v>
      </c>
      <c r="Q1175" s="25">
        <f t="shared" si="59"/>
        <v>0.28864635896752588</v>
      </c>
      <c r="R1175" s="24">
        <f t="shared" si="60"/>
        <v>-7.3118147092543495E-2</v>
      </c>
      <c r="S1175" s="20"/>
      <c r="T1175" s="7"/>
      <c r="U1175" s="7"/>
      <c r="V1175" s="7"/>
      <c r="W1175" s="7"/>
      <c r="X1175" s="7"/>
      <c r="Y1175" s="7"/>
      <c r="Z1175" s="7"/>
      <c r="AA1175" s="7"/>
    </row>
    <row r="1176" spans="1:27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>
        <v>32174</v>
      </c>
      <c r="P1176" s="1">
        <f t="shared" si="58"/>
        <v>0.4155365526676178</v>
      </c>
      <c r="Q1176" s="25">
        <f t="shared" si="59"/>
        <v>0.28857322104158811</v>
      </c>
      <c r="R1176" s="24">
        <f t="shared" si="60"/>
        <v>-7.308596661204092E-2</v>
      </c>
      <c r="S1176" s="20"/>
      <c r="T1176" s="7"/>
      <c r="U1176" s="7"/>
      <c r="V1176" s="7"/>
      <c r="W1176" s="7"/>
      <c r="X1176" s="7"/>
      <c r="Y1176" s="7"/>
      <c r="Z1176" s="7"/>
      <c r="AA1176" s="7"/>
    </row>
    <row r="1177" spans="1:27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>
        <v>32175</v>
      </c>
      <c r="P1177" s="1">
        <f t="shared" si="58"/>
        <v>0.41582575440406799</v>
      </c>
      <c r="Q1177" s="25">
        <f t="shared" si="59"/>
        <v>0.28850022863480262</v>
      </c>
      <c r="R1177" s="24">
        <f t="shared" si="60"/>
        <v>-7.3055336891059142E-2</v>
      </c>
      <c r="S1177" s="20"/>
      <c r="T1177" s="7"/>
      <c r="U1177" s="7"/>
      <c r="V1177" s="7"/>
      <c r="W1177" s="7"/>
      <c r="X1177" s="7"/>
      <c r="Y1177" s="7"/>
      <c r="Z1177" s="7"/>
      <c r="AA1177" s="7"/>
    </row>
    <row r="1178" spans="1:27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>
        <v>32176</v>
      </c>
      <c r="P1178" s="1">
        <f t="shared" si="58"/>
        <v>0.41611364483833313</v>
      </c>
      <c r="Q1178" s="25">
        <f t="shared" si="59"/>
        <v>0.28842714891652577</v>
      </c>
      <c r="R1178" s="24">
        <f t="shared" si="60"/>
        <v>-7.3026282798593911E-2</v>
      </c>
      <c r="S1178" s="20"/>
      <c r="T1178" s="7"/>
      <c r="U1178" s="7"/>
      <c r="V1178" s="7"/>
      <c r="W1178" s="7"/>
      <c r="X1178" s="7"/>
      <c r="Y1178" s="7"/>
      <c r="Z1178" s="7"/>
      <c r="AA1178" s="7"/>
    </row>
    <row r="1179" spans="1:27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>
        <v>32177</v>
      </c>
      <c r="P1179" s="1">
        <f t="shared" si="58"/>
        <v>0.41640165448188782</v>
      </c>
      <c r="Q1179" s="25">
        <f t="shared" si="59"/>
        <v>0.28835409830207936</v>
      </c>
      <c r="R1179" s="24">
        <f t="shared" si="60"/>
        <v>-7.2998846967209374E-2</v>
      </c>
      <c r="S1179" s="20"/>
      <c r="T1179" s="7"/>
      <c r="U1179" s="7"/>
      <c r="V1179" s="7"/>
      <c r="W1179" s="7"/>
      <c r="X1179" s="7"/>
      <c r="Y1179" s="7"/>
      <c r="Z1179" s="7"/>
      <c r="AA1179" s="7"/>
    </row>
    <row r="1180" spans="1:27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>
        <v>32178</v>
      </c>
      <c r="P1180" s="1">
        <f t="shared" si="58"/>
        <v>0.41669061779975891</v>
      </c>
      <c r="Q1180" s="25">
        <f t="shared" si="59"/>
        <v>0.28828110589529388</v>
      </c>
      <c r="R1180" s="24">
        <f t="shared" si="60"/>
        <v>-7.297306137132864E-2</v>
      </c>
      <c r="S1180" s="20"/>
      <c r="T1180" s="7"/>
      <c r="U1180" s="7"/>
      <c r="V1180" s="7"/>
      <c r="W1180" s="7"/>
      <c r="X1180" s="7"/>
      <c r="Y1180" s="7"/>
      <c r="Z1180" s="7"/>
      <c r="AA1180" s="7"/>
    </row>
    <row r="1181" spans="1:27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>
        <v>32179</v>
      </c>
      <c r="P1181" s="1">
        <f t="shared" si="58"/>
        <v>0.41697898507118225</v>
      </c>
      <c r="Q1181" s="25">
        <f t="shared" si="59"/>
        <v>0.2882081716961693</v>
      </c>
      <c r="R1181" s="24">
        <f t="shared" si="60"/>
        <v>-7.2948959761731658E-2</v>
      </c>
      <c r="S1181" s="20"/>
      <c r="T1181" s="7"/>
      <c r="U1181" s="7"/>
      <c r="V1181" s="7"/>
      <c r="W1181" s="7"/>
      <c r="X1181" s="7"/>
      <c r="Y1181" s="7"/>
      <c r="Z1181" s="7"/>
      <c r="AA1181" s="7"/>
    </row>
    <row r="1182" spans="1:27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>
        <v>32180</v>
      </c>
      <c r="P1182" s="1">
        <f t="shared" si="58"/>
        <v>0.41726699471473694</v>
      </c>
      <c r="Q1182" s="25">
        <f t="shared" si="59"/>
        <v>0.28813520839321427</v>
      </c>
      <c r="R1182" s="24">
        <f t="shared" si="60"/>
        <v>-7.2926584770982572E-2</v>
      </c>
      <c r="S1182" s="20"/>
      <c r="T1182" s="7"/>
      <c r="U1182" s="7"/>
      <c r="V1182" s="7"/>
      <c r="W1182" s="7"/>
      <c r="X1182" s="7"/>
      <c r="Y1182" s="7"/>
      <c r="Z1182" s="7"/>
      <c r="AA1182" s="7"/>
    </row>
    <row r="1183" spans="1:27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>
        <v>32181</v>
      </c>
      <c r="P1183" s="1">
        <f t="shared" si="58"/>
        <v>0.41755524277687073</v>
      </c>
      <c r="Q1183" s="25">
        <f t="shared" si="59"/>
        <v>0.2880622741940897</v>
      </c>
      <c r="R1183" s="24">
        <f t="shared" si="60"/>
        <v>-7.2905959491720296E-2</v>
      </c>
      <c r="S1183" s="20"/>
      <c r="T1183" s="7"/>
      <c r="U1183" s="7"/>
      <c r="V1183" s="7"/>
      <c r="W1183" s="7"/>
      <c r="X1183" s="7"/>
      <c r="Y1183" s="7"/>
      <c r="Z1183" s="7"/>
      <c r="AA1183" s="7"/>
    </row>
    <row r="1184" spans="1:27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>
        <v>32182</v>
      </c>
      <c r="P1184" s="1">
        <f t="shared" si="58"/>
        <v>0.41784289479255676</v>
      </c>
      <c r="Q1184" s="25">
        <f t="shared" si="59"/>
        <v>0.28798936909879558</v>
      </c>
      <c r="R1184" s="24">
        <f t="shared" si="60"/>
        <v>-7.2887131885579493E-2</v>
      </c>
      <c r="S1184" s="20"/>
      <c r="T1184" s="7"/>
      <c r="U1184" s="7"/>
      <c r="V1184" s="7"/>
      <c r="W1184" s="7"/>
      <c r="X1184" s="7"/>
      <c r="Y1184" s="7"/>
      <c r="Z1184" s="7"/>
      <c r="AA1184" s="7"/>
    </row>
    <row r="1185" spans="1:27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>
        <v>32183</v>
      </c>
      <c r="P1185" s="1">
        <f t="shared" si="58"/>
        <v>0.41813042759895325</v>
      </c>
      <c r="Q1185" s="25">
        <f t="shared" si="59"/>
        <v>0.28791649310733192</v>
      </c>
      <c r="R1185" s="24">
        <f t="shared" si="60"/>
        <v>-7.2870135703340111E-2</v>
      </c>
      <c r="S1185" s="20"/>
      <c r="T1185" s="7"/>
      <c r="U1185" s="7"/>
      <c r="V1185" s="7"/>
      <c r="W1185" s="7"/>
      <c r="X1185" s="7"/>
      <c r="Y1185" s="7"/>
      <c r="Z1185" s="7"/>
      <c r="AA1185" s="7"/>
    </row>
    <row r="1186" spans="1:27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>
        <v>32184</v>
      </c>
      <c r="P1186" s="1">
        <f t="shared" si="58"/>
        <v>0.41841843724250793</v>
      </c>
      <c r="Q1186" s="25">
        <f t="shared" si="59"/>
        <v>0.28784367532352917</v>
      </c>
      <c r="R1186" s="24">
        <f t="shared" si="60"/>
        <v>-7.2855001143068421E-2</v>
      </c>
      <c r="S1186" s="20"/>
      <c r="T1186" s="7"/>
      <c r="U1186" s="7"/>
      <c r="V1186" s="7"/>
      <c r="W1186" s="7"/>
      <c r="X1186" s="7"/>
      <c r="Y1186" s="7"/>
      <c r="Z1186" s="7"/>
      <c r="AA1186" s="7"/>
    </row>
    <row r="1187" spans="1:27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>
        <v>32185</v>
      </c>
      <c r="P1187" s="1">
        <f t="shared" si="58"/>
        <v>0.41870632767677307</v>
      </c>
      <c r="Q1187" s="25">
        <f t="shared" si="59"/>
        <v>0.28777085753972642</v>
      </c>
      <c r="R1187" s="24">
        <f t="shared" si="60"/>
        <v>-7.284176550825805E-2</v>
      </c>
      <c r="S1187" s="20"/>
      <c r="T1187" s="7"/>
      <c r="U1187" s="7"/>
      <c r="V1187" s="7"/>
      <c r="W1187" s="7"/>
      <c r="X1187" s="7"/>
      <c r="Y1187" s="7"/>
      <c r="Z1187" s="7"/>
      <c r="AA1187" s="7"/>
    </row>
    <row r="1188" spans="1:27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>
        <v>32186</v>
      </c>
      <c r="P1188" s="1">
        <f t="shared" si="58"/>
        <v>0.41899433732032776</v>
      </c>
      <c r="Q1188" s="25">
        <f t="shared" si="59"/>
        <v>0.28769798154826276</v>
      </c>
      <c r="R1188" s="24">
        <f t="shared" si="60"/>
        <v>-7.2830466102402625E-2</v>
      </c>
      <c r="S1188" s="20"/>
      <c r="T1188" s="7"/>
      <c r="U1188" s="7"/>
      <c r="V1188" s="7"/>
      <c r="W1188" s="7"/>
      <c r="X1188" s="7"/>
      <c r="Y1188" s="7"/>
      <c r="Z1188" s="7"/>
      <c r="AA1188" s="7"/>
    </row>
    <row r="1189" spans="1:27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>
        <v>32187</v>
      </c>
      <c r="P1189" s="1">
        <f t="shared" si="58"/>
        <v>0.41928187012672424</v>
      </c>
      <c r="Q1189" s="25">
        <f t="shared" si="59"/>
        <v>0.28762516376446001</v>
      </c>
      <c r="R1189" s="24">
        <f t="shared" si="60"/>
        <v>-7.2821143781709452E-2</v>
      </c>
      <c r="S1189" s="20"/>
      <c r="T1189" s="7"/>
      <c r="U1189" s="7"/>
      <c r="V1189" s="7"/>
      <c r="W1189" s="7"/>
      <c r="X1189" s="7"/>
      <c r="Y1189" s="7"/>
      <c r="Z1189" s="7"/>
      <c r="AA1189" s="7"/>
    </row>
    <row r="1190" spans="1:27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>
        <v>32188</v>
      </c>
      <c r="P1190" s="1">
        <f t="shared" si="58"/>
        <v>0.41956928372383118</v>
      </c>
      <c r="Q1190" s="25">
        <f t="shared" si="59"/>
        <v>0.28755234598065726</v>
      </c>
      <c r="R1190" s="24">
        <f t="shared" si="60"/>
        <v>-7.2813832296958481E-2</v>
      </c>
      <c r="S1190" s="20"/>
      <c r="T1190" s="7"/>
      <c r="U1190" s="7"/>
      <c r="V1190" s="7"/>
      <c r="W1190" s="7"/>
      <c r="X1190" s="7"/>
      <c r="Y1190" s="7"/>
      <c r="Z1190" s="7"/>
      <c r="AA1190" s="7"/>
    </row>
    <row r="1191" spans="1:27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>
        <v>32189</v>
      </c>
      <c r="P1191" s="1">
        <f t="shared" si="58"/>
        <v>0.41985681653022766</v>
      </c>
      <c r="Q1191" s="25">
        <f t="shared" si="59"/>
        <v>0.28747952819685452</v>
      </c>
      <c r="R1191" s="24">
        <f t="shared" si="60"/>
        <v>-7.2808563622572819E-2</v>
      </c>
      <c r="S1191" s="20"/>
      <c r="T1191" s="7"/>
      <c r="U1191" s="7"/>
      <c r="V1191" s="7"/>
      <c r="W1191" s="7"/>
      <c r="X1191" s="7"/>
      <c r="Y1191" s="7"/>
      <c r="Z1191" s="7"/>
      <c r="AA1191" s="7"/>
    </row>
    <row r="1192" spans="1:27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>
        <v>32190</v>
      </c>
      <c r="P1192" s="1">
        <f t="shared" si="58"/>
        <v>0.42014434933662415</v>
      </c>
      <c r="Q1192" s="25">
        <f t="shared" si="59"/>
        <v>0.28740668130922131</v>
      </c>
      <c r="R1192" s="24">
        <f t="shared" si="60"/>
        <v>-7.2805382167473454E-2</v>
      </c>
      <c r="S1192" s="20"/>
      <c r="T1192" s="7"/>
      <c r="U1192" s="7"/>
      <c r="V1192" s="7"/>
      <c r="W1192" s="7"/>
      <c r="X1192" s="7"/>
      <c r="Y1192" s="7"/>
      <c r="Z1192" s="7"/>
      <c r="AA1192" s="7"/>
    </row>
    <row r="1193" spans="1:27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>
        <v>32191</v>
      </c>
      <c r="P1193" s="1">
        <f t="shared" si="58"/>
        <v>0.42043176293373108</v>
      </c>
      <c r="Q1193" s="25">
        <f t="shared" si="59"/>
        <v>0.28733389262924902</v>
      </c>
      <c r="R1193" s="24">
        <f t="shared" si="60"/>
        <v>-7.2804314577012974E-2</v>
      </c>
      <c r="S1193" s="20"/>
      <c r="T1193" s="7"/>
      <c r="U1193" s="7"/>
      <c r="V1193" s="7"/>
      <c r="W1193" s="7"/>
      <c r="X1193" s="7"/>
      <c r="Y1193" s="7"/>
      <c r="Z1193" s="7"/>
      <c r="AA1193" s="7"/>
    </row>
    <row r="1194" spans="1:27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>
        <v>32192</v>
      </c>
      <c r="P1194" s="1">
        <f t="shared" si="58"/>
        <v>0.42071905732154846</v>
      </c>
      <c r="Q1194" s="25">
        <f t="shared" si="59"/>
        <v>0.28726107484544627</v>
      </c>
      <c r="R1194" s="24">
        <f t="shared" si="60"/>
        <v>-7.2805401707398687E-2</v>
      </c>
      <c r="S1194" s="20"/>
      <c r="T1194" s="7"/>
      <c r="U1194" s="7"/>
      <c r="V1194" s="7"/>
      <c r="W1194" s="7"/>
      <c r="X1194" s="7"/>
      <c r="Y1194" s="7"/>
      <c r="Z1194" s="7"/>
      <c r="AA1194" s="7"/>
    </row>
    <row r="1195" spans="1:27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>
        <v>32193</v>
      </c>
      <c r="P1195" s="1">
        <f t="shared" si="58"/>
        <v>0.42100635170936584</v>
      </c>
      <c r="Q1195" s="25">
        <f t="shared" si="59"/>
        <v>0.28718828616547398</v>
      </c>
      <c r="R1195" s="24">
        <f t="shared" si="60"/>
        <v>-7.2808684414837899E-2</v>
      </c>
      <c r="S1195" s="20"/>
      <c r="T1195" s="7"/>
      <c r="U1195" s="7"/>
      <c r="V1195" s="7"/>
      <c r="W1195" s="7"/>
      <c r="X1195" s="7"/>
      <c r="Y1195" s="7"/>
      <c r="Z1195" s="7"/>
      <c r="AA1195" s="7"/>
    </row>
    <row r="1196" spans="1:27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>
        <v>32194</v>
      </c>
      <c r="P1196" s="1">
        <f t="shared" si="58"/>
        <v>0.42129328846931458</v>
      </c>
      <c r="Q1196" s="25">
        <f t="shared" si="59"/>
        <v>0.28711549748550169</v>
      </c>
      <c r="R1196" s="24">
        <f t="shared" si="60"/>
        <v>-7.2814201779181076E-2</v>
      </c>
      <c r="S1196" s="20"/>
      <c r="T1196" s="7"/>
      <c r="U1196" s="7"/>
      <c r="V1196" s="7"/>
      <c r="W1196" s="7"/>
      <c r="X1196" s="7"/>
      <c r="Y1196" s="7"/>
      <c r="Z1196" s="7"/>
      <c r="AA1196" s="7"/>
    </row>
    <row r="1197" spans="1:27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>
        <v>32195</v>
      </c>
      <c r="P1197" s="1">
        <f t="shared" si="58"/>
        <v>0.42158034443855286</v>
      </c>
      <c r="Q1197" s="25">
        <f t="shared" si="59"/>
        <v>0.28704265059786849</v>
      </c>
      <c r="R1197" s="24">
        <f t="shared" si="60"/>
        <v>-7.2821982222137649E-2</v>
      </c>
      <c r="S1197" s="20"/>
      <c r="T1197" s="7"/>
      <c r="U1197" s="7"/>
      <c r="V1197" s="7"/>
      <c r="W1197" s="7"/>
      <c r="X1197" s="7"/>
      <c r="Y1197" s="7"/>
      <c r="Z1197" s="7"/>
      <c r="AA1197" s="7"/>
    </row>
    <row r="1198" spans="1:27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>
        <v>32196</v>
      </c>
      <c r="P1198" s="1">
        <f t="shared" si="58"/>
        <v>0.42186740040779114</v>
      </c>
      <c r="Q1198" s="25">
        <f t="shared" si="59"/>
        <v>0.28696980371023528</v>
      </c>
      <c r="R1198" s="24">
        <f t="shared" si="60"/>
        <v>-7.2832068376271764E-2</v>
      </c>
      <c r="S1198" s="20"/>
      <c r="T1198" s="7"/>
      <c r="U1198" s="7"/>
      <c r="V1198" s="7"/>
      <c r="W1198" s="7"/>
      <c r="X1198" s="7"/>
      <c r="Y1198" s="7"/>
      <c r="Z1198" s="7"/>
      <c r="AA1198" s="7"/>
    </row>
    <row r="1199" spans="1:27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>
        <v>32197</v>
      </c>
      <c r="P1199" s="1">
        <f t="shared" si="58"/>
        <v>0.42215409874916077</v>
      </c>
      <c r="Q1199" s="25">
        <f t="shared" si="59"/>
        <v>0.28689701503026299</v>
      </c>
      <c r="R1199" s="24">
        <f t="shared" si="60"/>
        <v>-7.2844497545077047E-2</v>
      </c>
      <c r="S1199" s="20"/>
      <c r="T1199" s="7"/>
      <c r="U1199" s="7"/>
      <c r="V1199" s="7"/>
      <c r="W1199" s="7"/>
      <c r="X1199" s="7"/>
      <c r="Y1199" s="7"/>
      <c r="Z1199" s="7"/>
      <c r="AA1199" s="7"/>
    </row>
    <row r="1200" spans="1:27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>
        <v>32198</v>
      </c>
      <c r="P1200" s="1">
        <f t="shared" si="58"/>
        <v>0.42244139313697815</v>
      </c>
      <c r="Q1200" s="25">
        <f t="shared" si="59"/>
        <v>0.28682416814262979</v>
      </c>
      <c r="R1200" s="24">
        <f t="shared" si="60"/>
        <v>-7.2859303479333448E-2</v>
      </c>
      <c r="S1200" s="20"/>
      <c r="T1200" s="7"/>
      <c r="U1200" s="7"/>
      <c r="V1200" s="7"/>
      <c r="W1200" s="7"/>
      <c r="X1200" s="7"/>
      <c r="Y1200" s="7"/>
      <c r="Z1200" s="7"/>
      <c r="AA1200" s="7"/>
    </row>
    <row r="1201" spans="1:27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>
        <v>32199</v>
      </c>
      <c r="P1201" s="1">
        <f t="shared" si="58"/>
        <v>0.42272797226905823</v>
      </c>
      <c r="Q1201" s="25">
        <f t="shared" si="59"/>
        <v>0.28675126304733567</v>
      </c>
      <c r="R1201" s="24">
        <f t="shared" si="60"/>
        <v>-7.2876523482534594E-2</v>
      </c>
      <c r="S1201" s="20"/>
      <c r="T1201" s="7"/>
      <c r="U1201" s="7"/>
      <c r="V1201" s="7"/>
      <c r="W1201" s="7"/>
      <c r="X1201" s="7"/>
      <c r="Y1201" s="7"/>
      <c r="Z1201" s="7"/>
      <c r="AA1201" s="7"/>
    </row>
    <row r="1202" spans="1:27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>
        <v>32200</v>
      </c>
      <c r="P1202" s="1">
        <f t="shared" si="58"/>
        <v>0.42301490902900696</v>
      </c>
      <c r="Q1202" s="25">
        <f t="shared" si="59"/>
        <v>0.28667832884821109</v>
      </c>
      <c r="R1202" s="24">
        <f t="shared" si="60"/>
        <v>-7.289620373995831E-2</v>
      </c>
      <c r="S1202" s="20"/>
      <c r="T1202" s="7"/>
      <c r="U1202" s="7"/>
      <c r="V1202" s="7"/>
      <c r="W1202" s="7"/>
      <c r="X1202" s="7"/>
      <c r="Y1202" s="7"/>
      <c r="Z1202" s="7"/>
      <c r="AA1202" s="7"/>
    </row>
    <row r="1203" spans="1:27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>
        <v>32201</v>
      </c>
      <c r="P1203" s="1">
        <f t="shared" si="58"/>
        <v>0.42330196499824524</v>
      </c>
      <c r="Q1203" s="25">
        <f t="shared" si="59"/>
        <v>0.28660542375291698</v>
      </c>
      <c r="R1203" s="24">
        <f t="shared" si="60"/>
        <v>-7.2918372673314025E-2</v>
      </c>
      <c r="S1203" s="20"/>
      <c r="T1203" s="7"/>
      <c r="U1203" s="7"/>
      <c r="V1203" s="7"/>
      <c r="W1203" s="7"/>
      <c r="X1203" s="7"/>
      <c r="Y1203" s="7"/>
      <c r="Z1203" s="7"/>
      <c r="AA1203" s="7"/>
    </row>
    <row r="1204" spans="1:27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>
        <v>32202</v>
      </c>
      <c r="P1204" s="1">
        <f t="shared" si="58"/>
        <v>0.42358830571174622</v>
      </c>
      <c r="Q1204" s="25">
        <f t="shared" si="59"/>
        <v>0.28653254776145332</v>
      </c>
      <c r="R1204" s="24">
        <f t="shared" si="60"/>
        <v>-7.2943074691522725E-2</v>
      </c>
      <c r="S1204" s="20"/>
      <c r="T1204" s="7"/>
      <c r="U1204" s="7"/>
      <c r="V1204" s="7"/>
      <c r="W1204" s="7"/>
      <c r="X1204" s="7"/>
      <c r="Y1204" s="7"/>
      <c r="Z1204" s="7"/>
      <c r="AA1204" s="7"/>
    </row>
    <row r="1205" spans="1:27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>
        <v>32203</v>
      </c>
      <c r="P1205" s="1">
        <f t="shared" si="58"/>
        <v>0.42387500405311584</v>
      </c>
      <c r="Q1205" s="25">
        <f t="shared" si="59"/>
        <v>0.28645955535466783</v>
      </c>
      <c r="R1205" s="24">
        <f t="shared" si="60"/>
        <v>-7.2970339992650679E-2</v>
      </c>
      <c r="S1205" s="20"/>
      <c r="T1205" s="7"/>
      <c r="U1205" s="7"/>
      <c r="V1205" s="7"/>
      <c r="W1205" s="7"/>
      <c r="X1205" s="7"/>
      <c r="Y1205" s="7"/>
      <c r="Z1205" s="7"/>
      <c r="AA1205" s="7"/>
    </row>
    <row r="1206" spans="1:27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>
        <v>32204</v>
      </c>
      <c r="P1206" s="1">
        <f t="shared" si="58"/>
        <v>0.42416110634803772</v>
      </c>
      <c r="Q1206" s="25">
        <f t="shared" si="59"/>
        <v>0.28638665025937371</v>
      </c>
      <c r="R1206" s="24">
        <f t="shared" si="60"/>
        <v>-7.3000214761975712E-2</v>
      </c>
      <c r="S1206" s="20"/>
      <c r="T1206" s="7"/>
      <c r="U1206" s="7"/>
      <c r="V1206" s="7"/>
      <c r="W1206" s="7"/>
      <c r="X1206" s="7"/>
      <c r="Y1206" s="7"/>
      <c r="Z1206" s="7"/>
      <c r="AA1206" s="7"/>
    </row>
    <row r="1207" spans="1:27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>
        <v>32205</v>
      </c>
      <c r="P1207" s="1">
        <f t="shared" si="58"/>
        <v>0.4244474470615387</v>
      </c>
      <c r="Q1207" s="25">
        <f t="shared" si="59"/>
        <v>0.28631354143726639</v>
      </c>
      <c r="R1207" s="24">
        <f t="shared" si="60"/>
        <v>-7.3032732750277773E-2</v>
      </c>
      <c r="S1207" s="20"/>
      <c r="T1207" s="7"/>
      <c r="U1207" s="7"/>
      <c r="V1207" s="7"/>
      <c r="W1207" s="7"/>
      <c r="X1207" s="7"/>
      <c r="Y1207" s="7"/>
      <c r="Z1207" s="7"/>
      <c r="AA1207" s="7"/>
    </row>
    <row r="1208" spans="1:27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>
        <v>32206</v>
      </c>
      <c r="P1208" s="1">
        <f t="shared" si="58"/>
        <v>0.42473343014717102</v>
      </c>
      <c r="Q1208" s="25">
        <f t="shared" si="59"/>
        <v>0.28624060723814182</v>
      </c>
      <c r="R1208" s="24">
        <f t="shared" si="60"/>
        <v>-7.306792948469365E-2</v>
      </c>
      <c r="S1208" s="20"/>
      <c r="T1208" s="7"/>
      <c r="U1208" s="7"/>
      <c r="V1208" s="7"/>
      <c r="W1208" s="7"/>
      <c r="X1208" s="7"/>
      <c r="Y1208" s="7"/>
      <c r="Z1208" s="7"/>
      <c r="AA1208" s="7"/>
    </row>
    <row r="1209" spans="1:27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>
        <v>32207</v>
      </c>
      <c r="P1209" s="1">
        <f t="shared" si="58"/>
        <v>0.42501929402351379</v>
      </c>
      <c r="Q1209" s="25">
        <f t="shared" si="59"/>
        <v>0.28616752751986496</v>
      </c>
      <c r="R1209" s="24">
        <f t="shared" si="60"/>
        <v>-7.3105851150501167E-2</v>
      </c>
      <c r="S1209" s="20"/>
      <c r="T1209" s="7"/>
      <c r="U1209" s="7"/>
      <c r="V1209" s="7"/>
      <c r="W1209" s="7"/>
      <c r="X1209" s="7"/>
      <c r="Y1209" s="7"/>
      <c r="Z1209" s="7"/>
      <c r="AA1209" s="7"/>
    </row>
    <row r="1210" spans="1:27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>
        <v>32208</v>
      </c>
      <c r="P1210" s="1">
        <f t="shared" si="58"/>
        <v>0.42530634999275208</v>
      </c>
      <c r="Q1210" s="25">
        <f t="shared" si="59"/>
        <v>0.28609438959392719</v>
      </c>
      <c r="R1210" s="24">
        <f t="shared" si="60"/>
        <v>-7.3146531498480272E-2</v>
      </c>
      <c r="S1210" s="20"/>
      <c r="T1210" s="7"/>
      <c r="U1210" s="7"/>
      <c r="V1210" s="7"/>
      <c r="W1210" s="7"/>
      <c r="X1210" s="7"/>
      <c r="Y1210" s="7"/>
      <c r="Z1210" s="7"/>
      <c r="AA1210" s="7"/>
    </row>
    <row r="1211" spans="1:27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>
        <v>32209</v>
      </c>
      <c r="P1211" s="1">
        <f t="shared" si="58"/>
        <v>0.4255918562412262</v>
      </c>
      <c r="Q1211" s="25">
        <f t="shared" si="59"/>
        <v>0.28602113525266759</v>
      </c>
      <c r="R1211" s="24">
        <f t="shared" si="60"/>
        <v>-7.3190004279410914E-2</v>
      </c>
      <c r="S1211" s="20"/>
      <c r="T1211" s="7"/>
      <c r="U1211" s="7"/>
      <c r="V1211" s="7"/>
      <c r="W1211" s="7"/>
      <c r="X1211" s="7"/>
      <c r="Y1211" s="7"/>
      <c r="Z1211" s="7"/>
      <c r="AA1211" s="7"/>
    </row>
    <row r="1212" spans="1:27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>
        <v>32210</v>
      </c>
      <c r="P1212" s="1">
        <f t="shared" si="58"/>
        <v>0.42587795853614807</v>
      </c>
      <c r="Q1212" s="25">
        <f t="shared" si="59"/>
        <v>0.28594793911906891</v>
      </c>
      <c r="R1212" s="24">
        <f t="shared" si="60"/>
        <v>-7.3236322783998276E-2</v>
      </c>
      <c r="S1212" s="20"/>
      <c r="T1212" s="7"/>
      <c r="U1212" s="7"/>
      <c r="V1212" s="7"/>
      <c r="W1212" s="7"/>
      <c r="X1212" s="7"/>
      <c r="Y1212" s="7"/>
      <c r="Z1212" s="7"/>
      <c r="AA1212" s="7"/>
    </row>
    <row r="1213" spans="1:27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>
        <v>32211</v>
      </c>
      <c r="P1213" s="1">
        <f t="shared" si="58"/>
        <v>0.42616406083106995</v>
      </c>
      <c r="Q1213" s="25">
        <f t="shared" si="59"/>
        <v>0.28587468477780931</v>
      </c>
      <c r="R1213" s="24">
        <f t="shared" si="60"/>
        <v>-7.3285511881238108E-2</v>
      </c>
      <c r="S1213" s="20"/>
      <c r="T1213" s="7"/>
      <c r="U1213" s="7"/>
      <c r="V1213" s="7"/>
      <c r="W1213" s="7"/>
      <c r="X1213" s="7"/>
      <c r="Y1213" s="7"/>
      <c r="Z1213" s="7"/>
      <c r="AA1213" s="7"/>
    </row>
    <row r="1214" spans="1:27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>
        <v>32212</v>
      </c>
      <c r="P1214" s="1">
        <f t="shared" si="58"/>
        <v>0.42645004391670227</v>
      </c>
      <c r="Q1214" s="25">
        <f t="shared" si="59"/>
        <v>0.28580140133271925</v>
      </c>
      <c r="R1214" s="24">
        <f t="shared" si="60"/>
        <v>-7.3337615980051396E-2</v>
      </c>
      <c r="S1214" s="20"/>
      <c r="T1214" s="7"/>
      <c r="U1214" s="7"/>
      <c r="V1214" s="7"/>
      <c r="W1214" s="7"/>
      <c r="X1214" s="7"/>
      <c r="Y1214" s="7"/>
      <c r="Z1214" s="7"/>
      <c r="AA1214" s="7"/>
    </row>
    <row r="1215" spans="1:27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>
        <v>32213</v>
      </c>
      <c r="P1215" s="1">
        <f t="shared" si="58"/>
        <v>0.42673566937446594</v>
      </c>
      <c r="Q1215" s="25">
        <f t="shared" si="59"/>
        <v>0.28572803057613783</v>
      </c>
      <c r="R1215" s="24">
        <f t="shared" si="60"/>
        <v>-7.3392674160288607E-2</v>
      </c>
      <c r="S1215" s="20"/>
      <c r="T1215" s="7"/>
      <c r="U1215" s="7"/>
      <c r="V1215" s="7"/>
      <c r="W1215" s="7"/>
      <c r="X1215" s="7"/>
      <c r="Y1215" s="7"/>
      <c r="Z1215" s="7"/>
      <c r="AA1215" s="7"/>
    </row>
    <row r="1216" spans="1:27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>
        <v>32214</v>
      </c>
      <c r="P1216" s="1">
        <f t="shared" si="58"/>
        <v>0.42702129483222961</v>
      </c>
      <c r="Q1216" s="25">
        <f t="shared" si="59"/>
        <v>0.28565460161189549</v>
      </c>
      <c r="R1216" s="24">
        <f t="shared" si="60"/>
        <v>-7.3450723725443368E-2</v>
      </c>
      <c r="S1216" s="20"/>
      <c r="T1216" s="7"/>
      <c r="U1216" s="7"/>
      <c r="V1216" s="7"/>
      <c r="W1216" s="7"/>
      <c r="X1216" s="7"/>
      <c r="Y1216" s="7"/>
      <c r="Z1216" s="7"/>
      <c r="AA1216" s="7"/>
    </row>
    <row r="1217" spans="1:27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>
        <v>32215</v>
      </c>
      <c r="P1217" s="1">
        <f t="shared" si="58"/>
        <v>0.42730680108070374</v>
      </c>
      <c r="Q1217" s="25">
        <f t="shared" si="59"/>
        <v>0.28558111443999223</v>
      </c>
      <c r="R1217" s="24">
        <f t="shared" si="60"/>
        <v>-7.3511805531722985E-2</v>
      </c>
      <c r="S1217" s="20"/>
      <c r="T1217" s="7"/>
      <c r="U1217" s="7"/>
      <c r="V1217" s="7"/>
      <c r="W1217" s="7"/>
      <c r="X1217" s="7"/>
      <c r="Y1217" s="7"/>
      <c r="Z1217" s="7"/>
      <c r="AA1217" s="7"/>
    </row>
    <row r="1218" spans="1:27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>
        <v>32216</v>
      </c>
      <c r="P1218" s="1">
        <f t="shared" si="58"/>
        <v>0.42759218811988831</v>
      </c>
      <c r="Q1218" s="25">
        <f t="shared" si="59"/>
        <v>0.28550756906042807</v>
      </c>
      <c r="R1218" s="24">
        <f t="shared" si="60"/>
        <v>-7.3575956882621085E-2</v>
      </c>
      <c r="S1218" s="20"/>
      <c r="T1218" s="7"/>
      <c r="U1218" s="7"/>
      <c r="V1218" s="7"/>
      <c r="W1218" s="7"/>
      <c r="X1218" s="7"/>
      <c r="Y1218" s="7"/>
      <c r="Z1218" s="7"/>
      <c r="AA1218" s="7"/>
    </row>
    <row r="1219" spans="1:27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>
        <v>32217</v>
      </c>
      <c r="P1219" s="1">
        <f t="shared" si="58"/>
        <v>0.42787829041481018</v>
      </c>
      <c r="Q1219" s="25">
        <f t="shared" si="59"/>
        <v>0.28543399457703345</v>
      </c>
      <c r="R1219" s="24">
        <f t="shared" si="60"/>
        <v>-7.3643216857988136E-2</v>
      </c>
      <c r="S1219" s="20"/>
      <c r="T1219" s="7"/>
      <c r="U1219" s="7"/>
      <c r="V1219" s="7"/>
      <c r="W1219" s="7"/>
      <c r="X1219" s="7"/>
      <c r="Y1219" s="7"/>
      <c r="Z1219" s="7"/>
      <c r="AA1219" s="7"/>
    </row>
    <row r="1220" spans="1:27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>
        <v>32218</v>
      </c>
      <c r="P1220" s="1">
        <f t="shared" si="58"/>
        <v>0.428163081407547</v>
      </c>
      <c r="Q1220" s="25">
        <f t="shared" si="59"/>
        <v>0.28536024547065608</v>
      </c>
      <c r="R1220" s="24">
        <f t="shared" si="60"/>
        <v>-7.3713631643101962E-2</v>
      </c>
      <c r="S1220" s="20"/>
      <c r="T1220" s="7"/>
      <c r="U1220" s="7"/>
      <c r="V1220" s="7"/>
      <c r="W1220" s="7"/>
      <c r="X1220" s="7"/>
      <c r="Y1220" s="7"/>
      <c r="Z1220" s="7"/>
      <c r="AA1220" s="7"/>
    </row>
    <row r="1221" spans="1:27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>
        <v>32219</v>
      </c>
      <c r="P1221" s="1">
        <f t="shared" si="58"/>
        <v>0.42844894528388977</v>
      </c>
      <c r="Q1221" s="25">
        <f t="shared" si="59"/>
        <v>0.28528649636427872</v>
      </c>
      <c r="R1221" s="24">
        <f t="shared" si="60"/>
        <v>-7.3787234988742512E-2</v>
      </c>
      <c r="S1221" s="20"/>
      <c r="T1221" s="7"/>
      <c r="U1221" s="7"/>
      <c r="V1221" s="7"/>
      <c r="W1221" s="7"/>
      <c r="X1221" s="7"/>
      <c r="Y1221" s="7"/>
      <c r="Z1221" s="7"/>
      <c r="AA1221" s="7"/>
    </row>
    <row r="1222" spans="1:27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>
        <v>32220</v>
      </c>
      <c r="P1222" s="1">
        <f t="shared" si="58"/>
        <v>0.42873385548591614</v>
      </c>
      <c r="Q1222" s="25">
        <f t="shared" si="59"/>
        <v>0.28521274725790136</v>
      </c>
      <c r="R1222" s="24">
        <f t="shared" si="60"/>
        <v>-7.3864067751117091E-2</v>
      </c>
      <c r="S1222" s="20"/>
      <c r="T1222" s="7"/>
      <c r="U1222" s="7"/>
      <c r="V1222" s="7"/>
      <c r="W1222" s="7"/>
      <c r="X1222" s="7"/>
      <c r="Y1222" s="7"/>
      <c r="Z1222" s="7"/>
      <c r="AA1222" s="7"/>
    </row>
    <row r="1223" spans="1:27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>
        <v>32221</v>
      </c>
      <c r="P1223" s="1">
        <f t="shared" si="58"/>
        <v>0.42901864647865295</v>
      </c>
      <c r="Q1223" s="25">
        <f t="shared" si="59"/>
        <v>0.28513885263237171</v>
      </c>
      <c r="R1223" s="24">
        <f t="shared" si="60"/>
        <v>-7.3944165457362487E-2</v>
      </c>
      <c r="S1223" s="20"/>
      <c r="T1223" s="7"/>
      <c r="U1223" s="7"/>
      <c r="V1223" s="7"/>
      <c r="W1223" s="7"/>
      <c r="X1223" s="7"/>
      <c r="Y1223" s="7"/>
      <c r="Z1223" s="7"/>
      <c r="AA1223" s="7"/>
    </row>
    <row r="1224" spans="1:27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>
        <v>32222</v>
      </c>
      <c r="P1224" s="1">
        <f t="shared" si="58"/>
        <v>0.42930403351783752</v>
      </c>
      <c r="Q1224" s="25">
        <f t="shared" si="59"/>
        <v>0.28506481248768978</v>
      </c>
      <c r="R1224" s="24">
        <f t="shared" si="60"/>
        <v>-7.4027577845470205E-2</v>
      </c>
      <c r="S1224" s="20"/>
      <c r="T1224" s="7"/>
      <c r="U1224" s="7"/>
      <c r="V1224" s="7"/>
      <c r="W1224" s="7"/>
      <c r="X1224" s="7"/>
      <c r="Y1224" s="7"/>
      <c r="Z1224" s="7"/>
      <c r="AA1224" s="7"/>
    </row>
    <row r="1225" spans="1:27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>
        <v>32223</v>
      </c>
      <c r="P1225" s="1">
        <f t="shared" si="58"/>
        <v>0.42958870530128479</v>
      </c>
      <c r="Q1225" s="25">
        <f t="shared" si="59"/>
        <v>0.28499074323917739</v>
      </c>
      <c r="R1225" s="24">
        <f t="shared" si="60"/>
        <v>-7.4114333337149674E-2</v>
      </c>
      <c r="S1225" s="20"/>
      <c r="T1225" s="7"/>
      <c r="U1225" s="7"/>
      <c r="V1225" s="7"/>
      <c r="W1225" s="7"/>
      <c r="X1225" s="7"/>
      <c r="Y1225" s="7"/>
      <c r="Z1225" s="7"/>
      <c r="AA1225" s="7"/>
    </row>
    <row r="1226" spans="1:27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>
        <v>32224</v>
      </c>
      <c r="P1226" s="1">
        <f t="shared" ref="P1226:P1289" si="61" xml:space="preserve"> -1.4681315616E-19*$O1226^6 + 2.80493263066289E-14*$O1226^5 - 2.23271907955907E-09*$O1226^4 + 0.0000947783879077569*$O1226^3 - 2.26293121558813*$O1226^2 + 28813.4861268598*$O1226 - 152852350.445896</f>
        <v>0.42987373471260071</v>
      </c>
      <c r="Q1226" s="25">
        <f t="shared" ref="Q1226:Q1289" si="62" xml:space="preserve"> (6*-1.4681315616E-19*$O1226^5 + 5*2.80493263066289E-14*$O1226^4 - 4*2.23271907955907E-09*$O1226^3 + 3*0.0000947783879077569*$O1226^2 - 2*2.26293121558813*$O1226^1 + 28813.4861268598)*1000</f>
        <v>0.28491655757534318</v>
      </c>
      <c r="R1226" s="24">
        <f t="shared" ref="R1226:R1289" si="63" xml:space="preserve"> (5*6*-1.4681315616E-19*$O1226^4 + 4*5*2.80493263066289E-14*$O1226^3 - 3*4*2.23271907955907E-09*$O1226^2 + 2*3*0.0000947783879077569*$O1226^1 - 2*2.26293121558813)*1000*1000</f>
        <v>-7.4204481670392397E-2</v>
      </c>
      <c r="S1226" s="20"/>
      <c r="T1226" s="7"/>
      <c r="U1226" s="7"/>
      <c r="V1226" s="7"/>
      <c r="W1226" s="7"/>
      <c r="X1226" s="7"/>
      <c r="Y1226" s="7"/>
      <c r="Z1226" s="7"/>
      <c r="AA1226" s="7"/>
    </row>
    <row r="1227" spans="1:27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>
        <v>32225</v>
      </c>
      <c r="P1227" s="1">
        <f t="shared" si="61"/>
        <v>0.43015864491462708</v>
      </c>
      <c r="Q1227" s="25">
        <f t="shared" si="62"/>
        <v>0.28484237191150896</v>
      </c>
      <c r="R1227" s="24">
        <f t="shared" si="63"/>
        <v>-7.4298060148692002E-2</v>
      </c>
      <c r="S1227" s="20"/>
      <c r="T1227" s="7"/>
      <c r="U1227" s="7"/>
      <c r="V1227" s="7"/>
      <c r="W1227" s="7"/>
      <c r="X1227" s="7"/>
      <c r="Y1227" s="7"/>
      <c r="Z1227" s="7"/>
      <c r="AA1227" s="7"/>
    </row>
    <row r="1228" spans="1:27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>
        <v>32226</v>
      </c>
      <c r="P1228" s="1">
        <f t="shared" si="61"/>
        <v>0.4304441511631012</v>
      </c>
      <c r="Q1228" s="25">
        <f t="shared" si="62"/>
        <v>0.28476801162469201</v>
      </c>
      <c r="R1228" s="24">
        <f t="shared" si="63"/>
        <v>-7.4395109628255796E-2</v>
      </c>
      <c r="S1228" s="20"/>
      <c r="T1228" s="7"/>
      <c r="U1228" s="7"/>
      <c r="V1228" s="7"/>
      <c r="W1228" s="7"/>
      <c r="X1228" s="7"/>
      <c r="Y1228" s="7"/>
      <c r="Z1228" s="7"/>
      <c r="AA1228" s="7"/>
    </row>
    <row r="1229" spans="1:27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>
        <v>32227</v>
      </c>
      <c r="P1229" s="1">
        <f t="shared" si="61"/>
        <v>0.43072810769081116</v>
      </c>
      <c r="Q1229" s="25">
        <f t="shared" si="62"/>
        <v>0.28469353492255323</v>
      </c>
      <c r="R1229" s="24">
        <f t="shared" si="63"/>
        <v>-7.4495662083506886E-2</v>
      </c>
      <c r="S1229" s="20"/>
      <c r="T1229" s="7"/>
      <c r="U1229" s="7"/>
      <c r="V1229" s="7"/>
      <c r="W1229" s="7"/>
      <c r="X1229" s="7"/>
      <c r="Y1229" s="7"/>
      <c r="Z1229" s="7"/>
      <c r="AA1229" s="7"/>
    </row>
    <row r="1230" spans="1:27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>
        <v>32228</v>
      </c>
      <c r="P1230" s="1">
        <f t="shared" si="61"/>
        <v>0.43101325631141663</v>
      </c>
      <c r="Q1230" s="25">
        <f t="shared" si="62"/>
        <v>0.28461897090892307</v>
      </c>
      <c r="R1230" s="24">
        <f t="shared" si="63"/>
        <v>-7.4599772581507295E-2</v>
      </c>
      <c r="S1230" s="20"/>
      <c r="T1230" s="7"/>
      <c r="U1230" s="7"/>
      <c r="V1230" s="7"/>
      <c r="W1230" s="7"/>
      <c r="X1230" s="7"/>
      <c r="Y1230" s="7"/>
      <c r="Z1230" s="7"/>
      <c r="AA1230" s="7"/>
    </row>
    <row r="1231" spans="1:27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>
        <v>32229</v>
      </c>
      <c r="P1231" s="1">
        <f t="shared" si="61"/>
        <v>0.43129757046699524</v>
      </c>
      <c r="Q1231" s="25">
        <f t="shared" si="62"/>
        <v>0.28454431958380155</v>
      </c>
      <c r="R1231" s="24">
        <f t="shared" si="63"/>
        <v>-7.4707473096680133E-2</v>
      </c>
      <c r="S1231" s="20"/>
      <c r="T1231" s="7"/>
      <c r="U1231" s="7"/>
      <c r="V1231" s="7"/>
      <c r="W1231" s="7"/>
      <c r="X1231" s="7"/>
      <c r="Y1231" s="7"/>
      <c r="Z1231" s="7"/>
      <c r="AA1231" s="7"/>
    </row>
    <row r="1232" spans="1:27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>
        <v>32230</v>
      </c>
      <c r="P1232" s="1">
        <f t="shared" si="61"/>
        <v>0.4315820038318634</v>
      </c>
      <c r="Q1232" s="25">
        <f t="shared" si="62"/>
        <v>0.28446961005101912</v>
      </c>
      <c r="R1232" s="24">
        <f t="shared" si="63"/>
        <v>-7.4818813367016901E-2</v>
      </c>
      <c r="S1232" s="20"/>
      <c r="T1232" s="7"/>
      <c r="U1232" s="7"/>
      <c r="V1232" s="7"/>
      <c r="W1232" s="7"/>
      <c r="X1232" s="7"/>
      <c r="Y1232" s="7"/>
      <c r="Z1232" s="7"/>
      <c r="AA1232" s="7"/>
    </row>
    <row r="1233" spans="1:27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>
        <v>32231</v>
      </c>
      <c r="P1233" s="1">
        <f t="shared" si="61"/>
        <v>0.43186619877815247</v>
      </c>
      <c r="Q1233" s="25">
        <f t="shared" si="62"/>
        <v>0.28439472589525394</v>
      </c>
      <c r="R1233" s="24">
        <f t="shared" si="63"/>
        <v>-7.4933818261513352E-2</v>
      </c>
      <c r="S1233" s="20"/>
      <c r="T1233" s="7"/>
      <c r="U1233" s="7"/>
      <c r="V1233" s="7"/>
      <c r="W1233" s="7"/>
      <c r="X1233" s="7"/>
      <c r="Y1233" s="7"/>
      <c r="Z1233" s="7"/>
      <c r="AA1233" s="7"/>
    </row>
    <row r="1234" spans="1:27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>
        <v>32232</v>
      </c>
      <c r="P1234" s="1">
        <f t="shared" si="61"/>
        <v>0.43215075135231018</v>
      </c>
      <c r="Q1234" s="25">
        <f t="shared" si="62"/>
        <v>0.28431972532416694</v>
      </c>
      <c r="R1234" s="24">
        <f t="shared" si="63"/>
        <v>-7.5052542847231507E-2</v>
      </c>
      <c r="S1234" s="20"/>
      <c r="T1234" s="7"/>
      <c r="U1234" s="7"/>
      <c r="V1234" s="7"/>
      <c r="W1234" s="7"/>
      <c r="X1234" s="7"/>
      <c r="Y1234" s="7"/>
      <c r="Z1234" s="7"/>
      <c r="AA1234" s="7"/>
    </row>
    <row r="1235" spans="1:27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>
        <v>32233</v>
      </c>
      <c r="P1235" s="1">
        <f t="shared" si="61"/>
        <v>0.43243566155433655</v>
      </c>
      <c r="Q1235" s="25">
        <f t="shared" si="62"/>
        <v>0.28424463744158857</v>
      </c>
      <c r="R1235" s="24">
        <f t="shared" si="63"/>
        <v>-7.5175019098594476E-2</v>
      </c>
      <c r="S1235" s="20"/>
      <c r="T1235" s="7"/>
      <c r="U1235" s="7"/>
      <c r="V1235" s="7"/>
      <c r="W1235" s="7"/>
      <c r="X1235" s="7"/>
      <c r="Y1235" s="7"/>
      <c r="Z1235" s="7"/>
      <c r="AA1235" s="7"/>
    </row>
    <row r="1236" spans="1:27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>
        <v>32234</v>
      </c>
      <c r="P1236" s="1">
        <f t="shared" si="61"/>
        <v>0.43271937966346741</v>
      </c>
      <c r="Q1236" s="25">
        <f t="shared" si="62"/>
        <v>0.28416931672836654</v>
      </c>
      <c r="R1236" s="24">
        <f t="shared" si="63"/>
        <v>-7.5301293200880082E-2</v>
      </c>
      <c r="S1236" s="20"/>
      <c r="T1236" s="7"/>
      <c r="U1236" s="7"/>
      <c r="V1236" s="7"/>
      <c r="W1236" s="7"/>
      <c r="X1236" s="7"/>
      <c r="Y1236" s="7"/>
      <c r="Z1236" s="7"/>
      <c r="AA1236" s="7"/>
    </row>
    <row r="1237" spans="1:27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>
        <v>32235</v>
      </c>
      <c r="P1237" s="1">
        <f t="shared" si="61"/>
        <v>0.43300440907478333</v>
      </c>
      <c r="Q1237" s="25">
        <f t="shared" si="62"/>
        <v>0.28409399601514451</v>
      </c>
      <c r="R1237" s="24">
        <f t="shared" si="63"/>
        <v>-7.5431406010295632E-2</v>
      </c>
      <c r="S1237" s="20"/>
      <c r="T1237" s="7"/>
      <c r="U1237" s="7"/>
      <c r="V1237" s="7"/>
      <c r="W1237" s="7"/>
      <c r="X1237" s="7"/>
      <c r="Y1237" s="7"/>
      <c r="Z1237" s="7"/>
      <c r="AA1237" s="7"/>
    </row>
    <row r="1238" spans="1:27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>
        <v>32236</v>
      </c>
      <c r="P1238" s="1">
        <f t="shared" si="61"/>
        <v>0.43328788876533508</v>
      </c>
      <c r="Q1238" s="25">
        <f t="shared" si="62"/>
        <v>0.28401850067893974</v>
      </c>
      <c r="R1238" s="24">
        <f t="shared" si="63"/>
        <v>-7.5565398383048432E-2</v>
      </c>
      <c r="S1238" s="20"/>
      <c r="T1238" s="7"/>
      <c r="U1238" s="7"/>
      <c r="V1238" s="7"/>
      <c r="W1238" s="7"/>
      <c r="X1238" s="7"/>
      <c r="Y1238" s="7"/>
      <c r="Z1238" s="7"/>
      <c r="AA1238" s="7"/>
    </row>
    <row r="1239" spans="1:27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>
        <v>32237</v>
      </c>
      <c r="P1239" s="1">
        <f t="shared" si="61"/>
        <v>0.43357208371162415</v>
      </c>
      <c r="Q1239" s="25">
        <f t="shared" si="62"/>
        <v>0.28394283071975224</v>
      </c>
      <c r="R1239" s="24">
        <f t="shared" si="63"/>
        <v>-7.5703314728059468E-2</v>
      </c>
      <c r="S1239" s="20"/>
      <c r="T1239" s="7"/>
      <c r="U1239" s="7"/>
      <c r="V1239" s="7"/>
      <c r="W1239" s="7"/>
      <c r="X1239" s="7"/>
      <c r="Y1239" s="7"/>
      <c r="Z1239" s="7"/>
      <c r="AA1239" s="7"/>
    </row>
    <row r="1240" spans="1:27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>
        <v>32238</v>
      </c>
      <c r="P1240" s="1">
        <f t="shared" si="61"/>
        <v>0.43385568261146545</v>
      </c>
      <c r="Q1240" s="25">
        <f t="shared" si="62"/>
        <v>0.28386710255290382</v>
      </c>
      <c r="R1240" s="24">
        <f t="shared" si="63"/>
        <v>-7.5845192348822366E-2</v>
      </c>
      <c r="S1240" s="20"/>
      <c r="T1240" s="7"/>
      <c r="U1240" s="7"/>
      <c r="V1240" s="7"/>
      <c r="W1240" s="7"/>
      <c r="X1240" s="7"/>
      <c r="Y1240" s="7"/>
      <c r="Z1240" s="7"/>
      <c r="AA1240" s="7"/>
    </row>
    <row r="1241" spans="1:27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>
        <v>32239</v>
      </c>
      <c r="P1241" s="1">
        <f t="shared" si="61"/>
        <v>0.43413987755775452</v>
      </c>
      <c r="Q1241" s="25">
        <f t="shared" si="62"/>
        <v>0.2837911706592422</v>
      </c>
      <c r="R1241" s="24">
        <f t="shared" si="63"/>
        <v>-7.5991073877901272E-2</v>
      </c>
      <c r="S1241" s="20"/>
      <c r="T1241" s="7"/>
      <c r="U1241" s="7"/>
      <c r="V1241" s="7"/>
      <c r="W1241" s="7"/>
      <c r="X1241" s="7"/>
      <c r="Y1241" s="7"/>
      <c r="Z1241" s="7"/>
      <c r="AA1241" s="7"/>
    </row>
    <row r="1242" spans="1:27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>
        <v>32240</v>
      </c>
      <c r="P1242" s="1">
        <f t="shared" si="61"/>
        <v>0.43442359566688538</v>
      </c>
      <c r="Q1242" s="25">
        <f t="shared" si="62"/>
        <v>0.2837150932464283</v>
      </c>
      <c r="R1242" s="24">
        <f t="shared" si="63"/>
        <v>-7.6141003724217171E-2</v>
      </c>
      <c r="S1242" s="20"/>
      <c r="T1242" s="7"/>
      <c r="U1242" s="7"/>
      <c r="V1242" s="7"/>
      <c r="W1242" s="7"/>
      <c r="X1242" s="7"/>
      <c r="Y1242" s="7"/>
      <c r="Z1242" s="7"/>
      <c r="AA1242" s="7"/>
    </row>
    <row r="1243" spans="1:27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>
        <v>32241</v>
      </c>
      <c r="P1243" s="1">
        <f t="shared" si="61"/>
        <v>0.43470671772956848</v>
      </c>
      <c r="Q1243" s="25">
        <f t="shared" si="62"/>
        <v>0.28363889941829257</v>
      </c>
      <c r="R1243" s="24">
        <f t="shared" si="63"/>
        <v>-7.6295017414906852E-2</v>
      </c>
      <c r="S1243" s="20"/>
      <c r="T1243" s="7"/>
      <c r="U1243" s="7"/>
      <c r="V1243" s="7"/>
      <c r="W1243" s="7"/>
      <c r="X1243" s="7"/>
      <c r="Y1243" s="7"/>
      <c r="Z1243" s="7"/>
      <c r="AA1243" s="7"/>
    </row>
    <row r="1244" spans="1:27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>
        <v>32242</v>
      </c>
      <c r="P1244" s="1">
        <f t="shared" si="61"/>
        <v>0.43499043583869934</v>
      </c>
      <c r="Q1244" s="25">
        <f t="shared" si="62"/>
        <v>0.28356256007100455</v>
      </c>
      <c r="R1244" s="24">
        <f t="shared" si="63"/>
        <v>-7.6453168240675495E-2</v>
      </c>
      <c r="S1244" s="20"/>
      <c r="T1244" s="7"/>
      <c r="U1244" s="7"/>
      <c r="V1244" s="7"/>
      <c r="W1244" s="7"/>
      <c r="X1244" s="7"/>
      <c r="Y1244" s="7"/>
      <c r="Z1244" s="7"/>
      <c r="AA1244" s="7"/>
    </row>
    <row r="1245" spans="1:27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>
        <v>32243</v>
      </c>
      <c r="P1245" s="1">
        <f t="shared" si="61"/>
        <v>0.4352741539478302</v>
      </c>
      <c r="Q1245" s="25">
        <f t="shared" si="62"/>
        <v>0.28348601699690334</v>
      </c>
      <c r="R1245" s="24">
        <f t="shared" si="63"/>
        <v>-7.6615488175946211E-2</v>
      </c>
      <c r="S1245" s="20"/>
      <c r="T1245" s="7"/>
      <c r="U1245" s="7"/>
      <c r="V1245" s="7"/>
      <c r="W1245" s="7"/>
      <c r="X1245" s="7"/>
      <c r="Y1245" s="7"/>
      <c r="Z1245" s="7"/>
      <c r="AA1245" s="7"/>
    </row>
    <row r="1246" spans="1:27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>
        <v>32244</v>
      </c>
      <c r="P1246" s="1">
        <f t="shared" si="61"/>
        <v>0.4355570375919342</v>
      </c>
      <c r="Q1246" s="25">
        <f t="shared" si="62"/>
        <v>0.28340929929981939</v>
      </c>
      <c r="R1246" s="24">
        <f t="shared" si="63"/>
        <v>-7.6782025182353664E-2</v>
      </c>
      <c r="S1246" s="20"/>
      <c r="T1246" s="7"/>
      <c r="U1246" s="7"/>
      <c r="V1246" s="7"/>
      <c r="W1246" s="7"/>
      <c r="X1246" s="7"/>
      <c r="Y1246" s="7"/>
      <c r="Z1246" s="7"/>
      <c r="AA1246" s="7"/>
    </row>
    <row r="1247" spans="1:27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>
        <v>32245</v>
      </c>
      <c r="P1247" s="1">
        <f t="shared" si="61"/>
        <v>0.43584099411964417</v>
      </c>
      <c r="Q1247" s="25">
        <f t="shared" si="62"/>
        <v>0.28333243608358316</v>
      </c>
      <c r="R1247" s="24">
        <f t="shared" si="63"/>
        <v>-7.695281478703464E-2</v>
      </c>
      <c r="S1247" s="20"/>
      <c r="T1247" s="7"/>
      <c r="U1247" s="7"/>
      <c r="V1247" s="7"/>
      <c r="W1247" s="7"/>
      <c r="X1247" s="7"/>
      <c r="Y1247" s="7"/>
      <c r="Z1247" s="7"/>
      <c r="AA1247" s="7"/>
    </row>
    <row r="1248" spans="1:27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>
        <v>32246</v>
      </c>
      <c r="P1248" s="1">
        <f t="shared" si="61"/>
        <v>0.43612423539161682</v>
      </c>
      <c r="Q1248" s="25">
        <f t="shared" si="62"/>
        <v>0.28325534003670327</v>
      </c>
      <c r="R1248" s="24">
        <f t="shared" si="63"/>
        <v>-7.7127904951623805E-2</v>
      </c>
      <c r="S1248" s="20"/>
      <c r="T1248" s="7"/>
      <c r="U1248" s="7"/>
      <c r="V1248" s="7"/>
      <c r="W1248" s="7"/>
      <c r="X1248" s="7"/>
      <c r="Y1248" s="7"/>
      <c r="Z1248" s="7"/>
      <c r="AA1248" s="7"/>
    </row>
    <row r="1249" spans="1:27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>
        <v>32247</v>
      </c>
      <c r="P1249" s="1">
        <f t="shared" si="61"/>
        <v>0.43640735745429993</v>
      </c>
      <c r="Q1249" s="25">
        <f t="shared" si="62"/>
        <v>0.28317818578216247</v>
      </c>
      <c r="R1249" s="24">
        <f t="shared" si="63"/>
        <v>-7.7307340085042142E-2</v>
      </c>
      <c r="S1249" s="20"/>
      <c r="T1249" s="7"/>
      <c r="U1249" s="7"/>
      <c r="V1249" s="7"/>
      <c r="W1249" s="7"/>
      <c r="X1249" s="7"/>
      <c r="Y1249" s="7"/>
      <c r="Z1249" s="7"/>
      <c r="AA1249" s="7"/>
    </row>
    <row r="1250" spans="1:27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>
        <v>32248</v>
      </c>
      <c r="P1250" s="1">
        <f t="shared" si="61"/>
        <v>0.43669012188911438</v>
      </c>
      <c r="Q1250" s="25">
        <f t="shared" si="62"/>
        <v>0.28310076959314756</v>
      </c>
      <c r="R1250" s="24">
        <f t="shared" si="63"/>
        <v>-7.7491164596210638E-2</v>
      </c>
      <c r="S1250" s="20"/>
      <c r="T1250" s="7"/>
      <c r="U1250" s="7"/>
      <c r="V1250" s="7"/>
      <c r="W1250" s="7"/>
      <c r="X1250" s="7"/>
      <c r="Y1250" s="7"/>
      <c r="Z1250" s="7"/>
      <c r="AA1250" s="7"/>
    </row>
    <row r="1251" spans="1:27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>
        <v>32249</v>
      </c>
      <c r="P1251" s="1">
        <f t="shared" si="61"/>
        <v>0.43697336316108704</v>
      </c>
      <c r="Q1251" s="25">
        <f t="shared" si="62"/>
        <v>0.28302317878114991</v>
      </c>
      <c r="R1251" s="24">
        <f t="shared" si="63"/>
        <v>-7.767941223590924E-2</v>
      </c>
      <c r="S1251" s="20"/>
      <c r="T1251" s="7"/>
      <c r="U1251" s="7"/>
      <c r="V1251" s="7"/>
      <c r="W1251" s="7"/>
      <c r="X1251" s="7"/>
      <c r="Y1251" s="7"/>
      <c r="Z1251" s="7"/>
      <c r="AA1251" s="7"/>
    </row>
    <row r="1252" spans="1:27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>
        <v>32250</v>
      </c>
      <c r="P1252" s="1">
        <f t="shared" si="61"/>
        <v>0.43725648522377014</v>
      </c>
      <c r="Q1252" s="25">
        <f t="shared" si="62"/>
        <v>0.2829453551385086</v>
      </c>
      <c r="R1252" s="24">
        <f t="shared" si="63"/>
        <v>-7.7872132742129452E-2</v>
      </c>
      <c r="S1252" s="20"/>
      <c r="T1252" s="7"/>
      <c r="U1252" s="7"/>
      <c r="V1252" s="7"/>
      <c r="W1252" s="7"/>
      <c r="X1252" s="7"/>
      <c r="Y1252" s="7"/>
      <c r="Z1252" s="7"/>
      <c r="AA1252" s="7"/>
    </row>
    <row r="1253" spans="1:27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>
        <v>32251</v>
      </c>
      <c r="P1253" s="1">
        <f t="shared" si="61"/>
        <v>0.43753924965858459</v>
      </c>
      <c r="Q1253" s="25">
        <f t="shared" si="62"/>
        <v>0.28286744418437593</v>
      </c>
      <c r="R1253" s="24">
        <f t="shared" si="63"/>
        <v>-7.806936697107858E-2</v>
      </c>
      <c r="S1253" s="20"/>
      <c r="T1253" s="7"/>
      <c r="U1253" s="7"/>
      <c r="V1253" s="7"/>
      <c r="W1253" s="7"/>
      <c r="X1253" s="7"/>
      <c r="Y1253" s="7"/>
      <c r="Z1253" s="7"/>
      <c r="AA1253" s="7"/>
    </row>
    <row r="1254" spans="1:27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>
        <v>32252</v>
      </c>
      <c r="P1254" s="1">
        <f t="shared" si="61"/>
        <v>0.43782225251197815</v>
      </c>
      <c r="Q1254" s="25">
        <f t="shared" si="62"/>
        <v>0.28278924219193868</v>
      </c>
      <c r="R1254" s="24">
        <f t="shared" si="63"/>
        <v>-7.8271159331677609E-2</v>
      </c>
      <c r="S1254" s="20"/>
      <c r="T1254" s="7"/>
      <c r="U1254" s="7"/>
      <c r="V1254" s="7"/>
      <c r="W1254" s="7"/>
      <c r="X1254" s="7"/>
      <c r="Y1254" s="7"/>
      <c r="Z1254" s="7"/>
      <c r="AA1254" s="7"/>
    </row>
    <row r="1255" spans="1:27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>
        <v>32253</v>
      </c>
      <c r="P1255" s="1">
        <f t="shared" si="61"/>
        <v>0.43810465931892395</v>
      </c>
      <c r="Q1255" s="25">
        <f t="shared" si="62"/>
        <v>0.2827108655765187</v>
      </c>
      <c r="R1255" s="24">
        <f t="shared" si="63"/>
        <v>-7.8477550680133845E-2</v>
      </c>
      <c r="S1255" s="20"/>
      <c r="T1255" s="7"/>
      <c r="U1255" s="7"/>
      <c r="V1255" s="7"/>
      <c r="W1255" s="7"/>
      <c r="X1255" s="7"/>
      <c r="Y1255" s="7"/>
      <c r="Z1255" s="7"/>
      <c r="AA1255" s="7"/>
    </row>
    <row r="1256" spans="1:27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>
        <v>32254</v>
      </c>
      <c r="P1256" s="1">
        <f t="shared" si="61"/>
        <v>0.4383874237537384</v>
      </c>
      <c r="Q1256" s="25">
        <f t="shared" si="62"/>
        <v>0.28263231433811598</v>
      </c>
      <c r="R1256" s="24">
        <f t="shared" si="63"/>
        <v>-7.8688583649011434E-2</v>
      </c>
      <c r="S1256" s="20"/>
      <c r="T1256" s="7"/>
      <c r="U1256" s="7"/>
      <c r="V1256" s="7"/>
      <c r="W1256" s="7"/>
      <c r="X1256" s="7"/>
      <c r="Y1256" s="7"/>
      <c r="Z1256" s="7"/>
      <c r="AA1256" s="7"/>
    </row>
    <row r="1257" spans="1:27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>
        <v>32255</v>
      </c>
      <c r="P1257" s="1">
        <f t="shared" si="61"/>
        <v>0.43867018818855286</v>
      </c>
      <c r="Q1257" s="25">
        <f t="shared" si="62"/>
        <v>0.2825535302690696</v>
      </c>
      <c r="R1257" s="24">
        <f t="shared" si="63"/>
        <v>-7.890430797630188E-2</v>
      </c>
      <c r="S1257" s="20"/>
      <c r="T1257" s="7"/>
      <c r="U1257" s="7"/>
      <c r="V1257" s="7"/>
      <c r="W1257" s="7"/>
      <c r="X1257" s="7"/>
      <c r="Y1257" s="7"/>
      <c r="Z1257" s="7"/>
      <c r="AA1257" s="7"/>
    </row>
    <row r="1258" spans="1:27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>
        <v>32256</v>
      </c>
      <c r="P1258" s="1">
        <f t="shared" si="61"/>
        <v>0.43895235657691956</v>
      </c>
      <c r="Q1258" s="25">
        <f t="shared" si="62"/>
        <v>0.28247451336937957</v>
      </c>
      <c r="R1258" s="24">
        <f t="shared" si="63"/>
        <v>-7.9124762741855648E-2</v>
      </c>
      <c r="S1258" s="20"/>
      <c r="T1258" s="7"/>
      <c r="U1258" s="7"/>
      <c r="V1258" s="7"/>
      <c r="W1258" s="7"/>
      <c r="X1258" s="7"/>
      <c r="Y1258" s="7"/>
      <c r="Z1258" s="7"/>
      <c r="AA1258" s="7"/>
    </row>
    <row r="1259" spans="1:27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>
        <v>32257</v>
      </c>
      <c r="P1259" s="1">
        <f t="shared" si="61"/>
        <v>0.43923512101173401</v>
      </c>
      <c r="Q1259" s="25">
        <f t="shared" si="62"/>
        <v>0.28239526363904588</v>
      </c>
      <c r="R1259" s="24">
        <f t="shared" si="63"/>
        <v>-7.9349988801880045E-2</v>
      </c>
      <c r="S1259" s="20"/>
      <c r="T1259" s="7"/>
      <c r="U1259" s="7"/>
      <c r="V1259" s="7"/>
      <c r="W1259" s="7"/>
      <c r="X1259" s="7"/>
      <c r="Y1259" s="7"/>
      <c r="Z1259" s="7"/>
      <c r="AA1259" s="7"/>
    </row>
    <row r="1260" spans="1:27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>
        <v>32258</v>
      </c>
      <c r="P1260" s="1">
        <f t="shared" si="61"/>
        <v>0.43951764702796936</v>
      </c>
      <c r="Q1260" s="25">
        <f t="shared" si="62"/>
        <v>0.28231578107806854</v>
      </c>
      <c r="R1260" s="24">
        <f t="shared" si="63"/>
        <v>-7.9580035894366574E-2</v>
      </c>
      <c r="S1260" s="20"/>
      <c r="T1260" s="7"/>
      <c r="U1260" s="7"/>
      <c r="V1260" s="7"/>
      <c r="W1260" s="7"/>
      <c r="X1260" s="7"/>
      <c r="Y1260" s="7"/>
      <c r="Z1260" s="7"/>
      <c r="AA1260" s="7"/>
    </row>
    <row r="1261" spans="1:27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>
        <v>32259</v>
      </c>
      <c r="P1261" s="1">
        <f t="shared" si="61"/>
        <v>0.43979910016059875</v>
      </c>
      <c r="Q1261" s="25">
        <f t="shared" si="62"/>
        <v>0.28223606568644755</v>
      </c>
      <c r="R1261" s="24">
        <f t="shared" si="63"/>
        <v>-7.9814943099165703E-2</v>
      </c>
      <c r="S1261" s="20"/>
      <c r="T1261" s="7"/>
      <c r="U1261" s="7"/>
      <c r="V1261" s="7"/>
      <c r="W1261" s="7"/>
      <c r="X1261" s="7"/>
      <c r="Y1261" s="7"/>
      <c r="Z1261" s="7"/>
      <c r="AA1261" s="7"/>
    </row>
    <row r="1262" spans="1:27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>
        <v>32260</v>
      </c>
      <c r="P1262" s="1">
        <f t="shared" si="61"/>
        <v>0.44008186459541321</v>
      </c>
      <c r="Q1262" s="25">
        <f t="shared" si="62"/>
        <v>0.2821561174641829</v>
      </c>
      <c r="R1262" s="24">
        <f t="shared" si="63"/>
        <v>-8.0054756601555255E-2</v>
      </c>
      <c r="S1262" s="20"/>
      <c r="T1262" s="7"/>
      <c r="U1262" s="7"/>
      <c r="V1262" s="7"/>
      <c r="W1262" s="7"/>
      <c r="X1262" s="7"/>
      <c r="Y1262" s="7"/>
      <c r="Z1262" s="7"/>
      <c r="AA1262" s="7"/>
    </row>
    <row r="1263" spans="1:27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>
        <v>32261</v>
      </c>
      <c r="P1263" s="1">
        <f t="shared" si="61"/>
        <v>0.44036415219306946</v>
      </c>
      <c r="Q1263" s="25">
        <f t="shared" si="62"/>
        <v>0.2820759364112746</v>
      </c>
      <c r="R1263" s="24">
        <f t="shared" si="63"/>
        <v>-8.0299526139526733E-2</v>
      </c>
      <c r="S1263" s="20"/>
      <c r="T1263" s="7"/>
      <c r="U1263" s="7"/>
      <c r="V1263" s="7"/>
      <c r="W1263" s="7"/>
      <c r="X1263" s="7"/>
      <c r="Y1263" s="7"/>
      <c r="Z1263" s="7"/>
      <c r="AA1263" s="7"/>
    </row>
    <row r="1264" spans="1:27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>
        <v>32262</v>
      </c>
      <c r="P1264" s="1">
        <f t="shared" si="61"/>
        <v>0.44064584374427795</v>
      </c>
      <c r="Q1264" s="25">
        <f t="shared" si="62"/>
        <v>0.28199552252772264</v>
      </c>
      <c r="R1264" s="24">
        <f t="shared" si="63"/>
        <v>-8.0549283687503248E-2</v>
      </c>
      <c r="S1264" s="20"/>
      <c r="T1264" s="7"/>
      <c r="U1264" s="7"/>
      <c r="V1264" s="7"/>
      <c r="W1264" s="7"/>
      <c r="X1264" s="7"/>
      <c r="Y1264" s="7"/>
      <c r="Z1264" s="7"/>
      <c r="AA1264" s="7"/>
    </row>
    <row r="1265" spans="1:27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>
        <v>32263</v>
      </c>
      <c r="P1265" s="1">
        <f t="shared" si="61"/>
        <v>0.4409281313419342</v>
      </c>
      <c r="Q1265" s="25">
        <f t="shared" si="62"/>
        <v>0.28191487581352703</v>
      </c>
      <c r="R1265" s="24">
        <f t="shared" si="63"/>
        <v>-8.0804080759833141E-2</v>
      </c>
      <c r="S1265" s="20"/>
      <c r="T1265" s="7"/>
      <c r="U1265" s="7"/>
      <c r="V1265" s="7"/>
      <c r="W1265" s="7"/>
      <c r="X1265" s="7"/>
      <c r="Y1265" s="7"/>
      <c r="Z1265" s="7"/>
      <c r="AA1265" s="7"/>
    </row>
    <row r="1266" spans="1:27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>
        <v>32264</v>
      </c>
      <c r="P1266" s="1">
        <f t="shared" si="61"/>
        <v>0.44121041893959045</v>
      </c>
      <c r="Q1266" s="25">
        <f t="shared" si="62"/>
        <v>0.2818339089571964</v>
      </c>
      <c r="R1266" s="24">
        <f t="shared" si="63"/>
        <v>-8.1063958212723719E-2</v>
      </c>
      <c r="S1266" s="20"/>
      <c r="T1266" s="7"/>
      <c r="U1266" s="7"/>
      <c r="V1266" s="7"/>
      <c r="W1266" s="7"/>
      <c r="X1266" s="7"/>
      <c r="Y1266" s="7"/>
      <c r="Z1266" s="7"/>
      <c r="AA1266" s="7"/>
    </row>
    <row r="1267" spans="1:27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>
        <v>32265</v>
      </c>
      <c r="P1267" s="1">
        <f t="shared" si="61"/>
        <v>0.44149211049079895</v>
      </c>
      <c r="Q1267" s="25">
        <f t="shared" si="62"/>
        <v>0.28175273837405257</v>
      </c>
      <c r="R1267" s="24">
        <f t="shared" si="63"/>
        <v>-8.1328965784166485E-2</v>
      </c>
      <c r="S1267" s="20"/>
      <c r="T1267" s="7"/>
      <c r="U1267" s="7"/>
      <c r="V1267" s="7"/>
      <c r="W1267" s="7"/>
      <c r="X1267" s="7"/>
      <c r="Y1267" s="7"/>
      <c r="Z1267" s="7"/>
      <c r="AA1267" s="7"/>
    </row>
    <row r="1268" spans="1:27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>
        <v>32266</v>
      </c>
      <c r="P1268" s="1">
        <f t="shared" si="61"/>
        <v>0.44177320599555969</v>
      </c>
      <c r="Q1268" s="25">
        <f t="shared" si="62"/>
        <v>0.28167130585643463</v>
      </c>
      <c r="R1268" s="24">
        <f t="shared" si="63"/>
        <v>-8.1599147883082424E-2</v>
      </c>
      <c r="S1268" s="20"/>
      <c r="T1268" s="7"/>
      <c r="U1268" s="7"/>
      <c r="V1268" s="7"/>
      <c r="W1268" s="7"/>
      <c r="X1268" s="7"/>
      <c r="Y1268" s="7"/>
      <c r="Z1268" s="7"/>
      <c r="AA1268" s="7"/>
    </row>
    <row r="1269" spans="1:27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>
        <v>32267</v>
      </c>
      <c r="P1269" s="1">
        <f t="shared" si="61"/>
        <v>0.44205573201179504</v>
      </c>
      <c r="Q1269" s="25">
        <f t="shared" si="62"/>
        <v>0.28158952409285121</v>
      </c>
      <c r="R1269" s="24">
        <f t="shared" si="63"/>
        <v>-8.1874545365678841E-2</v>
      </c>
      <c r="S1269" s="20"/>
      <c r="T1269" s="7"/>
      <c r="U1269" s="7"/>
      <c r="V1269" s="7"/>
      <c r="W1269" s="7"/>
      <c r="X1269" s="7"/>
      <c r="Y1269" s="7"/>
      <c r="Z1269" s="7"/>
      <c r="AA1269" s="7"/>
    </row>
    <row r="1270" spans="1:27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>
        <v>32268</v>
      </c>
      <c r="P1270" s="1">
        <f t="shared" si="61"/>
        <v>0.44233670830726624</v>
      </c>
      <c r="Q1270" s="25">
        <f t="shared" si="62"/>
        <v>0.28150753860245459</v>
      </c>
      <c r="R1270" s="24">
        <f t="shared" si="63"/>
        <v>-8.2155206193590402E-2</v>
      </c>
      <c r="S1270" s="20"/>
      <c r="T1270" s="7"/>
      <c r="U1270" s="7"/>
      <c r="V1270" s="7"/>
      <c r="W1270" s="7"/>
      <c r="X1270" s="7"/>
      <c r="Y1270" s="7"/>
      <c r="Z1270" s="7"/>
      <c r="AA1270" s="7"/>
    </row>
    <row r="1271" spans="1:27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>
        <v>32269</v>
      </c>
      <c r="P1271" s="1">
        <f t="shared" si="61"/>
        <v>0.44261828064918518</v>
      </c>
      <c r="Q1271" s="25">
        <f t="shared" si="62"/>
        <v>0.2814252620737534</v>
      </c>
      <c r="R1271" s="24">
        <f t="shared" si="63"/>
        <v>-8.2441172999381251E-2</v>
      </c>
      <c r="S1271" s="20"/>
      <c r="T1271" s="7"/>
      <c r="U1271" s="7"/>
      <c r="V1271" s="7"/>
      <c r="W1271" s="7"/>
      <c r="X1271" s="7"/>
      <c r="Y1271" s="7"/>
      <c r="Z1271" s="7"/>
      <c r="AA1271" s="7"/>
    </row>
    <row r="1272" spans="1:27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>
        <v>32270</v>
      </c>
      <c r="P1272" s="1">
        <f t="shared" si="61"/>
        <v>0.44289985299110413</v>
      </c>
      <c r="Q1272" s="25">
        <f t="shared" si="62"/>
        <v>0.28134260719525628</v>
      </c>
      <c r="R1272" s="24">
        <f t="shared" si="63"/>
        <v>-8.2732488415615535E-2</v>
      </c>
      <c r="S1272" s="20"/>
      <c r="T1272" s="7"/>
      <c r="U1272" s="7"/>
      <c r="V1272" s="7"/>
      <c r="W1272" s="7"/>
      <c r="X1272" s="7"/>
      <c r="Y1272" s="7"/>
      <c r="Z1272" s="7"/>
      <c r="AA1272" s="7"/>
    </row>
    <row r="1273" spans="1:27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>
        <v>32271</v>
      </c>
      <c r="P1273" s="1">
        <f t="shared" si="61"/>
        <v>0.44318106770515442</v>
      </c>
      <c r="Q1273" s="25">
        <f t="shared" si="62"/>
        <v>0.28125974858994596</v>
      </c>
      <c r="R1273" s="24">
        <f t="shared" si="63"/>
        <v>-8.3029202180284756E-2</v>
      </c>
      <c r="S1273" s="20"/>
      <c r="T1273" s="7"/>
      <c r="U1273" s="7"/>
      <c r="V1273" s="7"/>
      <c r="W1273" s="7"/>
      <c r="X1273" s="7"/>
      <c r="Y1273" s="7"/>
      <c r="Z1273" s="7"/>
      <c r="AA1273" s="7"/>
    </row>
    <row r="1274" spans="1:27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>
        <v>32272</v>
      </c>
      <c r="P1274" s="1">
        <f t="shared" si="61"/>
        <v>0.44346168637275696</v>
      </c>
      <c r="Q1274" s="25">
        <f t="shared" si="62"/>
        <v>0.28117656984250061</v>
      </c>
      <c r="R1274" s="24">
        <f t="shared" si="63"/>
        <v>-8.3331362255023578E-2</v>
      </c>
      <c r="S1274" s="20"/>
      <c r="T1274" s="7"/>
      <c r="U1274" s="7"/>
      <c r="V1274" s="7"/>
      <c r="W1274" s="7"/>
      <c r="X1274" s="7"/>
      <c r="Y1274" s="7"/>
      <c r="Z1274" s="7"/>
      <c r="AA1274" s="7"/>
    </row>
    <row r="1275" spans="1:27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>
        <v>32273</v>
      </c>
      <c r="P1275" s="1">
        <f t="shared" si="61"/>
        <v>0.4437432587146759</v>
      </c>
      <c r="Q1275" s="25">
        <f t="shared" si="62"/>
        <v>0.28109315826441161</v>
      </c>
      <c r="R1275" s="24">
        <f t="shared" si="63"/>
        <v>-8.3639004166968789E-2</v>
      </c>
      <c r="S1275" s="20"/>
      <c r="T1275" s="7"/>
      <c r="U1275" s="7"/>
      <c r="V1275" s="7"/>
      <c r="W1275" s="7"/>
      <c r="X1275" s="7"/>
      <c r="Y1275" s="7"/>
      <c r="Z1275" s="7"/>
      <c r="AA1275" s="7"/>
    </row>
    <row r="1276" spans="1:27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>
        <v>32274</v>
      </c>
      <c r="P1276" s="1">
        <f t="shared" si="61"/>
        <v>0.4440244734287262</v>
      </c>
      <c r="Q1276" s="25">
        <f t="shared" si="62"/>
        <v>0.28100933923269622</v>
      </c>
      <c r="R1276" s="24">
        <f t="shared" si="63"/>
        <v>-8.3952182983182411E-2</v>
      </c>
      <c r="S1276" s="20"/>
      <c r="T1276" s="7"/>
      <c r="U1276" s="7"/>
      <c r="V1276" s="7"/>
      <c r="W1276" s="7"/>
      <c r="X1276" s="7"/>
      <c r="Y1276" s="7"/>
      <c r="Z1276" s="7"/>
      <c r="AA1276" s="7"/>
    </row>
    <row r="1277" spans="1:27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>
        <v>32275</v>
      </c>
      <c r="P1277" s="1">
        <f t="shared" si="61"/>
        <v>0.44430485367774963</v>
      </c>
      <c r="Q1277" s="25">
        <f t="shared" si="62"/>
        <v>0.2809252000588458</v>
      </c>
      <c r="R1277" s="24">
        <f t="shared" si="63"/>
        <v>-8.4270939559871749E-2</v>
      </c>
      <c r="S1277" s="20"/>
      <c r="T1277" s="7"/>
      <c r="U1277" s="7"/>
      <c r="V1277" s="7"/>
      <c r="W1277" s="7"/>
      <c r="X1277" s="7"/>
      <c r="Y1277" s="7"/>
      <c r="Z1277" s="7"/>
      <c r="AA1277" s="7"/>
    </row>
    <row r="1278" spans="1:27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>
        <v>32276</v>
      </c>
      <c r="P1278" s="1">
        <f t="shared" si="61"/>
        <v>0.44458642601966858</v>
      </c>
      <c r="Q1278" s="25">
        <f t="shared" si="62"/>
        <v>0.28084076984669082</v>
      </c>
      <c r="R1278" s="24">
        <f t="shared" si="63"/>
        <v>-8.4595320082314629E-2</v>
      </c>
      <c r="S1278" s="20"/>
      <c r="T1278" s="7"/>
      <c r="U1278" s="7"/>
      <c r="V1278" s="7"/>
      <c r="W1278" s="7"/>
      <c r="X1278" s="7"/>
      <c r="Y1278" s="7"/>
      <c r="Z1278" s="7"/>
      <c r="AA1278" s="7"/>
    </row>
    <row r="1279" spans="1:27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>
        <v>32277</v>
      </c>
      <c r="P1279" s="1">
        <f t="shared" si="61"/>
        <v>0.44486621022224426</v>
      </c>
      <c r="Q1279" s="25">
        <f t="shared" si="62"/>
        <v>0.28075599038857035</v>
      </c>
      <c r="R1279" s="24">
        <f t="shared" si="63"/>
        <v>-8.4925367183075195E-2</v>
      </c>
      <c r="S1279" s="20"/>
      <c r="T1279" s="7"/>
      <c r="U1279" s="7"/>
      <c r="V1279" s="7"/>
      <c r="W1279" s="7"/>
      <c r="X1279" s="7"/>
      <c r="Y1279" s="7"/>
      <c r="Z1279" s="7"/>
      <c r="AA1279" s="7"/>
    </row>
    <row r="1280" spans="1:27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>
        <v>32278</v>
      </c>
      <c r="P1280" s="1">
        <f t="shared" si="61"/>
        <v>0.44514778256416321</v>
      </c>
      <c r="Q1280" s="25">
        <f t="shared" si="62"/>
        <v>0.28067089078831486</v>
      </c>
      <c r="R1280" s="24">
        <f t="shared" si="63"/>
        <v>-8.5261134152858631E-2</v>
      </c>
      <c r="S1280" s="20"/>
      <c r="T1280" s="7"/>
      <c r="U1280" s="7"/>
      <c r="V1280" s="7"/>
      <c r="W1280" s="7"/>
      <c r="X1280" s="7"/>
      <c r="Y1280" s="7"/>
      <c r="Z1280" s="7"/>
      <c r="AA1280" s="7"/>
    </row>
    <row r="1281" spans="1:27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>
        <v>32279</v>
      </c>
      <c r="P1281" s="1">
        <f t="shared" si="61"/>
        <v>0.44542840123176575</v>
      </c>
      <c r="Q1281" s="25">
        <f t="shared" si="62"/>
        <v>0.28058547104592435</v>
      </c>
      <c r="R1281" s="24">
        <f t="shared" si="63"/>
        <v>-8.5602660071515402E-2</v>
      </c>
      <c r="S1281" s="20"/>
      <c r="T1281" s="7"/>
      <c r="U1281" s="7"/>
      <c r="V1281" s="7"/>
      <c r="W1281" s="7"/>
      <c r="X1281" s="7"/>
      <c r="Y1281" s="7"/>
      <c r="Z1281" s="7"/>
      <c r="AA1281" s="7"/>
    </row>
    <row r="1282" spans="1:27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>
        <v>32280</v>
      </c>
      <c r="P1282" s="1">
        <f t="shared" si="61"/>
        <v>0.44570842385292053</v>
      </c>
      <c r="Q1282" s="25">
        <f t="shared" si="62"/>
        <v>0.28049970205756836</v>
      </c>
      <c r="R1282" s="24">
        <f t="shared" si="63"/>
        <v>-8.5949994677037012E-2</v>
      </c>
      <c r="S1282" s="20"/>
      <c r="T1282" s="7"/>
      <c r="U1282" s="7"/>
      <c r="V1282" s="7"/>
      <c r="W1282" s="7"/>
      <c r="X1282" s="7"/>
      <c r="Y1282" s="7"/>
      <c r="Z1282" s="7"/>
      <c r="AA1282" s="7"/>
    </row>
    <row r="1283" spans="1:27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>
        <v>32281</v>
      </c>
      <c r="P1283" s="1">
        <f t="shared" si="61"/>
        <v>0.44598951935768127</v>
      </c>
      <c r="Q1283" s="25">
        <f t="shared" si="62"/>
        <v>0.28041358382324688</v>
      </c>
      <c r="R1283" s="24">
        <f t="shared" si="63"/>
        <v>-8.6303180601987606E-2</v>
      </c>
      <c r="S1283" s="20"/>
      <c r="T1283" s="7"/>
      <c r="U1283" s="7"/>
      <c r="V1283" s="7"/>
      <c r="W1283" s="7"/>
      <c r="X1283" s="7"/>
      <c r="Y1283" s="7"/>
      <c r="Z1283" s="7"/>
      <c r="AA1283" s="7"/>
    </row>
    <row r="1284" spans="1:27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>
        <v>32282</v>
      </c>
      <c r="P1284" s="1">
        <f t="shared" si="61"/>
        <v>0.44626966118812561</v>
      </c>
      <c r="Q1284" s="25">
        <f t="shared" si="62"/>
        <v>0.28032708723912947</v>
      </c>
      <c r="R1284" s="24">
        <f t="shared" si="63"/>
        <v>-8.6662271137072366E-2</v>
      </c>
      <c r="S1284" s="20"/>
      <c r="T1284" s="7"/>
      <c r="U1284" s="7"/>
      <c r="V1284" s="7"/>
      <c r="W1284" s="7"/>
      <c r="X1284" s="7"/>
      <c r="Y1284" s="7"/>
      <c r="Z1284" s="7"/>
      <c r="AA1284" s="7"/>
    </row>
    <row r="1285" spans="1:27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>
        <v>32283</v>
      </c>
      <c r="P1285" s="1">
        <f t="shared" si="61"/>
        <v>0.4465501606464386</v>
      </c>
      <c r="Q1285" s="25">
        <f t="shared" si="62"/>
        <v>0.28024021230521612</v>
      </c>
      <c r="R1285" s="24">
        <f t="shared" si="63"/>
        <v>-8.7027308914855439E-2</v>
      </c>
      <c r="S1285" s="20"/>
      <c r="T1285" s="7"/>
      <c r="U1285" s="7"/>
      <c r="V1285" s="7"/>
      <c r="W1285" s="7"/>
      <c r="X1285" s="7"/>
      <c r="Y1285" s="7"/>
      <c r="Z1285" s="7"/>
      <c r="AA1285" s="7"/>
    </row>
    <row r="1286" spans="1:27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>
        <v>32284</v>
      </c>
      <c r="P1286" s="1">
        <f t="shared" si="61"/>
        <v>0.44683006405830383</v>
      </c>
      <c r="Q1286" s="25">
        <f t="shared" si="62"/>
        <v>0.2801530463329982</v>
      </c>
      <c r="R1286" s="24">
        <f t="shared" si="63"/>
        <v>-8.7398338344257809E-2</v>
      </c>
      <c r="S1286" s="20"/>
      <c r="T1286" s="7"/>
      <c r="U1286" s="7"/>
      <c r="V1286" s="7"/>
      <c r="W1286" s="7"/>
      <c r="X1286" s="7"/>
      <c r="Y1286" s="7"/>
      <c r="Z1286" s="7"/>
      <c r="AA1286" s="7"/>
    </row>
    <row r="1287" spans="1:27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>
        <v>32285</v>
      </c>
      <c r="P1287" s="1">
        <f t="shared" si="61"/>
        <v>0.44710996747016907</v>
      </c>
      <c r="Q1287" s="25">
        <f t="shared" si="62"/>
        <v>0.28006541469949298</v>
      </c>
      <c r="R1287" s="24">
        <f t="shared" si="63"/>
        <v>-8.7775410939627818E-2</v>
      </c>
      <c r="S1287" s="20"/>
      <c r="T1287" s="7"/>
      <c r="U1287" s="7"/>
      <c r="V1287" s="7"/>
      <c r="W1287" s="7"/>
      <c r="X1287" s="7"/>
      <c r="Y1287" s="7"/>
      <c r="Z1287" s="7"/>
      <c r="AA1287" s="7"/>
    </row>
    <row r="1288" spans="1:27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>
        <v>32286</v>
      </c>
      <c r="P1288" s="1">
        <f t="shared" si="61"/>
        <v>0.44739022850990295</v>
      </c>
      <c r="Q1288" s="25">
        <f t="shared" si="62"/>
        <v>0.27997743382002227</v>
      </c>
      <c r="R1288" s="24">
        <f t="shared" si="63"/>
        <v>-8.8158565780815934E-2</v>
      </c>
      <c r="S1288" s="20"/>
      <c r="T1288" s="7"/>
      <c r="U1288" s="7"/>
      <c r="V1288" s="7"/>
      <c r="W1288" s="7"/>
      <c r="X1288" s="7"/>
      <c r="Y1288" s="7"/>
      <c r="Z1288" s="7"/>
      <c r="AA1288" s="7"/>
    </row>
    <row r="1289" spans="1:27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>
        <v>32287</v>
      </c>
      <c r="P1289" s="1">
        <f t="shared" si="61"/>
        <v>0.44767037034034729</v>
      </c>
      <c r="Q1289" s="25">
        <f t="shared" si="62"/>
        <v>0.27988913279841654</v>
      </c>
      <c r="R1289" s="24">
        <f t="shared" si="63"/>
        <v>-8.8547856158527338E-2</v>
      </c>
      <c r="S1289" s="20"/>
      <c r="T1289" s="7"/>
      <c r="U1289" s="7"/>
      <c r="V1289" s="7"/>
      <c r="W1289" s="7"/>
      <c r="X1289" s="7"/>
      <c r="Y1289" s="7"/>
      <c r="Z1289" s="7"/>
      <c r="AA1289" s="7"/>
    </row>
    <row r="1290" spans="1:27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>
        <v>32288</v>
      </c>
      <c r="P1290" s="1">
        <f t="shared" ref="P1290:P1353" si="64" xml:space="preserve"> -1.4681315616E-19*$O1290^6 + 2.80493263066289E-14*$O1290^5 - 2.23271907955907E-09*$O1290^4 + 0.0000947783879077569*$O1290^3 - 2.26293121558813*$O1290^2 + 28813.4861268598*$O1290 - 152852350.445896</f>
        <v>0.44795003533363342</v>
      </c>
      <c r="Q1290" s="25">
        <f t="shared" ref="Q1290:Q1353" si="65" xml:space="preserve"> (6*-1.4681315616E-19*$O1290^5 + 5*2.80493263066289E-14*$O1290^4 - 4*2.23271907955907E-09*$O1290^3 + 3*0.0000947783879077569*$O1290^2 - 2*2.26293121558813*$O1290^1 + 28813.4861268598)*1000</f>
        <v>0.27980039521935396</v>
      </c>
      <c r="R1290" s="24">
        <f t="shared" ref="R1290:R1353" si="66" xml:space="preserve"> (5*6*-1.4681315616E-19*$O1290^4 + 4*5*2.80493263066289E-14*$O1290^3 - 3*4*2.23271907955907E-09*$O1290^2 + 2*3*0.0000947783879077569*$O1290^1 - 2*2.26293121558813)*1000*1000</f>
        <v>-8.8943326481683016E-2</v>
      </c>
      <c r="S1290" s="20"/>
      <c r="T1290" s="7"/>
      <c r="U1290" s="7"/>
      <c r="V1290" s="7"/>
      <c r="W1290" s="7"/>
      <c r="X1290" s="7"/>
      <c r="Y1290" s="7"/>
      <c r="Z1290" s="7"/>
      <c r="AA1290" s="7"/>
    </row>
    <row r="1291" spans="1:27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>
        <v>32289</v>
      </c>
      <c r="P1291" s="1">
        <f t="shared" si="64"/>
        <v>0.44822981953620911</v>
      </c>
      <c r="Q1291" s="25">
        <f t="shared" si="65"/>
        <v>0.27971125018666498</v>
      </c>
      <c r="R1291" s="24">
        <f t="shared" si="66"/>
        <v>-8.9345024711917631E-2</v>
      </c>
      <c r="S1291" s="20"/>
      <c r="T1291" s="7"/>
      <c r="U1291" s="7"/>
      <c r="V1291" s="7"/>
      <c r="W1291" s="7"/>
      <c r="X1291" s="7"/>
      <c r="Y1291" s="7"/>
      <c r="Z1291" s="7"/>
      <c r="AA1291" s="7"/>
    </row>
    <row r="1292" spans="1:27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>
        <v>32290</v>
      </c>
      <c r="P1292" s="1">
        <f t="shared" si="64"/>
        <v>0.44850924611091614</v>
      </c>
      <c r="Q1292" s="25">
        <f t="shared" si="65"/>
        <v>0.27962166859651916</v>
      </c>
      <c r="R1292" s="24">
        <f t="shared" si="66"/>
        <v>-8.9752998810865847E-2</v>
      </c>
      <c r="S1292" s="20"/>
      <c r="T1292" s="7"/>
      <c r="U1292" s="7"/>
      <c r="V1292" s="7"/>
      <c r="W1292" s="7"/>
      <c r="X1292" s="7"/>
      <c r="Y1292" s="7"/>
      <c r="Z1292" s="7"/>
      <c r="AA1292" s="7"/>
    </row>
    <row r="1293" spans="1:27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>
        <v>32291</v>
      </c>
      <c r="P1293" s="1">
        <f t="shared" si="64"/>
        <v>0.44878891110420227</v>
      </c>
      <c r="Q1293" s="25">
        <f t="shared" si="65"/>
        <v>0.27953173776040785</v>
      </c>
      <c r="R1293" s="24">
        <f t="shared" si="66"/>
        <v>-9.0167293187448649E-2</v>
      </c>
      <c r="S1293" s="20"/>
      <c r="T1293" s="7"/>
      <c r="U1293" s="7"/>
      <c r="V1293" s="7"/>
      <c r="W1293" s="7"/>
      <c r="X1293" s="7"/>
      <c r="Y1293" s="7"/>
      <c r="Z1293" s="7"/>
      <c r="AA1293" s="7"/>
    </row>
    <row r="1294" spans="1:27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>
        <v>32292</v>
      </c>
      <c r="P1294" s="1">
        <f t="shared" si="64"/>
        <v>0.44906798005104065</v>
      </c>
      <c r="Q1294" s="25">
        <f t="shared" si="65"/>
        <v>0.27944142857450061</v>
      </c>
      <c r="R1294" s="24">
        <f t="shared" si="66"/>
        <v>-9.058795935601438E-2</v>
      </c>
      <c r="S1294" s="20"/>
      <c r="T1294" s="7"/>
      <c r="U1294" s="7"/>
      <c r="V1294" s="7"/>
      <c r="W1294" s="7"/>
      <c r="X1294" s="7"/>
      <c r="Y1294" s="7"/>
      <c r="Z1294" s="7"/>
      <c r="AA1294" s="7"/>
    </row>
    <row r="1295" spans="1:27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>
        <v>32293</v>
      </c>
      <c r="P1295" s="1">
        <f t="shared" si="64"/>
        <v>0.44934836030006409</v>
      </c>
      <c r="Q1295" s="25">
        <f t="shared" si="65"/>
        <v>0.27935056641581468</v>
      </c>
      <c r="R1295" s="24">
        <f t="shared" si="66"/>
        <v>-9.1015038172770346E-2</v>
      </c>
      <c r="S1295" s="20"/>
      <c r="T1295" s="7"/>
      <c r="U1295" s="7"/>
      <c r="V1295" s="7"/>
      <c r="W1295" s="7"/>
      <c r="X1295" s="7"/>
      <c r="Y1295" s="7"/>
      <c r="Z1295" s="7"/>
      <c r="AA1295" s="7"/>
    </row>
    <row r="1296" spans="1:27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>
        <v>32294</v>
      </c>
      <c r="P1296" s="1">
        <f t="shared" si="64"/>
        <v>0.44962754845619202</v>
      </c>
      <c r="Q1296" s="25">
        <f t="shared" si="65"/>
        <v>0.27925926769967191</v>
      </c>
      <c r="R1296" s="24">
        <f t="shared" si="66"/>
        <v>-9.1448584704778568E-2</v>
      </c>
      <c r="S1296" s="20"/>
      <c r="T1296" s="7"/>
      <c r="U1296" s="7"/>
      <c r="V1296" s="7"/>
      <c r="W1296" s="7"/>
      <c r="X1296" s="7"/>
      <c r="Y1296" s="7"/>
      <c r="Z1296" s="7"/>
      <c r="AA1296" s="7"/>
    </row>
    <row r="1297" spans="1:27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>
        <v>32295</v>
      </c>
      <c r="P1297" s="1">
        <f t="shared" si="64"/>
        <v>0.44990637898445129</v>
      </c>
      <c r="Q1297" s="25">
        <f t="shared" si="65"/>
        <v>0.27916767794522457</v>
      </c>
      <c r="R1297" s="24">
        <f t="shared" si="66"/>
        <v>-9.1888639808246353E-2</v>
      </c>
      <c r="S1297" s="20"/>
      <c r="T1297" s="7"/>
      <c r="U1297" s="7"/>
      <c r="V1297" s="7"/>
      <c r="W1297" s="7"/>
      <c r="X1297" s="7"/>
      <c r="Y1297" s="7"/>
      <c r="Z1297" s="7"/>
      <c r="AA1297" s="7"/>
    </row>
    <row r="1298" spans="1:27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>
        <v>32296</v>
      </c>
      <c r="P1298" s="1">
        <f t="shared" si="64"/>
        <v>0.45018556714057922</v>
      </c>
      <c r="Q1298" s="25">
        <f t="shared" si="65"/>
        <v>0.27907556432182901</v>
      </c>
      <c r="R1298" s="24">
        <f t="shared" si="66"/>
        <v>-9.2335254997522043E-2</v>
      </c>
      <c r="S1298" s="20"/>
      <c r="T1298" s="7"/>
      <c r="U1298" s="7"/>
      <c r="V1298" s="7"/>
      <c r="W1298" s="7"/>
      <c r="X1298" s="7"/>
      <c r="Y1298" s="7"/>
      <c r="Z1298" s="7"/>
      <c r="AA1298" s="7"/>
    </row>
    <row r="1299" spans="1:27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>
        <v>32297</v>
      </c>
      <c r="P1299" s="1">
        <f t="shared" si="64"/>
        <v>0.45046451687812805</v>
      </c>
      <c r="Q1299" s="25">
        <f t="shared" si="65"/>
        <v>0.27898298503714614</v>
      </c>
      <c r="R1299" s="24">
        <f t="shared" si="66"/>
        <v>-9.2788478234240301E-2</v>
      </c>
      <c r="S1299" s="20"/>
      <c r="T1299" s="7"/>
      <c r="U1299" s="7"/>
      <c r="V1299" s="7"/>
      <c r="W1299" s="7"/>
      <c r="X1299" s="7"/>
      <c r="Y1299" s="7"/>
      <c r="Z1299" s="7"/>
      <c r="AA1299" s="7"/>
    </row>
    <row r="1300" spans="1:27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>
        <v>32298</v>
      </c>
      <c r="P1300" s="1">
        <f t="shared" si="64"/>
        <v>0.45074358582496643</v>
      </c>
      <c r="Q1300" s="25">
        <f t="shared" si="65"/>
        <v>0.27888996919500642</v>
      </c>
      <c r="R1300" s="24">
        <f t="shared" si="66"/>
        <v>-9.3248359256392632E-2</v>
      </c>
      <c r="S1300" s="20"/>
      <c r="T1300" s="7"/>
      <c r="U1300" s="7"/>
      <c r="V1300" s="7"/>
      <c r="W1300" s="7"/>
      <c r="X1300" s="7"/>
      <c r="Y1300" s="7"/>
      <c r="Z1300" s="7"/>
      <c r="AA1300" s="7"/>
    </row>
    <row r="1301" spans="1:27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>
        <v>32299</v>
      </c>
      <c r="P1301" s="1">
        <f t="shared" si="64"/>
        <v>0.45102229714393616</v>
      </c>
      <c r="Q1301" s="25">
        <f t="shared" si="65"/>
        <v>0.27879645858774893</v>
      </c>
      <c r="R1301" s="24">
        <f t="shared" si="66"/>
        <v>-9.3714940696543181E-2</v>
      </c>
      <c r="S1301" s="20"/>
      <c r="T1301" s="7"/>
      <c r="U1301" s="7"/>
      <c r="V1301" s="7"/>
      <c r="W1301" s="7"/>
      <c r="X1301" s="7"/>
      <c r="Y1301" s="7"/>
      <c r="Z1301" s="7"/>
      <c r="AA1301" s="7"/>
    </row>
    <row r="1302" spans="1:27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>
        <v>32300</v>
      </c>
      <c r="P1302" s="1">
        <f t="shared" si="64"/>
        <v>0.45130100846290588</v>
      </c>
      <c r="Q1302" s="25">
        <f t="shared" si="65"/>
        <v>0.27870251142303459</v>
      </c>
      <c r="R1302" s="24">
        <f t="shared" si="66"/>
        <v>-9.4188279398110808E-2</v>
      </c>
      <c r="S1302" s="20"/>
      <c r="T1302" s="7"/>
      <c r="U1302" s="7"/>
      <c r="V1302" s="7"/>
      <c r="W1302" s="7"/>
      <c r="X1302" s="7"/>
      <c r="Y1302" s="7"/>
      <c r="Z1302" s="7"/>
      <c r="AA1302" s="7"/>
    </row>
    <row r="1303" spans="1:27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>
        <v>32301</v>
      </c>
      <c r="P1303" s="1">
        <f t="shared" si="64"/>
        <v>0.45157983899116516</v>
      </c>
      <c r="Q1303" s="25">
        <f t="shared" si="65"/>
        <v>0.27860812770086341</v>
      </c>
      <c r="R1303" s="24">
        <f t="shared" si="66"/>
        <v>-9.466841444094598E-2</v>
      </c>
      <c r="S1303" s="20"/>
      <c r="T1303" s="7"/>
      <c r="U1303" s="7"/>
      <c r="V1303" s="7"/>
      <c r="W1303" s="7"/>
      <c r="X1303" s="7"/>
      <c r="Y1303" s="7"/>
      <c r="Z1303" s="7"/>
      <c r="AA1303" s="7"/>
    </row>
    <row r="1304" spans="1:27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>
        <v>32302</v>
      </c>
      <c r="P1304" s="1">
        <f t="shared" si="64"/>
        <v>0.45185807347297668</v>
      </c>
      <c r="Q1304" s="25">
        <f t="shared" si="65"/>
        <v>0.278513220109744</v>
      </c>
      <c r="R1304" s="24">
        <f t="shared" si="66"/>
        <v>-9.515539911575388E-2</v>
      </c>
      <c r="S1304" s="20"/>
      <c r="T1304" s="7"/>
      <c r="U1304" s="7"/>
      <c r="V1304" s="7"/>
      <c r="W1304" s="7"/>
      <c r="X1304" s="7"/>
      <c r="Y1304" s="7"/>
      <c r="Z1304" s="7"/>
      <c r="AA1304" s="7"/>
    </row>
    <row r="1305" spans="1:27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>
        <v>32303</v>
      </c>
      <c r="P1305" s="1">
        <f t="shared" si="64"/>
        <v>0.45213678479194641</v>
      </c>
      <c r="Q1305" s="25">
        <f t="shared" si="65"/>
        <v>0.27841778864967637</v>
      </c>
      <c r="R1305" s="24">
        <f t="shared" si="66"/>
        <v>-9.564928493688285E-2</v>
      </c>
      <c r="S1305" s="20"/>
      <c r="T1305" s="7"/>
      <c r="U1305" s="7"/>
      <c r="V1305" s="7"/>
      <c r="W1305" s="7"/>
      <c r="X1305" s="7"/>
      <c r="Y1305" s="7"/>
      <c r="Z1305" s="7"/>
      <c r="AA1305" s="7"/>
    </row>
    <row r="1306" spans="1:27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>
        <v>32304</v>
      </c>
      <c r="P1306" s="1">
        <f t="shared" si="64"/>
        <v>0.45241490006446838</v>
      </c>
      <c r="Q1306" s="25">
        <f t="shared" si="65"/>
        <v>0.27832183332066052</v>
      </c>
      <c r="R1306" s="24">
        <f t="shared" si="66"/>
        <v>-9.6150112760540196E-2</v>
      </c>
      <c r="S1306" s="20"/>
      <c r="T1306" s="7"/>
      <c r="U1306" s="7"/>
      <c r="V1306" s="7"/>
      <c r="W1306" s="7"/>
      <c r="X1306" s="7"/>
      <c r="Y1306" s="7"/>
      <c r="Z1306" s="7"/>
      <c r="AA1306" s="7"/>
    </row>
    <row r="1307" spans="1:27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>
        <v>32305</v>
      </c>
      <c r="P1307" s="1">
        <f t="shared" si="64"/>
        <v>0.45269289612770081</v>
      </c>
      <c r="Q1307" s="25">
        <f t="shared" si="65"/>
        <v>0.27822552874567918</v>
      </c>
      <c r="R1307" s="24">
        <f t="shared" si="66"/>
        <v>-9.665793765378794E-2</v>
      </c>
      <c r="S1307" s="20"/>
      <c r="T1307" s="7"/>
      <c r="U1307" s="7"/>
      <c r="V1307" s="7"/>
      <c r="W1307" s="7"/>
      <c r="X1307" s="7"/>
      <c r="Y1307" s="7"/>
      <c r="Z1307" s="7"/>
      <c r="AA1307" s="7"/>
    </row>
    <row r="1308" spans="1:27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>
        <v>32306</v>
      </c>
      <c r="P1308" s="1">
        <f t="shared" si="64"/>
        <v>0.45297136902809143</v>
      </c>
      <c r="Q1308" s="25">
        <f t="shared" si="65"/>
        <v>0.27812861299025826</v>
      </c>
      <c r="R1308" s="24">
        <f t="shared" si="66"/>
        <v>-9.7172804025547066E-2</v>
      </c>
      <c r="S1308" s="20"/>
      <c r="T1308" s="7"/>
      <c r="U1308" s="7"/>
      <c r="V1308" s="7"/>
      <c r="W1308" s="7"/>
      <c r="X1308" s="7"/>
      <c r="Y1308" s="7"/>
      <c r="Z1308" s="7"/>
      <c r="AA1308" s="7"/>
    </row>
    <row r="1309" spans="1:27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>
        <v>32307</v>
      </c>
      <c r="P1309" s="1">
        <f t="shared" si="64"/>
        <v>0.4532497227191925</v>
      </c>
      <c r="Q1309" s="25">
        <f t="shared" si="65"/>
        <v>0.27803114426205866</v>
      </c>
      <c r="R1309" s="24">
        <f t="shared" si="66"/>
        <v>-9.7694758061095399E-2</v>
      </c>
      <c r="S1309" s="20"/>
      <c r="T1309" s="7"/>
      <c r="U1309" s="7"/>
      <c r="V1309" s="7"/>
      <c r="W1309" s="7"/>
      <c r="X1309" s="7"/>
      <c r="Y1309" s="7"/>
      <c r="Z1309" s="7"/>
      <c r="AA1309" s="7"/>
    </row>
    <row r="1310" spans="1:27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>
        <v>32308</v>
      </c>
      <c r="P1310" s="1">
        <f t="shared" si="64"/>
        <v>0.45352724194526672</v>
      </c>
      <c r="Q1310" s="25">
        <f t="shared" si="65"/>
        <v>0.27793320987257175</v>
      </c>
      <c r="R1310" s="24">
        <f t="shared" si="66"/>
        <v>-9.8223860156565479E-2</v>
      </c>
      <c r="S1310" s="20"/>
      <c r="T1310" s="7"/>
      <c r="U1310" s="7"/>
      <c r="V1310" s="7"/>
      <c r="W1310" s="7"/>
      <c r="X1310" s="7"/>
      <c r="Y1310" s="7"/>
      <c r="Z1310" s="7"/>
      <c r="AA1310" s="7"/>
    </row>
    <row r="1311" spans="1:27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>
        <v>32309</v>
      </c>
      <c r="P1311" s="1">
        <f t="shared" si="64"/>
        <v>0.45380595326423645</v>
      </c>
      <c r="Q1311" s="25">
        <f t="shared" si="65"/>
        <v>0.27783466430264525</v>
      </c>
      <c r="R1311" s="24">
        <f t="shared" si="66"/>
        <v>-9.8760152944521451E-2</v>
      </c>
      <c r="S1311" s="20"/>
      <c r="T1311" s="7"/>
      <c r="U1311" s="7"/>
      <c r="V1311" s="7"/>
      <c r="W1311" s="7"/>
      <c r="X1311" s="7"/>
      <c r="Y1311" s="7"/>
      <c r="Z1311" s="7"/>
      <c r="AA1311" s="7"/>
    </row>
    <row r="1312" spans="1:27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>
        <v>32310</v>
      </c>
      <c r="P1312" s="1">
        <f t="shared" si="64"/>
        <v>0.45408359169960022</v>
      </c>
      <c r="Q1312" s="25">
        <f t="shared" si="65"/>
        <v>0.27773565307143144</v>
      </c>
      <c r="R1312" s="24">
        <f t="shared" si="66"/>
        <v>-9.9303686162954818E-2</v>
      </c>
      <c r="S1312" s="20"/>
      <c r="T1312" s="7"/>
      <c r="U1312" s="7"/>
      <c r="V1312" s="7"/>
      <c r="W1312" s="7"/>
      <c r="X1312" s="7"/>
      <c r="Y1312" s="7"/>
      <c r="Z1312" s="7"/>
      <c r="AA1312" s="7"/>
    </row>
    <row r="1313" spans="1:27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>
        <v>32311</v>
      </c>
      <c r="P1313" s="1">
        <f t="shared" si="64"/>
        <v>0.45436111092567444</v>
      </c>
      <c r="Q1313" s="25">
        <f t="shared" si="65"/>
        <v>0.27763608886743896</v>
      </c>
      <c r="R1313" s="24">
        <f t="shared" si="66"/>
        <v>-9.9854502444429727E-2</v>
      </c>
      <c r="S1313" s="20"/>
      <c r="T1313" s="7"/>
      <c r="U1313" s="7"/>
      <c r="V1313" s="7"/>
      <c r="W1313" s="7"/>
      <c r="X1313" s="7"/>
      <c r="Y1313" s="7"/>
      <c r="Z1313" s="7"/>
      <c r="AA1313" s="7"/>
    </row>
    <row r="1314" spans="1:27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>
        <v>32312</v>
      </c>
      <c r="P1314" s="1">
        <f t="shared" si="64"/>
        <v>0.45463910698890686</v>
      </c>
      <c r="Q1314" s="25">
        <f t="shared" si="65"/>
        <v>0.27753597169066779</v>
      </c>
      <c r="R1314" s="24">
        <f t="shared" si="66"/>
        <v>-0.10041266218507872</v>
      </c>
      <c r="S1314" s="20"/>
      <c r="T1314" s="7"/>
      <c r="U1314" s="7"/>
      <c r="V1314" s="7"/>
      <c r="W1314" s="7"/>
      <c r="X1314" s="7"/>
      <c r="Y1314" s="7"/>
      <c r="Z1314" s="7"/>
      <c r="AA1314" s="7"/>
    </row>
    <row r="1315" spans="1:27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>
        <v>32313</v>
      </c>
      <c r="P1315" s="1">
        <f t="shared" si="64"/>
        <v>0.45491626858711243</v>
      </c>
      <c r="Q1315" s="25">
        <f t="shared" si="65"/>
        <v>0.27743524333345704</v>
      </c>
      <c r="R1315" s="24">
        <f t="shared" si="66"/>
        <v>-0.10097821157017961</v>
      </c>
      <c r="S1315" s="20"/>
      <c r="T1315" s="7"/>
      <c r="U1315" s="7"/>
      <c r="V1315" s="7"/>
      <c r="W1315" s="7"/>
      <c r="X1315" s="7"/>
      <c r="Y1315" s="7"/>
      <c r="Z1315" s="7"/>
      <c r="AA1315" s="7"/>
    </row>
    <row r="1316" spans="1:27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>
        <v>32314</v>
      </c>
      <c r="P1316" s="1">
        <f t="shared" si="64"/>
        <v>0.45519354939460754</v>
      </c>
      <c r="Q1316" s="25">
        <f t="shared" si="65"/>
        <v>0.27733399110729806</v>
      </c>
      <c r="R1316" s="24">
        <f t="shared" si="66"/>
        <v>-0.10155119323229655</v>
      </c>
      <c r="S1316" s="20"/>
      <c r="T1316" s="7"/>
      <c r="U1316" s="7"/>
      <c r="V1316" s="7"/>
      <c r="W1316" s="7"/>
      <c r="X1316" s="7"/>
      <c r="Y1316" s="7"/>
      <c r="Z1316" s="7"/>
      <c r="AA1316" s="7"/>
    </row>
    <row r="1317" spans="1:27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>
        <v>32315</v>
      </c>
      <c r="P1317" s="1">
        <f t="shared" si="64"/>
        <v>0.45547083020210266</v>
      </c>
      <c r="Q1317" s="25">
        <f t="shared" si="65"/>
        <v>0.27723215680452995</v>
      </c>
      <c r="R1317" s="24">
        <f t="shared" si="66"/>
        <v>-0.10213166756756209</v>
      </c>
      <c r="S1317" s="20"/>
      <c r="T1317" s="7"/>
      <c r="U1317" s="7"/>
      <c r="V1317" s="7"/>
      <c r="W1317" s="7"/>
      <c r="X1317" s="7"/>
      <c r="Y1317" s="7"/>
      <c r="Z1317" s="7"/>
      <c r="AA1317" s="7"/>
    </row>
    <row r="1318" spans="1:27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>
        <v>32316</v>
      </c>
      <c r="P1318" s="1">
        <f t="shared" si="64"/>
        <v>0.45574799180030823</v>
      </c>
      <c r="Q1318" s="25">
        <f t="shared" si="65"/>
        <v>0.27712971132132225</v>
      </c>
      <c r="R1318" s="24">
        <f t="shared" si="66"/>
        <v>-0.10271968076125404</v>
      </c>
      <c r="S1318" s="20"/>
      <c r="T1318" s="7"/>
      <c r="U1318" s="7"/>
      <c r="V1318" s="7"/>
      <c r="W1318" s="7"/>
      <c r="X1318" s="7"/>
      <c r="Y1318" s="7"/>
      <c r="Z1318" s="7"/>
      <c r="AA1318" s="7"/>
    </row>
    <row r="1319" spans="1:27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>
        <v>32317</v>
      </c>
      <c r="P1319" s="1">
        <f t="shared" si="64"/>
        <v>0.45602503418922424</v>
      </c>
      <c r="Q1319" s="25">
        <f t="shared" si="65"/>
        <v>0.27702671286533587</v>
      </c>
      <c r="R1319" s="24">
        <f t="shared" si="66"/>
        <v>-0.10331527544593655</v>
      </c>
      <c r="S1319" s="20"/>
      <c r="T1319" s="7"/>
      <c r="U1319" s="7"/>
      <c r="V1319" s="7"/>
      <c r="W1319" s="7"/>
      <c r="X1319" s="7"/>
      <c r="Y1319" s="7"/>
      <c r="Z1319" s="7"/>
      <c r="AA1319" s="7"/>
    </row>
    <row r="1320" spans="1:27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>
        <v>32318</v>
      </c>
      <c r="P1320" s="1">
        <f t="shared" si="64"/>
        <v>0.45630183815956116</v>
      </c>
      <c r="Q1320" s="25">
        <f t="shared" si="65"/>
        <v>0.27692310322890989</v>
      </c>
      <c r="R1320" s="24">
        <f t="shared" si="66"/>
        <v>-0.10391851201774216</v>
      </c>
      <c r="S1320" s="20"/>
      <c r="T1320" s="7"/>
      <c r="U1320" s="7"/>
      <c r="V1320" s="7"/>
      <c r="W1320" s="7"/>
      <c r="X1320" s="7"/>
      <c r="Y1320" s="7"/>
      <c r="Z1320" s="7"/>
      <c r="AA1320" s="7"/>
    </row>
    <row r="1321" spans="1:27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>
        <v>32319</v>
      </c>
      <c r="P1321" s="1">
        <f t="shared" si="64"/>
        <v>0.45657876133918762</v>
      </c>
      <c r="Q1321" s="25">
        <f t="shared" si="65"/>
        <v>0.27681888241204433</v>
      </c>
      <c r="R1321" s="24">
        <f t="shared" si="66"/>
        <v>-0.10452943666194869</v>
      </c>
      <c r="S1321" s="20"/>
      <c r="T1321" s="7"/>
      <c r="U1321" s="7"/>
      <c r="V1321" s="7"/>
      <c r="W1321" s="7"/>
      <c r="X1321" s="7"/>
      <c r="Y1321" s="7"/>
      <c r="Z1321" s="7"/>
      <c r="AA1321" s="7"/>
    </row>
    <row r="1322" spans="1:27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>
        <v>32320</v>
      </c>
      <c r="P1322" s="1">
        <f t="shared" si="64"/>
        <v>0.45685556530952454</v>
      </c>
      <c r="Q1322" s="25">
        <f t="shared" si="65"/>
        <v>0.27671407951856963</v>
      </c>
      <c r="R1322" s="24">
        <f t="shared" si="66"/>
        <v>-0.10514809911654766</v>
      </c>
      <c r="S1322" s="20"/>
      <c r="T1322" s="7"/>
      <c r="U1322" s="7"/>
      <c r="V1322" s="7"/>
      <c r="W1322" s="7"/>
      <c r="X1322" s="7"/>
      <c r="Y1322" s="7"/>
      <c r="Z1322" s="7"/>
      <c r="AA1322" s="7"/>
    </row>
    <row r="1323" spans="1:27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>
        <v>32321</v>
      </c>
      <c r="P1323" s="1">
        <f t="shared" si="64"/>
        <v>0.45713213086128235</v>
      </c>
      <c r="Q1323" s="25">
        <f t="shared" si="65"/>
        <v>0.27660857813316397</v>
      </c>
      <c r="R1323" s="24">
        <f t="shared" si="66"/>
        <v>-0.10577455267224423</v>
      </c>
      <c r="S1323" s="20"/>
      <c r="T1323" s="7"/>
      <c r="U1323" s="7"/>
      <c r="V1323" s="7"/>
      <c r="W1323" s="7"/>
      <c r="X1323" s="7"/>
      <c r="Y1323" s="7"/>
      <c r="Z1323" s="7"/>
      <c r="AA1323" s="7"/>
    </row>
    <row r="1324" spans="1:27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>
        <v>32322</v>
      </c>
      <c r="P1324" s="1">
        <f t="shared" si="64"/>
        <v>0.45740929245948792</v>
      </c>
      <c r="Q1324" s="25">
        <f t="shared" si="65"/>
        <v>0.27650246556731872</v>
      </c>
      <c r="R1324" s="24">
        <f t="shared" si="66"/>
        <v>-0.10640884529067307</v>
      </c>
      <c r="S1324" s="20"/>
      <c r="T1324" s="7"/>
      <c r="U1324" s="7"/>
      <c r="V1324" s="7"/>
      <c r="W1324" s="7"/>
      <c r="X1324" s="7"/>
      <c r="Y1324" s="7"/>
      <c r="Z1324" s="7"/>
      <c r="AA1324" s="7"/>
    </row>
    <row r="1325" spans="1:27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>
        <v>32323</v>
      </c>
      <c r="P1325" s="1">
        <f t="shared" si="64"/>
        <v>0.45768514275550842</v>
      </c>
      <c r="Q1325" s="25">
        <f t="shared" si="65"/>
        <v>0.27639580002869479</v>
      </c>
      <c r="R1325" s="24">
        <f t="shared" si="66"/>
        <v>-0.10705102138075517</v>
      </c>
      <c r="S1325" s="20"/>
      <c r="T1325" s="7"/>
      <c r="U1325" s="7"/>
      <c r="V1325" s="7"/>
      <c r="W1325" s="7"/>
      <c r="X1325" s="7"/>
      <c r="Y1325" s="7"/>
      <c r="Z1325" s="7"/>
      <c r="AA1325" s="7"/>
    </row>
    <row r="1326" spans="1:27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>
        <v>32324</v>
      </c>
      <c r="P1326" s="1">
        <f t="shared" si="64"/>
        <v>0.45796123147010803</v>
      </c>
      <c r="Q1326" s="25">
        <f t="shared" si="65"/>
        <v>0.27628840689430945</v>
      </c>
      <c r="R1326" s="24">
        <f t="shared" si="66"/>
        <v>-0.10770114844405043</v>
      </c>
      <c r="S1326" s="20"/>
      <c r="T1326" s="7"/>
      <c r="U1326" s="7"/>
      <c r="V1326" s="7"/>
      <c r="W1326" s="7"/>
      <c r="X1326" s="7"/>
      <c r="Y1326" s="7"/>
      <c r="Z1326" s="7"/>
      <c r="AA1326" s="7"/>
    </row>
    <row r="1327" spans="1:27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>
        <v>32325</v>
      </c>
      <c r="P1327" s="1">
        <f t="shared" si="64"/>
        <v>0.45823767781257629</v>
      </c>
      <c r="Q1327" s="25">
        <f t="shared" si="65"/>
        <v>0.27618031526799314</v>
      </c>
      <c r="R1327" s="24">
        <f t="shared" si="66"/>
        <v>-0.10835926023133879</v>
      </c>
      <c r="S1327" s="20"/>
      <c r="T1327" s="7"/>
      <c r="U1327" s="7"/>
      <c r="V1327" s="7"/>
      <c r="W1327" s="7"/>
      <c r="X1327" s="7"/>
      <c r="Y1327" s="7"/>
      <c r="Z1327" s="7"/>
      <c r="AA1327" s="7"/>
    </row>
    <row r="1328" spans="1:27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>
        <v>32326</v>
      </c>
      <c r="P1328" s="1">
        <f t="shared" si="64"/>
        <v>0.458514004945755</v>
      </c>
      <c r="Q1328" s="25">
        <f t="shared" si="65"/>
        <v>0.27607169977272861</v>
      </c>
      <c r="R1328" s="24">
        <f t="shared" si="66"/>
        <v>-0.10902541891510964</v>
      </c>
      <c r="S1328" s="20"/>
      <c r="T1328" s="7"/>
      <c r="U1328" s="7"/>
      <c r="V1328" s="7"/>
      <c r="W1328" s="7"/>
      <c r="X1328" s="7"/>
      <c r="Y1328" s="7"/>
      <c r="Z1328" s="7"/>
      <c r="AA1328" s="7"/>
    </row>
    <row r="1329" spans="1:27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>
        <v>32327</v>
      </c>
      <c r="P1329" s="1">
        <f t="shared" si="64"/>
        <v>0.45878985524177551</v>
      </c>
      <c r="Q1329" s="25">
        <f t="shared" si="65"/>
        <v>0.2759623275778722</v>
      </c>
      <c r="R1329" s="24">
        <f t="shared" si="66"/>
        <v>-0.10969966357521344</v>
      </c>
      <c r="S1329" s="20"/>
      <c r="T1329" s="7"/>
      <c r="U1329" s="7"/>
      <c r="V1329" s="7"/>
      <c r="W1329" s="7"/>
      <c r="X1329" s="7"/>
      <c r="Y1329" s="7"/>
      <c r="Z1329" s="7"/>
      <c r="AA1329" s="7"/>
    </row>
    <row r="1330" spans="1:27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>
        <v>32328</v>
      </c>
      <c r="P1330" s="1">
        <f t="shared" si="64"/>
        <v>0.45906582474708557</v>
      </c>
      <c r="Q1330" s="25">
        <f t="shared" si="65"/>
        <v>0.27585225689108483</v>
      </c>
      <c r="R1330" s="24">
        <f t="shared" si="66"/>
        <v>-0.1103820581604964</v>
      </c>
      <c r="S1330" s="20"/>
      <c r="T1330" s="7"/>
      <c r="U1330" s="7"/>
      <c r="V1330" s="7"/>
      <c r="W1330" s="7"/>
      <c r="X1330" s="7"/>
      <c r="Y1330" s="7"/>
      <c r="Z1330" s="7"/>
      <c r="AA1330" s="7"/>
    </row>
    <row r="1331" spans="1:27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>
        <v>32329</v>
      </c>
      <c r="P1331" s="1">
        <f t="shared" si="64"/>
        <v>0.45934167504310608</v>
      </c>
      <c r="Q1331" s="25">
        <f t="shared" si="65"/>
        <v>0.27574151681619696</v>
      </c>
      <c r="R1331" s="24">
        <f t="shared" si="66"/>
        <v>-0.1110726506325932</v>
      </c>
      <c r="S1331" s="20"/>
      <c r="T1331" s="7"/>
      <c r="U1331" s="7"/>
      <c r="V1331" s="7"/>
      <c r="W1331" s="7"/>
      <c r="X1331" s="7"/>
      <c r="Y1331" s="7"/>
      <c r="Z1331" s="7"/>
      <c r="AA1331" s="7"/>
    </row>
    <row r="1332" spans="1:27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>
        <v>32330</v>
      </c>
      <c r="P1332" s="1">
        <f t="shared" si="64"/>
        <v>0.45961776375770569</v>
      </c>
      <c r="Q1332" s="25">
        <f t="shared" si="65"/>
        <v>0.27563010735320859</v>
      </c>
      <c r="R1332" s="24">
        <f t="shared" si="66"/>
        <v>-0.11177148717678165</v>
      </c>
      <c r="S1332" s="20"/>
      <c r="T1332" s="7"/>
      <c r="U1332" s="7"/>
      <c r="V1332" s="7"/>
      <c r="W1332" s="7"/>
      <c r="X1332" s="7"/>
      <c r="Y1332" s="7"/>
      <c r="Z1332" s="7"/>
      <c r="AA1332" s="7"/>
    </row>
    <row r="1333" spans="1:27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>
        <v>32331</v>
      </c>
      <c r="P1333" s="1">
        <f t="shared" si="64"/>
        <v>0.45989277958869934</v>
      </c>
      <c r="Q1333" s="25">
        <f t="shared" si="65"/>
        <v>0.27551794119062833</v>
      </c>
      <c r="R1333" s="24">
        <f t="shared" si="66"/>
        <v>-0.11247862641283746</v>
      </c>
      <c r="S1333" s="20"/>
      <c r="T1333" s="7"/>
      <c r="U1333" s="7"/>
      <c r="V1333" s="7"/>
      <c r="W1333" s="7"/>
      <c r="X1333" s="7"/>
      <c r="Y1333" s="7"/>
      <c r="Z1333" s="7"/>
      <c r="AA1333" s="7"/>
    </row>
    <row r="1334" spans="1:27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>
        <v>32332</v>
      </c>
      <c r="P1334" s="1">
        <f t="shared" si="64"/>
        <v>0.46016815304756165</v>
      </c>
      <c r="Q1334" s="25">
        <f t="shared" si="65"/>
        <v>0.27540516384760849</v>
      </c>
      <c r="R1334" s="24">
        <f t="shared" si="66"/>
        <v>-0.11319411452603845</v>
      </c>
      <c r="S1334" s="20"/>
      <c r="T1334" s="7"/>
      <c r="U1334" s="7"/>
      <c r="V1334" s="7"/>
      <c r="W1334" s="7"/>
      <c r="X1334" s="7"/>
      <c r="Y1334" s="7"/>
      <c r="Z1334" s="7"/>
      <c r="AA1334" s="7"/>
    </row>
    <row r="1335" spans="1:27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>
        <v>32333</v>
      </c>
      <c r="P1335" s="1">
        <f t="shared" si="64"/>
        <v>0.46044376492500305</v>
      </c>
      <c r="Q1335" s="25">
        <f t="shared" si="65"/>
        <v>0.27529157159733586</v>
      </c>
      <c r="R1335" s="24">
        <f t="shared" si="66"/>
        <v>-0.1139180048070898</v>
      </c>
      <c r="S1335" s="20"/>
      <c r="T1335" s="7"/>
      <c r="U1335" s="7"/>
      <c r="V1335" s="7"/>
      <c r="W1335" s="7"/>
      <c r="X1335" s="7"/>
      <c r="Y1335" s="7"/>
      <c r="Z1335" s="7"/>
      <c r="AA1335" s="7"/>
    </row>
    <row r="1336" spans="1:27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>
        <v>32334</v>
      </c>
      <c r="P1336" s="1">
        <f t="shared" si="64"/>
        <v>0.46071925759315491</v>
      </c>
      <c r="Q1336" s="25">
        <f t="shared" si="65"/>
        <v>0.27517733906279318</v>
      </c>
      <c r="R1336" s="24">
        <f t="shared" si="66"/>
        <v>-0.11465034344126934</v>
      </c>
      <c r="S1336" s="20"/>
      <c r="T1336" s="7"/>
      <c r="U1336" s="7"/>
      <c r="V1336" s="7"/>
      <c r="W1336" s="7"/>
      <c r="X1336" s="7"/>
      <c r="Y1336" s="7"/>
      <c r="Z1336" s="7"/>
      <c r="AA1336" s="7"/>
    </row>
    <row r="1337" spans="1:27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>
        <v>32335</v>
      </c>
      <c r="P1337" s="1">
        <f t="shared" si="64"/>
        <v>0.46099391579627991</v>
      </c>
      <c r="Q1337" s="25">
        <f t="shared" si="65"/>
        <v>0.27506232072482817</v>
      </c>
      <c r="R1337" s="24">
        <f t="shared" si="66"/>
        <v>-0.11539119260106645</v>
      </c>
      <c r="S1337" s="20"/>
      <c r="T1337" s="7"/>
      <c r="U1337" s="7"/>
      <c r="V1337" s="7"/>
      <c r="W1337" s="7"/>
      <c r="X1337" s="7"/>
      <c r="Y1337" s="7"/>
      <c r="Z1337" s="7"/>
      <c r="AA1337" s="7"/>
    </row>
    <row r="1338" spans="1:27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>
        <v>32336</v>
      </c>
      <c r="P1338" s="1">
        <f t="shared" si="64"/>
        <v>0.46126928925514221</v>
      </c>
      <c r="Q1338" s="25">
        <f t="shared" si="65"/>
        <v>0.27494657479110174</v>
      </c>
      <c r="R1338" s="24">
        <f t="shared" si="66"/>
        <v>-0.11614060024811579</v>
      </c>
      <c r="S1338" s="20"/>
      <c r="T1338" s="7"/>
      <c r="U1338" s="7"/>
      <c r="V1338" s="7"/>
      <c r="W1338" s="7"/>
      <c r="X1338" s="7"/>
      <c r="Y1338" s="7"/>
      <c r="Z1338" s="7"/>
      <c r="AA1338" s="7"/>
    </row>
    <row r="1339" spans="1:27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>
        <v>32337</v>
      </c>
      <c r="P1339" s="1">
        <f t="shared" si="64"/>
        <v>0.46154382824897766</v>
      </c>
      <c r="Q1339" s="25">
        <f t="shared" si="65"/>
        <v>0.27483004305395298</v>
      </c>
      <c r="R1339" s="24">
        <f t="shared" si="66"/>
        <v>-0.1168986178967657</v>
      </c>
      <c r="S1339" s="20"/>
      <c r="T1339" s="7"/>
      <c r="U1339" s="7"/>
      <c r="V1339" s="7"/>
      <c r="W1339" s="7"/>
      <c r="X1339" s="7"/>
      <c r="Y1339" s="7"/>
      <c r="Z1339" s="7"/>
      <c r="AA1339" s="7"/>
    </row>
    <row r="1340" spans="1:27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>
        <v>32338</v>
      </c>
      <c r="P1340" s="1">
        <f t="shared" si="64"/>
        <v>0.46181872487068176</v>
      </c>
      <c r="Q1340" s="25">
        <f t="shared" si="65"/>
        <v>0.27471275461721234</v>
      </c>
      <c r="R1340" s="24">
        <f t="shared" si="66"/>
        <v>-0.11766529706136453</v>
      </c>
      <c r="S1340" s="20"/>
      <c r="T1340" s="7"/>
      <c r="U1340" s="7"/>
      <c r="V1340" s="7"/>
      <c r="W1340" s="7"/>
      <c r="X1340" s="7"/>
      <c r="Y1340" s="7"/>
      <c r="Z1340" s="7"/>
      <c r="AA1340" s="7"/>
    </row>
    <row r="1341" spans="1:27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>
        <v>32339</v>
      </c>
      <c r="P1341" s="1">
        <f t="shared" si="64"/>
        <v>0.46209338307380676</v>
      </c>
      <c r="Q1341" s="25">
        <f t="shared" si="65"/>
        <v>0.27459470948087983</v>
      </c>
      <c r="R1341" s="24">
        <f t="shared" si="66"/>
        <v>-0.11844069280897429</v>
      </c>
      <c r="S1341" s="20"/>
      <c r="T1341" s="7"/>
      <c r="U1341" s="7"/>
      <c r="V1341" s="7"/>
      <c r="W1341" s="7"/>
      <c r="X1341" s="7"/>
      <c r="Y1341" s="7"/>
      <c r="Z1341" s="7"/>
      <c r="AA1341" s="7"/>
    </row>
    <row r="1342" spans="1:27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>
        <v>32340</v>
      </c>
      <c r="P1342" s="1">
        <f t="shared" si="64"/>
        <v>0.46236792206764221</v>
      </c>
      <c r="Q1342" s="25">
        <f t="shared" si="65"/>
        <v>0.27447582033346407</v>
      </c>
      <c r="R1342" s="24">
        <f t="shared" si="66"/>
        <v>-0.11922485310122966</v>
      </c>
      <c r="S1342" s="20"/>
      <c r="T1342" s="7"/>
      <c r="U1342" s="7"/>
      <c r="V1342" s="7"/>
      <c r="W1342" s="7"/>
      <c r="X1342" s="7"/>
      <c r="Y1342" s="7"/>
      <c r="Z1342" s="7"/>
      <c r="AA1342" s="7"/>
    </row>
    <row r="1343" spans="1:27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>
        <v>32341</v>
      </c>
      <c r="P1343" s="1">
        <f t="shared" si="64"/>
        <v>0.46264258027076721</v>
      </c>
      <c r="Q1343" s="25">
        <f t="shared" si="65"/>
        <v>0.27435623269411735</v>
      </c>
      <c r="R1343" s="24">
        <f t="shared" si="66"/>
        <v>-0.12001783300519264</v>
      </c>
      <c r="S1343" s="20"/>
      <c r="T1343" s="7"/>
      <c r="U1343" s="7"/>
      <c r="V1343" s="7"/>
      <c r="W1343" s="7"/>
      <c r="X1343" s="7"/>
      <c r="Y1343" s="7"/>
      <c r="Z1343" s="7"/>
      <c r="AA1343" s="7"/>
    </row>
    <row r="1344" spans="1:27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>
        <v>32342</v>
      </c>
      <c r="P1344" s="1">
        <f t="shared" si="64"/>
        <v>0.46291676163673401</v>
      </c>
      <c r="Q1344" s="25">
        <f t="shared" si="65"/>
        <v>0.27423583014751785</v>
      </c>
      <c r="R1344" s="24">
        <f t="shared" si="66"/>
        <v>-0.12081968403521159</v>
      </c>
      <c r="S1344" s="20"/>
      <c r="T1344" s="7"/>
      <c r="U1344" s="7"/>
      <c r="V1344" s="7"/>
      <c r="W1344" s="7"/>
      <c r="X1344" s="7"/>
      <c r="Y1344" s="7"/>
      <c r="Z1344" s="7"/>
      <c r="AA1344" s="7"/>
    </row>
    <row r="1345" spans="1:27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>
        <v>32343</v>
      </c>
      <c r="P1345" s="1">
        <f t="shared" si="64"/>
        <v>0.46319034695625305</v>
      </c>
      <c r="Q1345" s="25">
        <f t="shared" si="65"/>
        <v>0.27411458358983509</v>
      </c>
      <c r="R1345" s="24">
        <f t="shared" si="66"/>
        <v>-0.12163046658741905</v>
      </c>
      <c r="S1345" s="20"/>
      <c r="T1345" s="7"/>
      <c r="U1345" s="7"/>
      <c r="V1345" s="7"/>
      <c r="W1345" s="7"/>
      <c r="X1345" s="7"/>
      <c r="Y1345" s="7"/>
      <c r="Z1345" s="7"/>
      <c r="AA1345" s="7"/>
    </row>
    <row r="1346" spans="1:27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>
        <v>32344</v>
      </c>
      <c r="P1346" s="1">
        <f t="shared" si="64"/>
        <v>0.46346500515937805</v>
      </c>
      <c r="Q1346" s="25">
        <f t="shared" si="65"/>
        <v>0.27399255122873001</v>
      </c>
      <c r="R1346" s="24">
        <f t="shared" si="66"/>
        <v>-0.12245021974166548</v>
      </c>
      <c r="S1346" s="20"/>
      <c r="T1346" s="7"/>
      <c r="U1346" s="7"/>
      <c r="V1346" s="7"/>
      <c r="W1346" s="7"/>
      <c r="X1346" s="7"/>
      <c r="Y1346" s="7"/>
      <c r="Z1346" s="7"/>
      <c r="AA1346" s="7"/>
    </row>
    <row r="1347" spans="1:27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>
        <v>32345</v>
      </c>
      <c r="P1347" s="1">
        <f t="shared" si="64"/>
        <v>0.46373870968818665</v>
      </c>
      <c r="Q1347" s="25">
        <f t="shared" si="65"/>
        <v>0.27386973306420259</v>
      </c>
      <c r="R1347" s="24">
        <f t="shared" si="66"/>
        <v>-0.12327900922315393</v>
      </c>
      <c r="S1347" s="20"/>
      <c r="T1347" s="7"/>
      <c r="U1347" s="7"/>
      <c r="V1347" s="7"/>
      <c r="W1347" s="7"/>
      <c r="X1347" s="7"/>
      <c r="Y1347" s="7"/>
      <c r="Z1347" s="7"/>
      <c r="AA1347" s="7"/>
    </row>
    <row r="1348" spans="1:27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>
        <v>32346</v>
      </c>
      <c r="P1348" s="1">
        <f t="shared" si="64"/>
        <v>0.46401229500770569</v>
      </c>
      <c r="Q1348" s="25">
        <f t="shared" si="65"/>
        <v>0.27374598357710056</v>
      </c>
      <c r="R1348" s="24">
        <f t="shared" si="66"/>
        <v>-0.12411687944080541</v>
      </c>
      <c r="S1348" s="20"/>
      <c r="T1348" s="7"/>
      <c r="U1348" s="7"/>
      <c r="V1348" s="7"/>
      <c r="W1348" s="7"/>
      <c r="X1348" s="7"/>
      <c r="Y1348" s="7"/>
      <c r="Z1348" s="7"/>
      <c r="AA1348" s="7"/>
    </row>
    <row r="1349" spans="1:27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>
        <v>32347</v>
      </c>
      <c r="P1349" s="1">
        <f t="shared" si="64"/>
        <v>0.46428599953651428</v>
      </c>
      <c r="Q1349" s="25">
        <f t="shared" si="65"/>
        <v>0.27362141918274574</v>
      </c>
      <c r="R1349" s="24">
        <f t="shared" si="66"/>
        <v>-0.12496388546168191</v>
      </c>
      <c r="S1349" s="20"/>
      <c r="T1349" s="7"/>
      <c r="U1349" s="7"/>
      <c r="V1349" s="7"/>
      <c r="W1349" s="7"/>
      <c r="X1349" s="7"/>
      <c r="Y1349" s="7"/>
      <c r="Z1349" s="7"/>
      <c r="AA1349" s="7"/>
    </row>
    <row r="1350" spans="1:27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>
        <v>32348</v>
      </c>
      <c r="P1350" s="1">
        <f t="shared" si="64"/>
        <v>0.46455994248390198</v>
      </c>
      <c r="Q1350" s="25">
        <f t="shared" si="65"/>
        <v>0.27349606898496859</v>
      </c>
      <c r="R1350" s="24">
        <f t="shared" si="66"/>
        <v>-0.12582008590555915</v>
      </c>
      <c r="S1350" s="20"/>
      <c r="T1350" s="7"/>
      <c r="U1350" s="7"/>
      <c r="V1350" s="7"/>
      <c r="W1350" s="7"/>
      <c r="X1350" s="7"/>
      <c r="Y1350" s="7"/>
      <c r="Z1350" s="7"/>
      <c r="AA1350" s="7"/>
    </row>
    <row r="1351" spans="1:27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>
        <v>32349</v>
      </c>
      <c r="P1351" s="1">
        <f t="shared" si="64"/>
        <v>0.46483352780342102</v>
      </c>
      <c r="Q1351" s="25">
        <f t="shared" si="65"/>
        <v>0.27336978746461682</v>
      </c>
      <c r="R1351" s="24">
        <f t="shared" si="66"/>
        <v>-0.12668553051042863</v>
      </c>
      <c r="S1351" s="20"/>
      <c r="T1351" s="7"/>
      <c r="U1351" s="7"/>
      <c r="V1351" s="7"/>
      <c r="W1351" s="7"/>
      <c r="X1351" s="7"/>
      <c r="Y1351" s="7"/>
      <c r="Z1351" s="7"/>
      <c r="AA1351" s="7"/>
    </row>
    <row r="1352" spans="1:27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>
        <v>32350</v>
      </c>
      <c r="P1352" s="1">
        <f t="shared" si="64"/>
        <v>0.46510651707649231</v>
      </c>
      <c r="Q1352" s="25">
        <f t="shared" si="65"/>
        <v>0.27324266193318181</v>
      </c>
      <c r="R1352" s="24">
        <f t="shared" si="66"/>
        <v>-0.12756026901428186</v>
      </c>
      <c r="S1352" s="20"/>
      <c r="T1352" s="7"/>
      <c r="U1352" s="7"/>
      <c r="V1352" s="7"/>
      <c r="W1352" s="7"/>
      <c r="X1352" s="7"/>
      <c r="Y1352" s="7"/>
      <c r="Z1352" s="7"/>
      <c r="AA1352" s="7"/>
    </row>
    <row r="1353" spans="1:27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>
        <v>32351</v>
      </c>
      <c r="P1353" s="1">
        <f t="shared" si="64"/>
        <v>0.4653797447681427</v>
      </c>
      <c r="Q1353" s="25">
        <f t="shared" si="65"/>
        <v>0.27311466328683309</v>
      </c>
      <c r="R1353" s="24">
        <f t="shared" si="66"/>
        <v>-0.128444354707824</v>
      </c>
      <c r="S1353" s="20"/>
      <c r="T1353" s="7"/>
      <c r="U1353" s="7"/>
      <c r="V1353" s="7"/>
      <c r="W1353" s="7"/>
      <c r="X1353" s="7"/>
      <c r="Y1353" s="7"/>
      <c r="Z1353" s="7"/>
      <c r="AA1353" s="7"/>
    </row>
    <row r="1354" spans="1:27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>
        <v>32352</v>
      </c>
      <c r="P1354" s="1">
        <f t="shared" ref="P1354:P1417" si="67" xml:space="preserve"> -1.4681315616E-19*$O1354^6 + 2.80493263066289E-14*$O1354^5 - 2.23271907955907E-09*$O1354^4 + 0.0000947783879077569*$O1354^3 - 2.26293121558813*$O1354^2 + 28813.4861268598*$O1354 - 152852350.445896</f>
        <v>0.46565237641334534</v>
      </c>
      <c r="Q1354" s="25">
        <f t="shared" ref="Q1354:Q1417" si="68" xml:space="preserve"> (6*-1.4681315616E-19*$O1354^5 + 5*2.80493263066289E-14*$O1354^4 - 4*2.23271907955907E-09*$O1354^3 + 3*0.0000947783879077569*$O1354^2 - 2*2.26293121558813*$O1354^1 + 28813.4861268598)*1000</f>
        <v>0.27298579152557068</v>
      </c>
      <c r="R1354" s="24">
        <f t="shared" ref="R1354:R1417" si="69" xml:space="preserve"> (5*6*-1.4681315616E-19*$O1354^4 + 4*5*2.80493263066289E-14*$O1354^3 - 3*4*2.23271907955907E-09*$O1354^2 + 2*3*0.0000947783879077569*$O1354^1 - 2*2.26293121558813)*1000*1000</f>
        <v>-0.12933784798718762</v>
      </c>
      <c r="S1354" s="20"/>
      <c r="T1354" s="7"/>
      <c r="U1354" s="7"/>
      <c r="V1354" s="7"/>
      <c r="W1354" s="7"/>
      <c r="X1354" s="7"/>
      <c r="Y1354" s="7"/>
      <c r="Z1354" s="7"/>
      <c r="AA1354" s="7"/>
    </row>
    <row r="1355" spans="1:27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>
        <v>32353</v>
      </c>
      <c r="P1355" s="1">
        <f t="shared" si="67"/>
        <v>0.46592608094215393</v>
      </c>
      <c r="Q1355" s="25">
        <f t="shared" si="68"/>
        <v>0.27285598844173364</v>
      </c>
      <c r="R1355" s="24">
        <f t="shared" si="69"/>
        <v>-0.13024080214307787</v>
      </c>
      <c r="S1355" s="20"/>
      <c r="T1355" s="7"/>
      <c r="U1355" s="7"/>
      <c r="V1355" s="7"/>
      <c r="W1355" s="7"/>
      <c r="X1355" s="7"/>
      <c r="Y1355" s="7"/>
      <c r="Z1355" s="7"/>
      <c r="AA1355" s="7"/>
    </row>
    <row r="1356" spans="1:27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>
        <v>32354</v>
      </c>
      <c r="P1356" s="1">
        <f t="shared" si="67"/>
        <v>0.46619859337806702</v>
      </c>
      <c r="Q1356" s="25">
        <f t="shared" si="68"/>
        <v>0.27272534134681337</v>
      </c>
      <c r="R1356" s="24">
        <f t="shared" si="69"/>
        <v>-0.13115326691348628</v>
      </c>
      <c r="S1356" s="20"/>
      <c r="T1356" s="7"/>
      <c r="U1356" s="7"/>
      <c r="V1356" s="7"/>
      <c r="W1356" s="7"/>
      <c r="X1356" s="7"/>
      <c r="Y1356" s="7"/>
      <c r="Z1356" s="7"/>
      <c r="AA1356" s="7"/>
    </row>
    <row r="1357" spans="1:27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>
        <v>32355</v>
      </c>
      <c r="P1357" s="1">
        <f t="shared" si="67"/>
        <v>0.46647122502326965</v>
      </c>
      <c r="Q1357" s="25">
        <f t="shared" si="68"/>
        <v>0.2725936756178271</v>
      </c>
      <c r="R1357" s="24">
        <f t="shared" si="69"/>
        <v>-0.13207530091818853</v>
      </c>
      <c r="S1357" s="20"/>
      <c r="T1357" s="7"/>
      <c r="U1357" s="7"/>
      <c r="V1357" s="7"/>
      <c r="W1357" s="7"/>
      <c r="X1357" s="7"/>
      <c r="Y1357" s="7"/>
      <c r="Z1357" s="7"/>
      <c r="AA1357" s="7"/>
    </row>
    <row r="1358" spans="1:27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>
        <v>32356</v>
      </c>
      <c r="P1358" s="1">
        <f t="shared" si="67"/>
        <v>0.46674421429634094</v>
      </c>
      <c r="Q1358" s="25">
        <f t="shared" si="68"/>
        <v>0.27246113677392714</v>
      </c>
      <c r="R1358" s="24">
        <f t="shared" si="69"/>
        <v>-0.1330069521188193</v>
      </c>
      <c r="S1358" s="20"/>
      <c r="T1358" s="7"/>
      <c r="U1358" s="7"/>
      <c r="V1358" s="7"/>
      <c r="W1358" s="7"/>
      <c r="X1358" s="7"/>
      <c r="Y1358" s="7"/>
      <c r="Z1358" s="7"/>
      <c r="AA1358" s="7"/>
    </row>
    <row r="1359" spans="1:27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>
        <v>32357</v>
      </c>
      <c r="P1359" s="1">
        <f t="shared" si="67"/>
        <v>0.46701648831367493</v>
      </c>
      <c r="Q1359" s="25">
        <f t="shared" si="68"/>
        <v>0.27232766660745256</v>
      </c>
      <c r="R1359" s="24">
        <f t="shared" si="69"/>
        <v>-0.1339482755824406</v>
      </c>
      <c r="S1359" s="20"/>
      <c r="T1359" s="7"/>
      <c r="U1359" s="7"/>
      <c r="V1359" s="7"/>
      <c r="W1359" s="7"/>
      <c r="X1359" s="7"/>
      <c r="Y1359" s="7"/>
      <c r="Z1359" s="7"/>
      <c r="AA1359" s="7"/>
    </row>
    <row r="1360" spans="1:27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>
        <v>32358</v>
      </c>
      <c r="P1360" s="1">
        <f t="shared" si="67"/>
        <v>0.46728816628456116</v>
      </c>
      <c r="Q1360" s="25">
        <f t="shared" si="68"/>
        <v>0.27219320691074245</v>
      </c>
      <c r="R1360" s="24">
        <f t="shared" si="69"/>
        <v>-0.13489932992882814</v>
      </c>
      <c r="S1360" s="20"/>
      <c r="T1360" s="7"/>
      <c r="U1360" s="7"/>
      <c r="V1360" s="7"/>
      <c r="W1360" s="7"/>
      <c r="X1360" s="7"/>
      <c r="Y1360" s="7"/>
      <c r="Z1360" s="7"/>
      <c r="AA1360" s="7"/>
    </row>
    <row r="1361" spans="1:27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>
        <v>32359</v>
      </c>
      <c r="P1361" s="1">
        <f t="shared" si="67"/>
        <v>0.46756044030189514</v>
      </c>
      <c r="Q1361" s="25">
        <f t="shared" si="68"/>
        <v>0.27205787409911864</v>
      </c>
      <c r="R1361" s="24">
        <f t="shared" si="69"/>
        <v>-0.13586017200140077</v>
      </c>
      <c r="S1361" s="20"/>
      <c r="T1361" s="7"/>
      <c r="U1361" s="7"/>
      <c r="V1361" s="7"/>
      <c r="W1361" s="7"/>
      <c r="X1361" s="7"/>
      <c r="Y1361" s="7"/>
      <c r="Z1361" s="7"/>
      <c r="AA1361" s="7"/>
    </row>
    <row r="1362" spans="1:27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>
        <v>32360</v>
      </c>
      <c r="P1362" s="1">
        <f t="shared" si="67"/>
        <v>0.46783223748207092</v>
      </c>
      <c r="Q1362" s="25">
        <f t="shared" si="68"/>
        <v>0.27192149354959838</v>
      </c>
      <c r="R1362" s="24">
        <f t="shared" si="69"/>
        <v>-0.13683084620907948</v>
      </c>
      <c r="S1362" s="20"/>
      <c r="T1362" s="7"/>
      <c r="U1362" s="7"/>
      <c r="V1362" s="7"/>
      <c r="W1362" s="7"/>
      <c r="X1362" s="7"/>
      <c r="Y1362" s="7"/>
      <c r="Z1362" s="7"/>
      <c r="AA1362" s="7"/>
    </row>
    <row r="1363" spans="1:27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>
        <v>32361</v>
      </c>
      <c r="P1363" s="1">
        <f t="shared" si="67"/>
        <v>0.46810439229011536</v>
      </c>
      <c r="Q1363" s="25">
        <f t="shared" si="68"/>
        <v>0.27178418167750351</v>
      </c>
      <c r="R1363" s="24">
        <f t="shared" si="69"/>
        <v>-0.13781142182978101</v>
      </c>
      <c r="S1363" s="20"/>
      <c r="T1363" s="7"/>
      <c r="U1363" s="7"/>
      <c r="V1363" s="7"/>
      <c r="W1363" s="7"/>
      <c r="X1363" s="7"/>
      <c r="Y1363" s="7"/>
      <c r="Z1363" s="7"/>
      <c r="AA1363" s="7"/>
    </row>
    <row r="1364" spans="1:27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>
        <v>32362</v>
      </c>
      <c r="P1364" s="1">
        <f t="shared" si="67"/>
        <v>0.46837642788887024</v>
      </c>
      <c r="Q1364" s="25">
        <f t="shared" si="68"/>
        <v>0.27164590937900357</v>
      </c>
      <c r="R1364" s="24">
        <f t="shared" si="69"/>
        <v>-0.13880193616699898</v>
      </c>
      <c r="S1364" s="20"/>
      <c r="T1364" s="7"/>
      <c r="U1364" s="7"/>
      <c r="V1364" s="7"/>
      <c r="W1364" s="7"/>
      <c r="X1364" s="7"/>
      <c r="Y1364" s="7"/>
      <c r="Z1364" s="7"/>
      <c r="AA1364" s="7"/>
    </row>
    <row r="1365" spans="1:27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>
        <v>32363</v>
      </c>
      <c r="P1365" s="1">
        <f t="shared" si="67"/>
        <v>0.46864750981330872</v>
      </c>
      <c r="Q1365" s="25">
        <f t="shared" si="68"/>
        <v>0.27150661844643764</v>
      </c>
      <c r="R1365" s="24">
        <f t="shared" si="69"/>
        <v>-0.13980245494593646</v>
      </c>
      <c r="S1365" s="20"/>
      <c r="T1365" s="7"/>
      <c r="U1365" s="7"/>
      <c r="V1365" s="7"/>
      <c r="W1365" s="7"/>
      <c r="X1365" s="7"/>
      <c r="Y1365" s="7"/>
      <c r="Z1365" s="7"/>
      <c r="AA1365" s="7"/>
    </row>
    <row r="1366" spans="1:27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>
        <v>32364</v>
      </c>
      <c r="P1366" s="1">
        <f t="shared" si="67"/>
        <v>0.46891918778419495</v>
      </c>
      <c r="Q1366" s="25">
        <f t="shared" si="68"/>
        <v>0.27136625067214482</v>
      </c>
      <c r="R1366" s="24">
        <f t="shared" si="69"/>
        <v>-0.14081303145729862</v>
      </c>
      <c r="S1366" s="20"/>
      <c r="T1366" s="7"/>
      <c r="U1366" s="7"/>
      <c r="V1366" s="7"/>
      <c r="W1366" s="7"/>
      <c r="X1366" s="7"/>
      <c r="Y1366" s="7"/>
      <c r="Z1366" s="7"/>
      <c r="AA1366" s="7"/>
    </row>
    <row r="1367" spans="1:27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>
        <v>32365</v>
      </c>
      <c r="P1367" s="1">
        <f t="shared" si="67"/>
        <v>0.46919003129005432</v>
      </c>
      <c r="Q1367" s="25">
        <f t="shared" si="68"/>
        <v>0.27122489336761646</v>
      </c>
      <c r="R1367" s="24">
        <f t="shared" si="69"/>
        <v>-0.14183371899179065</v>
      </c>
      <c r="S1367" s="20"/>
      <c r="T1367" s="7"/>
      <c r="U1367" s="7"/>
      <c r="V1367" s="7"/>
      <c r="W1367" s="7"/>
      <c r="X1367" s="7"/>
      <c r="Y1367" s="7"/>
      <c r="Z1367" s="7"/>
      <c r="AA1367" s="7"/>
    </row>
    <row r="1368" spans="1:27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>
        <v>32366</v>
      </c>
      <c r="P1368" s="1">
        <f t="shared" si="67"/>
        <v>0.4694620668888092</v>
      </c>
      <c r="Q1368" s="25">
        <f t="shared" si="68"/>
        <v>0.27108257563668303</v>
      </c>
      <c r="R1368" s="24">
        <f t="shared" si="69"/>
        <v>-0.14286457972190192</v>
      </c>
      <c r="S1368" s="20"/>
      <c r="T1368" s="7"/>
      <c r="U1368" s="7"/>
      <c r="V1368" s="7"/>
      <c r="W1368" s="7"/>
      <c r="X1368" s="7"/>
      <c r="Y1368" s="7"/>
      <c r="Z1368" s="7"/>
      <c r="AA1368" s="7"/>
    </row>
    <row r="1369" spans="1:27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>
        <v>32367</v>
      </c>
      <c r="P1369" s="1">
        <f t="shared" si="67"/>
        <v>0.46973231434822083</v>
      </c>
      <c r="Q1369" s="25">
        <f t="shared" si="68"/>
        <v>0.27093923927168362</v>
      </c>
      <c r="R1369" s="24">
        <f t="shared" si="69"/>
        <v>-0.14390565450383974</v>
      </c>
      <c r="S1369" s="20"/>
      <c r="T1369" s="7"/>
      <c r="U1369" s="7"/>
      <c r="V1369" s="7"/>
      <c r="W1369" s="7"/>
      <c r="X1369" s="7"/>
      <c r="Y1369" s="7"/>
      <c r="Z1369" s="7"/>
      <c r="AA1369" s="7"/>
    </row>
    <row r="1370" spans="1:27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>
        <v>32368</v>
      </c>
      <c r="P1370" s="1">
        <f t="shared" si="67"/>
        <v>0.4700033962726593</v>
      </c>
      <c r="Q1370" s="25">
        <f t="shared" si="68"/>
        <v>0.27079479696112685</v>
      </c>
      <c r="R1370" s="24">
        <f t="shared" si="69"/>
        <v>-0.14495701261552085</v>
      </c>
      <c r="S1370" s="20"/>
      <c r="T1370" s="7"/>
      <c r="U1370" s="7"/>
      <c r="V1370" s="7"/>
      <c r="W1370" s="7"/>
      <c r="X1370" s="7"/>
      <c r="Y1370" s="7"/>
      <c r="Z1370" s="7"/>
      <c r="AA1370" s="7"/>
    </row>
    <row r="1371" spans="1:27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>
        <v>32369</v>
      </c>
      <c r="P1371" s="1">
        <f t="shared" si="67"/>
        <v>0.47027376294136047</v>
      </c>
      <c r="Q1371" s="25">
        <f t="shared" si="68"/>
        <v>0.27064930691267364</v>
      </c>
      <c r="R1371" s="24">
        <f t="shared" si="69"/>
        <v>-0.14601870201857992</v>
      </c>
      <c r="S1371" s="20"/>
      <c r="T1371" s="7"/>
      <c r="U1371" s="7"/>
      <c r="V1371" s="7"/>
      <c r="W1371" s="7"/>
      <c r="X1371" s="7"/>
      <c r="Y1371" s="7"/>
      <c r="Z1371" s="7"/>
      <c r="AA1371" s="7"/>
    </row>
    <row r="1372" spans="1:27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>
        <v>32370</v>
      </c>
      <c r="P1372" s="1">
        <f t="shared" si="67"/>
        <v>0.4705449640750885</v>
      </c>
      <c r="Q1372" s="25">
        <f t="shared" si="68"/>
        <v>0.27050279823015444</v>
      </c>
      <c r="R1372" s="24">
        <f t="shared" si="69"/>
        <v>-0.14709078310914947</v>
      </c>
      <c r="S1372" s="20"/>
      <c r="T1372" s="7"/>
      <c r="U1372" s="7"/>
      <c r="V1372" s="7"/>
      <c r="W1372" s="7"/>
      <c r="X1372" s="7"/>
      <c r="Y1372" s="7"/>
      <c r="Z1372" s="7"/>
      <c r="AA1372" s="7"/>
    </row>
    <row r="1373" spans="1:27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>
        <v>32371</v>
      </c>
      <c r="P1373" s="1">
        <f t="shared" si="67"/>
        <v>0.47081533074378967</v>
      </c>
      <c r="Q1373" s="25">
        <f t="shared" si="68"/>
        <v>0.27035515449824743</v>
      </c>
      <c r="R1373" s="24">
        <f t="shared" si="69"/>
        <v>-0.14817330562522102</v>
      </c>
      <c r="S1373" s="20"/>
      <c r="T1373" s="7"/>
      <c r="U1373" s="7"/>
      <c r="V1373" s="7"/>
      <c r="W1373" s="7"/>
      <c r="X1373" s="7"/>
      <c r="Y1373" s="7"/>
      <c r="Z1373" s="7"/>
      <c r="AA1373" s="7"/>
    </row>
    <row r="1374" spans="1:27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>
        <v>32372</v>
      </c>
      <c r="P1374" s="1">
        <f t="shared" si="67"/>
        <v>0.47108569741249084</v>
      </c>
      <c r="Q1374" s="25">
        <f t="shared" si="68"/>
        <v>0.27020640482078306</v>
      </c>
      <c r="R1374" s="24">
        <f t="shared" si="69"/>
        <v>-0.14926633173928394</v>
      </c>
      <c r="S1374" s="20"/>
      <c r="T1374" s="7"/>
      <c r="U1374" s="7"/>
      <c r="V1374" s="7"/>
      <c r="W1374" s="7"/>
      <c r="X1374" s="7"/>
      <c r="Y1374" s="7"/>
      <c r="Z1374" s="7"/>
      <c r="AA1374" s="7"/>
    </row>
    <row r="1375" spans="1:27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>
        <v>32373</v>
      </c>
      <c r="P1375" s="1">
        <f t="shared" si="67"/>
        <v>0.47135546803474426</v>
      </c>
      <c r="Q1375" s="25">
        <f t="shared" si="68"/>
        <v>0.27005660740542226</v>
      </c>
      <c r="R1375" s="24">
        <f t="shared" si="69"/>
        <v>-0.15036991474204342</v>
      </c>
      <c r="S1375" s="20"/>
      <c r="T1375" s="7"/>
      <c r="U1375" s="7"/>
      <c r="V1375" s="7"/>
      <c r="W1375" s="7"/>
      <c r="X1375" s="7"/>
      <c r="Y1375" s="7"/>
      <c r="Z1375" s="7"/>
      <c r="AA1375" s="7"/>
    </row>
    <row r="1376" spans="1:27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>
        <v>32374</v>
      </c>
      <c r="P1376" s="1">
        <f t="shared" si="67"/>
        <v>0.47162583470344543</v>
      </c>
      <c r="Q1376" s="25">
        <f t="shared" si="68"/>
        <v>0.26990564583684318</v>
      </c>
      <c r="R1376" s="24">
        <f t="shared" si="69"/>
        <v>-0.15148411502963199</v>
      </c>
      <c r="S1376" s="20"/>
      <c r="T1376" s="7"/>
      <c r="U1376" s="7"/>
      <c r="V1376" s="7"/>
      <c r="W1376" s="7"/>
      <c r="X1376" s="7"/>
      <c r="Y1376" s="7"/>
      <c r="Z1376" s="7"/>
      <c r="AA1376" s="7"/>
    </row>
    <row r="1377" spans="1:27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>
        <v>32375</v>
      </c>
      <c r="P1377" s="1">
        <f t="shared" si="67"/>
        <v>0.4718954861164093</v>
      </c>
      <c r="Q1377" s="25">
        <f t="shared" si="68"/>
        <v>0.26975363653036766</v>
      </c>
      <c r="R1377" s="24">
        <f t="shared" si="69"/>
        <v>-0.15260897878732749</v>
      </c>
      <c r="S1377" s="20"/>
      <c r="T1377" s="7"/>
      <c r="U1377" s="7"/>
      <c r="V1377" s="7"/>
      <c r="W1377" s="7"/>
      <c r="X1377" s="7"/>
      <c r="Y1377" s="7"/>
      <c r="Z1377" s="7"/>
      <c r="AA1377" s="7"/>
    </row>
    <row r="1378" spans="1:27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>
        <v>32376</v>
      </c>
      <c r="P1378" s="1">
        <f t="shared" si="67"/>
        <v>0.47216501832008362</v>
      </c>
      <c r="Q1378" s="25">
        <f t="shared" si="68"/>
        <v>0.26960040486301295</v>
      </c>
      <c r="R1378" s="24">
        <f t="shared" si="69"/>
        <v>-0.15374456818761928</v>
      </c>
      <c r="S1378" s="20"/>
      <c r="T1378" s="7"/>
      <c r="U1378" s="7"/>
      <c r="V1378" s="7"/>
      <c r="W1378" s="7"/>
      <c r="X1378" s="7"/>
      <c r="Y1378" s="7"/>
      <c r="Z1378" s="7"/>
      <c r="AA1378" s="7"/>
    </row>
    <row r="1379" spans="1:27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>
        <v>32377</v>
      </c>
      <c r="P1379" s="1">
        <f t="shared" si="67"/>
        <v>0.47243466973304749</v>
      </c>
      <c r="Q1379" s="25">
        <f t="shared" si="68"/>
        <v>0.26944615456159227</v>
      </c>
      <c r="R1379" s="24">
        <f t="shared" si="69"/>
        <v>-0.15489094007392623</v>
      </c>
      <c r="S1379" s="20"/>
      <c r="T1379" s="7"/>
      <c r="U1379" s="7"/>
      <c r="V1379" s="7"/>
      <c r="W1379" s="7"/>
      <c r="X1379" s="7"/>
      <c r="Y1379" s="7"/>
      <c r="Z1379" s="7"/>
      <c r="AA1379" s="7"/>
    </row>
    <row r="1380" spans="1:27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>
        <v>32378</v>
      </c>
      <c r="P1380" s="1">
        <f t="shared" si="67"/>
        <v>0.47270408272743225</v>
      </c>
      <c r="Q1380" s="25">
        <f t="shared" si="68"/>
        <v>0.26929071100312285</v>
      </c>
      <c r="R1380" s="24">
        <f t="shared" si="69"/>
        <v>-0.1560481512896672</v>
      </c>
      <c r="S1380" s="20"/>
      <c r="T1380" s="7"/>
      <c r="U1380" s="7"/>
      <c r="V1380" s="7"/>
      <c r="W1380" s="7"/>
      <c r="X1380" s="7"/>
      <c r="Y1380" s="7"/>
      <c r="Z1380" s="7"/>
      <c r="AA1380" s="7"/>
    </row>
    <row r="1381" spans="1:27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>
        <v>32379</v>
      </c>
      <c r="P1381" s="1">
        <f t="shared" si="67"/>
        <v>0.47297337651252747</v>
      </c>
      <c r="Q1381" s="25">
        <f t="shared" si="68"/>
        <v>0.26913398687611334</v>
      </c>
      <c r="R1381" s="24">
        <f t="shared" si="69"/>
        <v>-0.15721625512554738</v>
      </c>
      <c r="S1381" s="20"/>
      <c r="T1381" s="7"/>
      <c r="U1381" s="7"/>
      <c r="V1381" s="7"/>
      <c r="W1381" s="7"/>
      <c r="X1381" s="7"/>
      <c r="Y1381" s="7"/>
      <c r="Z1381" s="7"/>
      <c r="AA1381" s="7"/>
    </row>
    <row r="1382" spans="1:27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>
        <v>32380</v>
      </c>
      <c r="P1382" s="1">
        <f t="shared" si="67"/>
        <v>0.47324278950691223</v>
      </c>
      <c r="Q1382" s="25">
        <f t="shared" si="68"/>
        <v>0.26897621501120739</v>
      </c>
      <c r="R1382" s="24">
        <f t="shared" si="69"/>
        <v>-0.15839530842498561</v>
      </c>
      <c r="S1382" s="20"/>
      <c r="T1382" s="7"/>
      <c r="U1382" s="7"/>
      <c r="V1382" s="7"/>
      <c r="W1382" s="7"/>
      <c r="X1382" s="7"/>
      <c r="Y1382" s="7"/>
      <c r="Z1382" s="7"/>
      <c r="AA1382" s="7"/>
    </row>
    <row r="1383" spans="1:27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>
        <v>32381</v>
      </c>
      <c r="P1383" s="1">
        <f t="shared" si="67"/>
        <v>0.47351148724555969</v>
      </c>
      <c r="Q1383" s="25">
        <f t="shared" si="68"/>
        <v>0.26881724988925271</v>
      </c>
      <c r="R1383" s="24">
        <f t="shared" si="69"/>
        <v>-0.15958537513682813</v>
      </c>
      <c r="S1383" s="20"/>
      <c r="T1383" s="7"/>
      <c r="U1383" s="7"/>
      <c r="V1383" s="7"/>
      <c r="W1383" s="7"/>
      <c r="X1383" s="7"/>
      <c r="Y1383" s="7"/>
      <c r="Z1383" s="7"/>
      <c r="AA1383" s="7"/>
    </row>
    <row r="1384" spans="1:27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>
        <v>32382</v>
      </c>
      <c r="P1384" s="1">
        <f t="shared" si="67"/>
        <v>0.4737798273563385</v>
      </c>
      <c r="Q1384" s="25">
        <f t="shared" si="68"/>
        <v>0.26865703330258839</v>
      </c>
      <c r="R1384" s="24">
        <f t="shared" si="69"/>
        <v>-0.16078650144635276</v>
      </c>
      <c r="S1384" s="20"/>
      <c r="T1384" s="7"/>
      <c r="U1384" s="7"/>
      <c r="V1384" s="7"/>
      <c r="W1384" s="7"/>
      <c r="X1384" s="7"/>
      <c r="Y1384" s="7"/>
      <c r="Z1384" s="7"/>
      <c r="AA1384" s="7"/>
    </row>
    <row r="1385" spans="1:27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>
        <v>32383</v>
      </c>
      <c r="P1385" s="1">
        <f t="shared" si="67"/>
        <v>0.47404828667640686</v>
      </c>
      <c r="Q1385" s="25">
        <f t="shared" si="68"/>
        <v>0.2684956525627058</v>
      </c>
      <c r="R1385" s="24">
        <f t="shared" si="69"/>
        <v>-0.16199875307876255</v>
      </c>
      <c r="S1385" s="20"/>
      <c r="T1385" s="7"/>
      <c r="U1385" s="7"/>
      <c r="V1385" s="7"/>
      <c r="W1385" s="7"/>
      <c r="X1385" s="7"/>
      <c r="Y1385" s="7"/>
      <c r="Z1385" s="7"/>
      <c r="AA1385" s="7"/>
    </row>
    <row r="1386" spans="1:27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>
        <v>32384</v>
      </c>
      <c r="P1386" s="1">
        <f t="shared" si="67"/>
        <v>0.47431698441505432</v>
      </c>
      <c r="Q1386" s="25">
        <f t="shared" si="68"/>
        <v>0.26833302035811357</v>
      </c>
      <c r="R1386" s="24">
        <f t="shared" si="69"/>
        <v>-0.16322217799569216</v>
      </c>
      <c r="S1386" s="20"/>
      <c r="T1386" s="7"/>
      <c r="U1386" s="7"/>
      <c r="V1386" s="7"/>
      <c r="W1386" s="7"/>
      <c r="X1386" s="7"/>
      <c r="Y1386" s="7"/>
      <c r="Z1386" s="7"/>
      <c r="AA1386" s="7"/>
    </row>
    <row r="1387" spans="1:27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>
        <v>32385</v>
      </c>
      <c r="P1387" s="1">
        <f t="shared" si="67"/>
        <v>0.47458508610725403</v>
      </c>
      <c r="Q1387" s="25">
        <f t="shared" si="68"/>
        <v>0.26816919489647262</v>
      </c>
      <c r="R1387" s="24">
        <f t="shared" si="69"/>
        <v>-0.16445684547505834</v>
      </c>
      <c r="S1387" s="20"/>
      <c r="T1387" s="7"/>
      <c r="U1387" s="7"/>
      <c r="V1387" s="7"/>
      <c r="W1387" s="7"/>
      <c r="X1387" s="7"/>
      <c r="Y1387" s="7"/>
      <c r="Z1387" s="7"/>
      <c r="AA1387" s="7"/>
    </row>
    <row r="1388" spans="1:27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>
        <v>32386</v>
      </c>
      <c r="P1388" s="1">
        <f t="shared" si="67"/>
        <v>0.47485306859016418</v>
      </c>
      <c r="Q1388" s="25">
        <f t="shared" si="68"/>
        <v>0.26800414707395248</v>
      </c>
      <c r="R1388" s="24">
        <f t="shared" si="69"/>
        <v>-0.16570280347849575</v>
      </c>
      <c r="S1388" s="20"/>
      <c r="T1388" s="7"/>
      <c r="U1388" s="7"/>
      <c r="V1388" s="7"/>
      <c r="W1388" s="7"/>
      <c r="X1388" s="7"/>
      <c r="Y1388" s="7"/>
      <c r="Z1388" s="7"/>
      <c r="AA1388" s="7"/>
    </row>
    <row r="1389" spans="1:27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>
        <v>32387</v>
      </c>
      <c r="P1389" s="1">
        <f t="shared" si="67"/>
        <v>0.47512081265449524</v>
      </c>
      <c r="Q1389" s="25">
        <f t="shared" si="68"/>
        <v>0.26783776047523133</v>
      </c>
      <c r="R1389" s="24">
        <f t="shared" si="69"/>
        <v>-0.16696011062578009</v>
      </c>
      <c r="S1389" s="20"/>
      <c r="T1389" s="7"/>
      <c r="U1389" s="7"/>
      <c r="V1389" s="7"/>
      <c r="W1389" s="7"/>
      <c r="X1389" s="7"/>
      <c r="Y1389" s="7"/>
      <c r="Z1389" s="7"/>
      <c r="AA1389" s="7"/>
    </row>
    <row r="1390" spans="1:27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>
        <v>32388</v>
      </c>
      <c r="P1390" s="1">
        <f t="shared" si="67"/>
        <v>0.47538867592811584</v>
      </c>
      <c r="Q1390" s="25">
        <f t="shared" si="68"/>
        <v>0.26767023882712238</v>
      </c>
      <c r="R1390" s="24">
        <f t="shared" si="69"/>
        <v>-0.16822882908940073</v>
      </c>
      <c r="S1390" s="20"/>
      <c r="T1390" s="7"/>
      <c r="U1390" s="7"/>
      <c r="V1390" s="7"/>
      <c r="W1390" s="7"/>
      <c r="X1390" s="7"/>
      <c r="Y1390" s="7"/>
      <c r="Z1390" s="7"/>
      <c r="AA1390" s="7"/>
    </row>
    <row r="1391" spans="1:27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>
        <v>32389</v>
      </c>
      <c r="P1391" s="1">
        <f t="shared" si="67"/>
        <v>0.4756564199924469</v>
      </c>
      <c r="Q1391" s="25">
        <f t="shared" si="68"/>
        <v>0.26750132019515149</v>
      </c>
      <c r="R1391" s="24">
        <f t="shared" si="69"/>
        <v>-0.16950901393641971</v>
      </c>
      <c r="S1391" s="20"/>
      <c r="T1391" s="7"/>
      <c r="U1391" s="7"/>
      <c r="V1391" s="7"/>
      <c r="W1391" s="7"/>
      <c r="X1391" s="7"/>
      <c r="Y1391" s="7"/>
      <c r="Z1391" s="7"/>
      <c r="AA1391" s="7"/>
    </row>
    <row r="1392" spans="1:27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>
        <v>32390</v>
      </c>
      <c r="P1392" s="1">
        <f t="shared" si="67"/>
        <v>0.47592392563819885</v>
      </c>
      <c r="Q1392" s="25">
        <f t="shared" si="68"/>
        <v>0.26733117920230143</v>
      </c>
      <c r="R1392" s="24">
        <f t="shared" si="69"/>
        <v>-0.17080071845754219</v>
      </c>
      <c r="S1392" s="20"/>
      <c r="T1392" s="7"/>
      <c r="U1392" s="7"/>
      <c r="V1392" s="7"/>
      <c r="W1392" s="7"/>
      <c r="X1392" s="7"/>
      <c r="Y1392" s="7"/>
      <c r="Z1392" s="7"/>
      <c r="AA1392" s="7"/>
    </row>
    <row r="1393" spans="1:27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>
        <v>32391</v>
      </c>
      <c r="P1393" s="1">
        <f t="shared" si="67"/>
        <v>0.47619131207466125</v>
      </c>
      <c r="Q1393" s="25">
        <f t="shared" si="68"/>
        <v>0.26715972853708081</v>
      </c>
      <c r="R1393" s="24">
        <f t="shared" si="69"/>
        <v>-0.17210400837797124</v>
      </c>
      <c r="S1393" s="20"/>
      <c r="T1393" s="7"/>
      <c r="U1393" s="7"/>
      <c r="V1393" s="7"/>
      <c r="W1393" s="7"/>
      <c r="X1393" s="7"/>
      <c r="Y1393" s="7"/>
      <c r="Z1393" s="7"/>
      <c r="AA1393" s="7"/>
    </row>
    <row r="1394" spans="1:27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>
        <v>32392</v>
      </c>
      <c r="P1394" s="1">
        <f t="shared" si="67"/>
        <v>0.4764578640460968</v>
      </c>
      <c r="Q1394" s="25">
        <f t="shared" si="68"/>
        <v>0.26698693909565918</v>
      </c>
      <c r="R1394" s="24">
        <f t="shared" si="69"/>
        <v>-0.17341893698841204</v>
      </c>
      <c r="S1394" s="20"/>
      <c r="T1394" s="7"/>
      <c r="U1394" s="7"/>
      <c r="V1394" s="7"/>
      <c r="W1394" s="7"/>
      <c r="X1394" s="7"/>
      <c r="Y1394" s="7"/>
      <c r="Z1394" s="7"/>
      <c r="AA1394" s="7"/>
    </row>
    <row r="1395" spans="1:27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>
        <v>32393</v>
      </c>
      <c r="P1395" s="1">
        <f t="shared" si="67"/>
        <v>0.47672489285469055</v>
      </c>
      <c r="Q1395" s="25">
        <f t="shared" si="68"/>
        <v>0.26681286908569746</v>
      </c>
      <c r="R1395" s="24">
        <f t="shared" si="69"/>
        <v>-0.17474556468499713</v>
      </c>
      <c r="S1395" s="20"/>
      <c r="T1395" s="7"/>
      <c r="U1395" s="7"/>
      <c r="V1395" s="7"/>
      <c r="W1395" s="7"/>
      <c r="X1395" s="7"/>
      <c r="Y1395" s="7"/>
      <c r="Z1395" s="7"/>
      <c r="AA1395" s="7"/>
    </row>
    <row r="1396" spans="1:27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>
        <v>32394</v>
      </c>
      <c r="P1396" s="1">
        <f t="shared" si="67"/>
        <v>0.47699180245399475</v>
      </c>
      <c r="Q1396" s="25">
        <f t="shared" si="68"/>
        <v>0.26663746029953472</v>
      </c>
      <c r="R1396" s="24">
        <f t="shared" si="69"/>
        <v>-0.17608394298207486</v>
      </c>
      <c r="S1396" s="20"/>
      <c r="T1396" s="7"/>
      <c r="U1396" s="7"/>
      <c r="V1396" s="7"/>
      <c r="W1396" s="7"/>
      <c r="X1396" s="7"/>
      <c r="Y1396" s="7"/>
      <c r="Z1396" s="7"/>
      <c r="AA1396" s="7"/>
    </row>
    <row r="1397" spans="1:27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>
        <v>32395</v>
      </c>
      <c r="P1397" s="1">
        <f t="shared" si="67"/>
        <v>0.4772588312625885</v>
      </c>
      <c r="Q1397" s="25">
        <f t="shared" si="68"/>
        <v>0.26646071273717098</v>
      </c>
      <c r="R1397" s="24">
        <f t="shared" si="69"/>
        <v>-0.17743413760484827</v>
      </c>
      <c r="S1397" s="20"/>
      <c r="T1397" s="7"/>
      <c r="U1397" s="7"/>
      <c r="V1397" s="7"/>
      <c r="W1397" s="7"/>
      <c r="X1397" s="7"/>
      <c r="Y1397" s="7"/>
      <c r="Z1397" s="7"/>
      <c r="AA1397" s="7"/>
    </row>
    <row r="1398" spans="1:27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>
        <v>32396</v>
      </c>
      <c r="P1398" s="1">
        <f t="shared" si="67"/>
        <v>0.47752466797828674</v>
      </c>
      <c r="Q1398" s="25">
        <f t="shared" si="68"/>
        <v>0.26628265550243668</v>
      </c>
      <c r="R1398" s="24">
        <f t="shared" si="69"/>
        <v>-0.17879620717309308</v>
      </c>
      <c r="S1398" s="20"/>
      <c r="T1398" s="7"/>
      <c r="U1398" s="7"/>
      <c r="V1398" s="7"/>
      <c r="W1398" s="7"/>
      <c r="X1398" s="7"/>
      <c r="Y1398" s="7"/>
      <c r="Z1398" s="7"/>
      <c r="AA1398" s="7"/>
    </row>
    <row r="1399" spans="1:27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>
        <v>32397</v>
      </c>
      <c r="P1399" s="1">
        <f t="shared" si="67"/>
        <v>0.47779086232185364</v>
      </c>
      <c r="Q1399" s="25">
        <f t="shared" si="68"/>
        <v>0.26610311397234909</v>
      </c>
      <c r="R1399" s="24">
        <f t="shared" si="69"/>
        <v>-0.18017020320115762</v>
      </c>
      <c r="S1399" s="20"/>
      <c r="T1399" s="7"/>
      <c r="U1399" s="7"/>
      <c r="V1399" s="7"/>
      <c r="W1399" s="7"/>
      <c r="X1399" s="7"/>
      <c r="Y1399" s="7"/>
      <c r="Z1399" s="7"/>
      <c r="AA1399" s="7"/>
    </row>
    <row r="1400" spans="1:27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>
        <v>32398</v>
      </c>
      <c r="P1400" s="1">
        <f t="shared" si="67"/>
        <v>0.47805669903755188</v>
      </c>
      <c r="Q1400" s="25">
        <f t="shared" si="68"/>
        <v>0.26592223366606049</v>
      </c>
      <c r="R1400" s="24">
        <f t="shared" si="69"/>
        <v>-0.18155618963788811</v>
      </c>
      <c r="S1400" s="20"/>
      <c r="T1400" s="7"/>
      <c r="U1400" s="7"/>
      <c r="V1400" s="7"/>
      <c r="W1400" s="7"/>
      <c r="X1400" s="7"/>
      <c r="Y1400" s="7"/>
      <c r="Z1400" s="7"/>
      <c r="AA1400" s="7"/>
    </row>
    <row r="1401" spans="1:27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>
        <v>32399</v>
      </c>
      <c r="P1401" s="1">
        <f t="shared" si="67"/>
        <v>0.47832301259040833</v>
      </c>
      <c r="Q1401" s="25">
        <f t="shared" si="68"/>
        <v>0.26574004368740134</v>
      </c>
      <c r="R1401" s="24">
        <f t="shared" si="69"/>
        <v>-0.18295422865577393</v>
      </c>
      <c r="S1401" s="20"/>
      <c r="T1401" s="7"/>
      <c r="U1401" s="7"/>
      <c r="V1401" s="7"/>
      <c r="W1401" s="7"/>
      <c r="X1401" s="7"/>
      <c r="Y1401" s="7"/>
      <c r="Z1401" s="7"/>
      <c r="AA1401" s="7"/>
    </row>
    <row r="1402" spans="1:27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>
        <v>32400</v>
      </c>
      <c r="P1402" s="1">
        <f t="shared" si="67"/>
        <v>0.47858825325965881</v>
      </c>
      <c r="Q1402" s="25">
        <f t="shared" si="68"/>
        <v>0.26555634030955844</v>
      </c>
      <c r="R1402" s="24">
        <f t="shared" si="69"/>
        <v>-0.18436436821644975</v>
      </c>
      <c r="S1402" s="20"/>
      <c r="T1402" s="7"/>
      <c r="U1402" s="7"/>
      <c r="V1402" s="7"/>
      <c r="W1402" s="7"/>
      <c r="X1402" s="7"/>
      <c r="Y1402" s="7"/>
      <c r="Z1402" s="7"/>
      <c r="AA1402" s="7"/>
    </row>
    <row r="1403" spans="1:27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>
        <v>32401</v>
      </c>
      <c r="P1403" s="1">
        <f t="shared" si="67"/>
        <v>0.47885408997535706</v>
      </c>
      <c r="Q1403" s="25">
        <f t="shared" si="68"/>
        <v>0.26537129815551452</v>
      </c>
      <c r="R1403" s="24">
        <f t="shared" si="69"/>
        <v>-0.18578668115054597</v>
      </c>
      <c r="S1403" s="20"/>
      <c r="T1403" s="7"/>
      <c r="U1403" s="7"/>
      <c r="V1403" s="7"/>
      <c r="W1403" s="7"/>
      <c r="X1403" s="7"/>
      <c r="Y1403" s="7"/>
      <c r="Z1403" s="7"/>
      <c r="AA1403" s="7"/>
    </row>
    <row r="1404" spans="1:27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>
        <v>32402</v>
      </c>
      <c r="P1404" s="1">
        <f t="shared" si="67"/>
        <v>0.47911944985389709</v>
      </c>
      <c r="Q1404" s="25">
        <f t="shared" si="68"/>
        <v>0.26518477170611732</v>
      </c>
      <c r="R1404" s="24">
        <f t="shared" si="69"/>
        <v>-0.18722121009062676</v>
      </c>
      <c r="S1404" s="20"/>
      <c r="T1404" s="7"/>
      <c r="U1404" s="7"/>
      <c r="V1404" s="7"/>
      <c r="W1404" s="7"/>
      <c r="X1404" s="7"/>
      <c r="Y1404" s="7"/>
      <c r="Z1404" s="7"/>
      <c r="AA1404" s="7"/>
    </row>
    <row r="1405" spans="1:27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>
        <v>32403</v>
      </c>
      <c r="P1405" s="1">
        <f t="shared" si="67"/>
        <v>0.47938397526741028</v>
      </c>
      <c r="Q1405" s="25">
        <f t="shared" si="68"/>
        <v>0.26499679006519727</v>
      </c>
      <c r="R1405" s="24">
        <f t="shared" si="69"/>
        <v>-0.18866802786732251</v>
      </c>
      <c r="S1405" s="20"/>
      <c r="T1405" s="7"/>
      <c r="U1405" s="7"/>
      <c r="V1405" s="7"/>
      <c r="W1405" s="7"/>
      <c r="X1405" s="7"/>
      <c r="Y1405" s="7"/>
      <c r="Z1405" s="7"/>
      <c r="AA1405" s="7"/>
    </row>
    <row r="1406" spans="1:27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>
        <v>32404</v>
      </c>
      <c r="P1406" s="1">
        <f t="shared" si="67"/>
        <v>0.47964861989021301</v>
      </c>
      <c r="Q1406" s="25">
        <f t="shared" si="68"/>
        <v>0.26480741144041531</v>
      </c>
      <c r="R1406" s="24">
        <f t="shared" si="69"/>
        <v>-0.19012718777133841</v>
      </c>
      <c r="S1406" s="20"/>
      <c r="T1406" s="7"/>
      <c r="U1406" s="7"/>
      <c r="V1406" s="7"/>
      <c r="W1406" s="7"/>
      <c r="X1406" s="7"/>
      <c r="Y1406" s="7"/>
      <c r="Z1406" s="7"/>
      <c r="AA1406" s="7"/>
    </row>
    <row r="1407" spans="1:27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>
        <v>32405</v>
      </c>
      <c r="P1407" s="1">
        <f t="shared" si="67"/>
        <v>0.47991445660591125</v>
      </c>
      <c r="Q1407" s="25">
        <f t="shared" si="68"/>
        <v>0.26461654852028005</v>
      </c>
      <c r="R1407" s="24">
        <f t="shared" si="69"/>
        <v>-0.19159874664609333</v>
      </c>
      <c r="S1407" s="20"/>
      <c r="T1407" s="7"/>
      <c r="U1407" s="7"/>
      <c r="V1407" s="7"/>
      <c r="W1407" s="7"/>
      <c r="X1407" s="7"/>
      <c r="Y1407" s="7"/>
      <c r="Z1407" s="7"/>
      <c r="AA1407" s="7"/>
    </row>
    <row r="1408" spans="1:27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>
        <v>32406</v>
      </c>
      <c r="P1408" s="1">
        <f t="shared" si="67"/>
        <v>0.48017898201942444</v>
      </c>
      <c r="Q1408" s="25">
        <f t="shared" si="68"/>
        <v>0.26442425951245241</v>
      </c>
      <c r="R1408" s="24">
        <f t="shared" si="69"/>
        <v>-0.19308276844043348</v>
      </c>
      <c r="S1408" s="20"/>
      <c r="T1408" s="7"/>
      <c r="U1408" s="7"/>
      <c r="V1408" s="7"/>
      <c r="W1408" s="7"/>
      <c r="X1408" s="7"/>
      <c r="Y1408" s="7"/>
      <c r="Z1408" s="7"/>
      <c r="AA1408" s="7"/>
    </row>
    <row r="1409" spans="1:27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>
        <v>32407</v>
      </c>
      <c r="P1409" s="1">
        <f t="shared" si="67"/>
        <v>0.48044267296791077</v>
      </c>
      <c r="Q1409" s="25">
        <f t="shared" si="68"/>
        <v>0.26423039889778011</v>
      </c>
      <c r="R1409" s="24">
        <f t="shared" si="69"/>
        <v>-0.19457931177413457</v>
      </c>
      <c r="S1409" s="20"/>
      <c r="T1409" s="7"/>
      <c r="U1409" s="7"/>
      <c r="V1409" s="7"/>
      <c r="W1409" s="7"/>
      <c r="X1409" s="7"/>
      <c r="Y1409" s="7"/>
      <c r="Z1409" s="7"/>
      <c r="AA1409" s="7"/>
    </row>
    <row r="1410" spans="1:27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>
        <v>32408</v>
      </c>
      <c r="P1410" s="1">
        <f t="shared" si="67"/>
        <v>0.4807068407535553</v>
      </c>
      <c r="Q1410" s="25">
        <f t="shared" si="68"/>
        <v>0.26403511219541542</v>
      </c>
      <c r="R1410" s="24">
        <f t="shared" si="69"/>
        <v>-0.19608843704332912</v>
      </c>
      <c r="S1410" s="20"/>
      <c r="T1410" s="7"/>
      <c r="U1410" s="7"/>
      <c r="V1410" s="7"/>
      <c r="W1410" s="7"/>
      <c r="X1410" s="7"/>
      <c r="Y1410" s="7"/>
      <c r="Z1410" s="7"/>
      <c r="AA1410" s="7"/>
    </row>
    <row r="1411" spans="1:27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>
        <v>32409</v>
      </c>
      <c r="P1411" s="1">
        <f t="shared" si="67"/>
        <v>0.48097088932991028</v>
      </c>
      <c r="Q1411" s="25">
        <f t="shared" si="68"/>
        <v>0.26383822478237562</v>
      </c>
      <c r="R1411" s="24">
        <f t="shared" si="69"/>
        <v>-0.19761020464414969</v>
      </c>
      <c r="S1411" s="20"/>
      <c r="T1411" s="7"/>
      <c r="U1411" s="7"/>
      <c r="V1411" s="7"/>
      <c r="W1411" s="7"/>
      <c r="X1411" s="7"/>
      <c r="Y1411" s="7"/>
      <c r="Z1411" s="7"/>
      <c r="AA1411" s="7"/>
    </row>
    <row r="1412" spans="1:27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>
        <v>32410</v>
      </c>
      <c r="P1412" s="1">
        <f t="shared" si="67"/>
        <v>0.4812341034412384</v>
      </c>
      <c r="Q1412" s="25">
        <f t="shared" si="68"/>
        <v>0.26363982397015207</v>
      </c>
      <c r="R1412" s="24">
        <f t="shared" si="69"/>
        <v>-0.19914466786730145</v>
      </c>
      <c r="S1412" s="20"/>
      <c r="T1412" s="7"/>
      <c r="U1412" s="7"/>
      <c r="V1412" s="7"/>
      <c r="W1412" s="7"/>
      <c r="X1412" s="7"/>
      <c r="Y1412" s="7"/>
      <c r="Z1412" s="7"/>
      <c r="AA1412" s="7"/>
    </row>
    <row r="1413" spans="1:27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>
        <v>32411</v>
      </c>
      <c r="P1413" s="1">
        <f t="shared" si="67"/>
        <v>0.48149779438972473</v>
      </c>
      <c r="Q1413" s="25">
        <f t="shared" si="68"/>
        <v>0.26343990975874476</v>
      </c>
      <c r="R1413" s="24">
        <f t="shared" si="69"/>
        <v>-0.2006918942143443</v>
      </c>
      <c r="S1413" s="20"/>
      <c r="T1413" s="7"/>
      <c r="U1413" s="7"/>
      <c r="V1413" s="7"/>
      <c r="W1413" s="7"/>
      <c r="X1413" s="7"/>
      <c r="Y1413" s="7"/>
      <c r="Z1413" s="7"/>
      <c r="AA1413" s="7"/>
    </row>
    <row r="1414" spans="1:27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>
        <v>32412</v>
      </c>
      <c r="P1414" s="1">
        <f t="shared" si="67"/>
        <v>0.48176136612892151</v>
      </c>
      <c r="Q1414" s="25">
        <f t="shared" si="68"/>
        <v>0.26323848214815371</v>
      </c>
      <c r="R1414" s="24">
        <f t="shared" si="69"/>
        <v>-0.20225193875234027</v>
      </c>
      <c r="S1414" s="20"/>
      <c r="T1414" s="7"/>
      <c r="U1414" s="7"/>
      <c r="V1414" s="7"/>
      <c r="W1414" s="7"/>
      <c r="X1414" s="7"/>
      <c r="Y1414" s="7"/>
      <c r="Z1414" s="7"/>
      <c r="AA1414" s="7"/>
    </row>
    <row r="1415" spans="1:27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>
        <v>32413</v>
      </c>
      <c r="P1415" s="1">
        <f t="shared" si="67"/>
        <v>0.48202434182167053</v>
      </c>
      <c r="Q1415" s="25">
        <f t="shared" si="68"/>
        <v>0.26303545382688753</v>
      </c>
      <c r="R1415" s="24">
        <f t="shared" si="69"/>
        <v>-0.2038248672064924</v>
      </c>
      <c r="S1415" s="20"/>
      <c r="T1415" s="7"/>
      <c r="U1415" s="7"/>
      <c r="V1415" s="7"/>
      <c r="W1415" s="7"/>
      <c r="X1415" s="7"/>
      <c r="Y1415" s="7"/>
      <c r="Z1415" s="7"/>
      <c r="AA1415" s="7"/>
    </row>
    <row r="1416" spans="1:27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>
        <v>32414</v>
      </c>
      <c r="P1416" s="1">
        <f t="shared" si="67"/>
        <v>0.48228755593299866</v>
      </c>
      <c r="Q1416" s="25">
        <f t="shared" si="68"/>
        <v>0.26283079569111578</v>
      </c>
      <c r="R1416" s="24">
        <f t="shared" si="69"/>
        <v>-0.20541073286750589</v>
      </c>
      <c r="S1416" s="20"/>
      <c r="T1416" s="7"/>
      <c r="U1416" s="7"/>
      <c r="V1416" s="7"/>
      <c r="W1416" s="7"/>
      <c r="X1416" s="7"/>
      <c r="Y1416" s="7"/>
      <c r="Z1416" s="7"/>
      <c r="AA1416" s="7"/>
    </row>
    <row r="1417" spans="1:27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>
        <v>32415</v>
      </c>
      <c r="P1417" s="1">
        <f t="shared" si="67"/>
        <v>0.48255065083503723</v>
      </c>
      <c r="Q1417" s="25">
        <f t="shared" si="68"/>
        <v>0.26262462415616028</v>
      </c>
      <c r="R1417" s="24">
        <f t="shared" si="69"/>
        <v>-0.20700959968422694</v>
      </c>
      <c r="S1417" s="20"/>
      <c r="T1417" s="7"/>
      <c r="U1417" s="7"/>
      <c r="V1417" s="7"/>
      <c r="W1417" s="7"/>
      <c r="X1417" s="7"/>
      <c r="Y1417" s="7"/>
      <c r="Z1417" s="7"/>
      <c r="AA1417" s="7"/>
    </row>
    <row r="1418" spans="1:27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>
        <v>32416</v>
      </c>
      <c r="P1418" s="1">
        <f t="shared" ref="P1418:P1481" si="70" xml:space="preserve"> -1.4681315616E-19*$O1418^6 + 2.80493263066289E-14*$O1418^5 - 2.23271907955907E-09*$O1418^4 + 0.0000947783879077569*$O1418^3 - 2.26293121558813*$O1418^2 + 28813.4861268598*$O1418 - 152852350.445896</f>
        <v>0.48281314969062805</v>
      </c>
      <c r="Q1418" s="25">
        <f t="shared" ref="Q1418:Q1481" si="71" xml:space="preserve"> (6*-1.4681315616E-19*$O1418^5 + 5*2.80493263066289E-14*$O1418^4 - 4*2.23271907955907E-09*$O1418^3 + 3*0.0000947783879077569*$O1418^2 - 2*2.26293121558813*$O1418^1 + 28813.4861268598)*1000</f>
        <v>0.26241673549520783</v>
      </c>
      <c r="R1418" s="24">
        <f t="shared" ref="R1418:R1481" si="72" xml:space="preserve"> (5*6*-1.4681315616E-19*$O1418^4 + 4*5*2.80493263066289E-14*$O1418^3 - 3*4*2.23271907955907E-09*$O1418^2 + 2*3*0.0000947783879077569*$O1418^1 - 2*2.26293121558813)*1000*1000</f>
        <v>-0.20862153160550179</v>
      </c>
      <c r="S1418" s="20"/>
      <c r="T1418" s="7"/>
      <c r="U1418" s="7"/>
      <c r="V1418" s="7"/>
      <c r="W1418" s="7"/>
      <c r="X1418" s="7"/>
      <c r="Y1418" s="7"/>
      <c r="Z1418" s="7"/>
      <c r="AA1418" s="7"/>
    </row>
    <row r="1419" spans="1:27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>
        <v>32417</v>
      </c>
      <c r="P1419" s="1">
        <f t="shared" si="70"/>
        <v>0.48307541012763977</v>
      </c>
      <c r="Q1419" s="25">
        <f t="shared" si="71"/>
        <v>0.262207420746563</v>
      </c>
      <c r="R1419" s="24">
        <f t="shared" si="72"/>
        <v>-0.21024658725110612</v>
      </c>
      <c r="S1419" s="20"/>
      <c r="T1419" s="7"/>
      <c r="U1419" s="7"/>
      <c r="V1419" s="7"/>
      <c r="W1419" s="7"/>
      <c r="X1419" s="7"/>
      <c r="Y1419" s="7"/>
      <c r="Z1419" s="7"/>
      <c r="AA1419" s="7"/>
    </row>
    <row r="1420" spans="1:27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>
        <v>32418</v>
      </c>
      <c r="P1420" s="1">
        <f t="shared" si="70"/>
        <v>0.48333707451820374</v>
      </c>
      <c r="Q1420" s="25">
        <f t="shared" si="71"/>
        <v>0.26199630156042986</v>
      </c>
      <c r="R1420" s="24">
        <f t="shared" si="72"/>
        <v>-0.21188482168810197</v>
      </c>
      <c r="S1420" s="20"/>
      <c r="T1420" s="7"/>
      <c r="U1420" s="7"/>
      <c r="V1420" s="7"/>
      <c r="W1420" s="7"/>
      <c r="X1420" s="7"/>
      <c r="Y1420" s="7"/>
      <c r="Z1420" s="7"/>
      <c r="AA1420" s="7"/>
    </row>
    <row r="1421" spans="1:27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>
        <v>32419</v>
      </c>
      <c r="P1421" s="1">
        <f t="shared" si="70"/>
        <v>0.48359933495521545</v>
      </c>
      <c r="Q1421" s="25">
        <f t="shared" si="71"/>
        <v>0.26178358166362159</v>
      </c>
      <c r="R1421" s="24">
        <f t="shared" si="72"/>
        <v>-0.21353629886533554</v>
      </c>
      <c r="S1421" s="20"/>
      <c r="T1421" s="7"/>
      <c r="U1421" s="7"/>
      <c r="V1421" s="7"/>
      <c r="W1421" s="7"/>
      <c r="X1421" s="7"/>
      <c r="Y1421" s="7"/>
      <c r="Z1421" s="7"/>
      <c r="AA1421" s="7"/>
    </row>
    <row r="1422" spans="1:27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>
        <v>32420</v>
      </c>
      <c r="P1422" s="1">
        <f t="shared" si="70"/>
        <v>0.48386111855506897</v>
      </c>
      <c r="Q1422" s="25">
        <f t="shared" si="71"/>
        <v>0.26156920284847729</v>
      </c>
      <c r="R1422" s="24">
        <f t="shared" si="72"/>
        <v>-0.21520108628436674</v>
      </c>
      <c r="S1422" s="20"/>
      <c r="T1422" s="7"/>
      <c r="U1422" s="7"/>
      <c r="V1422" s="7"/>
      <c r="W1422" s="7"/>
      <c r="X1422" s="7"/>
      <c r="Y1422" s="7"/>
      <c r="Z1422" s="7"/>
      <c r="AA1422" s="7"/>
    </row>
    <row r="1423" spans="1:27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>
        <v>32421</v>
      </c>
      <c r="P1423" s="1">
        <f t="shared" si="70"/>
        <v>0.48412254452705383</v>
      </c>
      <c r="Q1423" s="25">
        <f t="shared" si="71"/>
        <v>0.2613531360111665</v>
      </c>
      <c r="R1423" s="24">
        <f t="shared" si="72"/>
        <v>-0.21687923190683023</v>
      </c>
      <c r="S1423" s="20"/>
      <c r="T1423" s="7"/>
      <c r="U1423" s="7"/>
      <c r="V1423" s="7"/>
      <c r="W1423" s="7"/>
      <c r="X1423" s="7"/>
      <c r="Y1423" s="7"/>
      <c r="Z1423" s="7"/>
      <c r="AA1423" s="7"/>
    </row>
    <row r="1424" spans="1:27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>
        <v>32422</v>
      </c>
      <c r="P1424" s="1">
        <f t="shared" si="70"/>
        <v>0.48438289761543274</v>
      </c>
      <c r="Q1424" s="25">
        <f t="shared" si="71"/>
        <v>0.26113546846318059</v>
      </c>
      <c r="R1424" s="24">
        <f t="shared" si="72"/>
        <v>-0.21857079968157223</v>
      </c>
      <c r="S1424" s="20"/>
      <c r="T1424" s="7"/>
      <c r="U1424" s="7"/>
      <c r="V1424" s="7"/>
      <c r="W1424" s="7"/>
      <c r="X1424" s="7"/>
      <c r="Y1424" s="7"/>
      <c r="Z1424" s="7"/>
      <c r="AA1424" s="7"/>
    </row>
    <row r="1425" spans="1:27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>
        <v>32423</v>
      </c>
      <c r="P1425" s="1">
        <f t="shared" si="70"/>
        <v>0.48464444279670715</v>
      </c>
      <c r="Q1425" s="25">
        <f t="shared" si="71"/>
        <v>0.26091599647770636</v>
      </c>
      <c r="R1425" s="24">
        <f t="shared" si="72"/>
        <v>-0.22027586599193683</v>
      </c>
      <c r="S1425" s="20"/>
      <c r="T1425" s="7"/>
      <c r="U1425" s="7"/>
      <c r="V1425" s="7"/>
      <c r="W1425" s="7"/>
      <c r="X1425" s="7"/>
      <c r="Y1425" s="7"/>
      <c r="Z1425" s="7"/>
      <c r="AA1425" s="7"/>
    </row>
    <row r="1426" spans="1:27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>
        <v>32424</v>
      </c>
      <c r="P1426" s="1">
        <f t="shared" si="70"/>
        <v>0.48490539193153381</v>
      </c>
      <c r="Q1426" s="25">
        <f t="shared" si="71"/>
        <v>0.26069483647006564</v>
      </c>
      <c r="R1426" s="24">
        <f t="shared" si="72"/>
        <v>-0.22199448057591553</v>
      </c>
      <c r="S1426" s="20"/>
      <c r="T1426" s="7"/>
      <c r="U1426" s="7"/>
      <c r="V1426" s="7"/>
      <c r="W1426" s="7"/>
      <c r="X1426" s="7"/>
      <c r="Y1426" s="7"/>
      <c r="Z1426" s="7"/>
      <c r="AA1426" s="7"/>
    </row>
    <row r="1427" spans="1:27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>
        <v>32425</v>
      </c>
      <c r="P1427" s="1">
        <f t="shared" si="70"/>
        <v>0.48516550660133362</v>
      </c>
      <c r="Q1427" s="25">
        <f t="shared" si="71"/>
        <v>0.26047198844025843</v>
      </c>
      <c r="R1427" s="24">
        <f t="shared" si="72"/>
        <v>-0.22372670205328404</v>
      </c>
      <c r="S1427" s="20"/>
      <c r="T1427" s="7"/>
      <c r="U1427" s="7"/>
      <c r="V1427" s="7"/>
      <c r="W1427" s="7"/>
      <c r="X1427" s="7"/>
      <c r="Y1427" s="7"/>
      <c r="Z1427" s="7"/>
      <c r="AA1427" s="7"/>
    </row>
    <row r="1428" spans="1:27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>
        <v>32426</v>
      </c>
      <c r="P1428" s="1">
        <f t="shared" si="70"/>
        <v>0.48542633652687073</v>
      </c>
      <c r="Q1428" s="25">
        <f t="shared" si="71"/>
        <v>0.26024745238828473</v>
      </c>
      <c r="R1428" s="24">
        <f t="shared" si="72"/>
        <v>-0.22547259437288858</v>
      </c>
      <c r="S1428" s="20"/>
      <c r="T1428" s="7"/>
      <c r="U1428" s="7"/>
      <c r="V1428" s="7"/>
      <c r="W1428" s="7"/>
      <c r="X1428" s="7"/>
      <c r="Y1428" s="7"/>
      <c r="Z1428" s="7"/>
      <c r="AA1428" s="7"/>
    </row>
    <row r="1429" spans="1:27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>
        <v>32427</v>
      </c>
      <c r="P1429" s="1">
        <f t="shared" si="70"/>
        <v>0.48568657040596008</v>
      </c>
      <c r="Q1429" s="25">
        <f t="shared" si="71"/>
        <v>0.26002108279499225</v>
      </c>
      <c r="R1429" s="24">
        <f t="shared" si="72"/>
        <v>-0.22723222503628904</v>
      </c>
      <c r="S1429" s="20"/>
      <c r="T1429" s="7"/>
      <c r="U1429" s="7"/>
      <c r="V1429" s="7"/>
      <c r="W1429" s="7"/>
      <c r="X1429" s="7"/>
      <c r="Y1429" s="7"/>
      <c r="Z1429" s="7"/>
      <c r="AA1429" s="7"/>
    </row>
    <row r="1430" spans="1:27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>
        <v>32428</v>
      </c>
      <c r="P1430" s="1">
        <f t="shared" si="70"/>
        <v>0.48594644665718079</v>
      </c>
      <c r="Q1430" s="25">
        <f t="shared" si="71"/>
        <v>0.25979293786804192</v>
      </c>
      <c r="R1430" s="24">
        <f t="shared" si="72"/>
        <v>-0.22900564911054744</v>
      </c>
      <c r="S1430" s="20"/>
      <c r="T1430" s="7"/>
      <c r="U1430" s="7"/>
      <c r="V1430" s="7"/>
      <c r="W1430" s="7"/>
      <c r="X1430" s="7"/>
      <c r="Y1430" s="7"/>
      <c r="Z1430" s="7"/>
      <c r="AA1430" s="7"/>
    </row>
    <row r="1431" spans="1:27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>
        <v>32429</v>
      </c>
      <c r="P1431" s="1">
        <f t="shared" si="70"/>
        <v>0.48620608448982239</v>
      </c>
      <c r="Q1431" s="25">
        <f t="shared" si="71"/>
        <v>0.25956307581509463</v>
      </c>
      <c r="R1431" s="24">
        <f t="shared" si="72"/>
        <v>-0.23079293054451</v>
      </c>
      <c r="S1431" s="20"/>
      <c r="T1431" s="7"/>
      <c r="U1431" s="7"/>
      <c r="V1431" s="7"/>
      <c r="W1431" s="7"/>
      <c r="X1431" s="7"/>
      <c r="Y1431" s="7"/>
      <c r="Z1431" s="7"/>
      <c r="AA1431" s="7"/>
    </row>
    <row r="1432" spans="1:27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>
        <v>32430</v>
      </c>
      <c r="P1432" s="1">
        <f t="shared" si="70"/>
        <v>0.48646560311317444</v>
      </c>
      <c r="Q1432" s="25">
        <f t="shared" si="71"/>
        <v>0.25933138022082858</v>
      </c>
      <c r="R1432" s="24">
        <f t="shared" si="72"/>
        <v>-0.23259413506337978</v>
      </c>
      <c r="S1432" s="20"/>
      <c r="T1432" s="7"/>
      <c r="U1432" s="7"/>
      <c r="V1432" s="7"/>
      <c r="W1432" s="7"/>
      <c r="X1432" s="7"/>
      <c r="Y1432" s="7"/>
      <c r="Z1432" s="7"/>
      <c r="AA1432" s="7"/>
    </row>
    <row r="1433" spans="1:27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>
        <v>32431</v>
      </c>
      <c r="P1433" s="1">
        <f t="shared" si="70"/>
        <v>0.48672428727149963</v>
      </c>
      <c r="Q1433" s="25">
        <f t="shared" si="71"/>
        <v>0.25909790929290466</v>
      </c>
      <c r="R1433" s="24">
        <f t="shared" si="72"/>
        <v>-0.2344093177342188</v>
      </c>
      <c r="S1433" s="20"/>
      <c r="T1433" s="7"/>
      <c r="U1433" s="7"/>
      <c r="V1433" s="7"/>
      <c r="W1433" s="7"/>
      <c r="X1433" s="7"/>
      <c r="Y1433" s="7"/>
      <c r="Z1433" s="7"/>
      <c r="AA1433" s="7"/>
    </row>
    <row r="1434" spans="1:27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>
        <v>32432</v>
      </c>
      <c r="P1434" s="1">
        <f t="shared" si="70"/>
        <v>0.48698368668556213</v>
      </c>
      <c r="Q1434" s="25">
        <f t="shared" si="71"/>
        <v>0.25886254661600105</v>
      </c>
      <c r="R1434" s="24">
        <f t="shared" si="72"/>
        <v>-0.23623854072951644</v>
      </c>
      <c r="S1434" s="20"/>
      <c r="T1434" s="7"/>
      <c r="U1434" s="7"/>
      <c r="V1434" s="7"/>
      <c r="W1434" s="7"/>
      <c r="X1434" s="7"/>
      <c r="Y1434" s="7"/>
      <c r="Z1434" s="7"/>
      <c r="AA1434" s="7"/>
    </row>
    <row r="1435" spans="1:27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>
        <v>32433</v>
      </c>
      <c r="P1435" s="1">
        <f t="shared" si="70"/>
        <v>0.48724177479743958</v>
      </c>
      <c r="Q1435" s="25">
        <f t="shared" si="71"/>
        <v>0.25862535039777867</v>
      </c>
      <c r="R1435" s="24">
        <f t="shared" si="72"/>
        <v>-0.23808186977447576</v>
      </c>
      <c r="S1435" s="20"/>
      <c r="T1435" s="7"/>
      <c r="U1435" s="7"/>
      <c r="V1435" s="7"/>
      <c r="W1435" s="7"/>
      <c r="X1435" s="7"/>
      <c r="Y1435" s="7"/>
      <c r="Z1435" s="7"/>
      <c r="AA1435" s="7"/>
    </row>
    <row r="1436" spans="1:27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>
        <v>32434</v>
      </c>
      <c r="P1436" s="1">
        <f t="shared" si="70"/>
        <v>0.48750093579292297</v>
      </c>
      <c r="Q1436" s="25">
        <f t="shared" si="71"/>
        <v>0.25838637884589843</v>
      </c>
      <c r="R1436" s="24">
        <f t="shared" si="72"/>
        <v>-0.23993937237065666</v>
      </c>
      <c r="S1436" s="20"/>
      <c r="T1436" s="7"/>
      <c r="U1436" s="7"/>
      <c r="V1436" s="7"/>
      <c r="W1436" s="7"/>
      <c r="X1436" s="7"/>
      <c r="Y1436" s="7"/>
      <c r="Z1436" s="7"/>
      <c r="AA1436" s="7"/>
    </row>
    <row r="1437" spans="1:27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>
        <v>32435</v>
      </c>
      <c r="P1437" s="1">
        <f t="shared" si="70"/>
        <v>0.48775914311408997</v>
      </c>
      <c r="Q1437" s="25">
        <f t="shared" si="71"/>
        <v>0.25814551554503851</v>
      </c>
      <c r="R1437" s="24">
        <f t="shared" si="72"/>
        <v>-0.24181110003240747</v>
      </c>
      <c r="S1437" s="20"/>
      <c r="T1437" s="7"/>
      <c r="U1437" s="7"/>
      <c r="V1437" s="7"/>
      <c r="W1437" s="7"/>
      <c r="X1437" s="7"/>
      <c r="Y1437" s="7"/>
      <c r="Z1437" s="7"/>
      <c r="AA1437" s="7"/>
    </row>
    <row r="1438" spans="1:27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>
        <v>32436</v>
      </c>
      <c r="P1438" s="1">
        <f t="shared" si="70"/>
        <v>0.48801723122596741</v>
      </c>
      <c r="Q1438" s="25">
        <f t="shared" si="71"/>
        <v>0.25790276049519889</v>
      </c>
      <c r="R1438" s="24">
        <f t="shared" si="72"/>
        <v>-0.24369712381400177</v>
      </c>
      <c r="S1438" s="20"/>
      <c r="T1438" s="7"/>
      <c r="U1438" s="7"/>
      <c r="V1438" s="7"/>
      <c r="W1438" s="7"/>
      <c r="X1438" s="7"/>
      <c r="Y1438" s="7"/>
      <c r="Z1438" s="7"/>
      <c r="AA1438" s="7"/>
    </row>
    <row r="1439" spans="1:27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>
        <v>32437</v>
      </c>
      <c r="P1439" s="1">
        <f t="shared" si="70"/>
        <v>0.4882754385471344</v>
      </c>
      <c r="Q1439" s="25">
        <f t="shared" si="71"/>
        <v>0.25765811369637959</v>
      </c>
      <c r="R1439" s="24">
        <f t="shared" si="72"/>
        <v>-0.24559750411157211</v>
      </c>
      <c r="S1439" s="20"/>
      <c r="T1439" s="7"/>
      <c r="U1439" s="7"/>
      <c r="V1439" s="7"/>
      <c r="W1439" s="7"/>
      <c r="X1439" s="7"/>
      <c r="Y1439" s="7"/>
      <c r="Z1439" s="7"/>
      <c r="AA1439" s="7"/>
    </row>
    <row r="1440" spans="1:27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>
        <v>32438</v>
      </c>
      <c r="P1440" s="1">
        <f t="shared" si="70"/>
        <v>0.48853245377540588</v>
      </c>
      <c r="Q1440" s="25">
        <f t="shared" si="71"/>
        <v>0.25741148783708923</v>
      </c>
      <c r="R1440" s="24">
        <f t="shared" si="72"/>
        <v>-0.24751230309760786</v>
      </c>
      <c r="S1440" s="20"/>
      <c r="T1440" s="7"/>
      <c r="U1440" s="7"/>
      <c r="V1440" s="7"/>
      <c r="W1440" s="7"/>
      <c r="X1440" s="7"/>
      <c r="Y1440" s="7"/>
      <c r="Z1440" s="7"/>
      <c r="AA1440" s="7"/>
    </row>
    <row r="1441" spans="1:27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>
        <v>32439</v>
      </c>
      <c r="P1441" s="1">
        <f t="shared" si="70"/>
        <v>0.48878958821296692</v>
      </c>
      <c r="Q1441" s="25">
        <f t="shared" si="71"/>
        <v>0.257163086644141</v>
      </c>
      <c r="R1441" s="24">
        <f t="shared" si="72"/>
        <v>-0.24944158294459839</v>
      </c>
      <c r="S1441" s="20"/>
      <c r="T1441" s="7"/>
      <c r="U1441" s="7"/>
      <c r="V1441" s="7"/>
      <c r="W1441" s="7"/>
      <c r="X1441" s="7"/>
      <c r="Y1441" s="7"/>
      <c r="Z1441" s="7"/>
      <c r="AA1441" s="7"/>
    </row>
    <row r="1442" spans="1:27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>
        <v>32440</v>
      </c>
      <c r="P1442" s="1">
        <f t="shared" si="70"/>
        <v>0.4890468418598175</v>
      </c>
      <c r="Q1442" s="25">
        <f t="shared" si="71"/>
        <v>0.25691270639072172</v>
      </c>
      <c r="R1442" s="24">
        <f t="shared" si="72"/>
        <v>-0.25138540404867626</v>
      </c>
      <c r="S1442" s="20"/>
      <c r="T1442" s="7"/>
      <c r="U1442" s="7"/>
      <c r="V1442" s="7"/>
      <c r="W1442" s="7"/>
      <c r="X1442" s="7"/>
      <c r="Y1442" s="7"/>
      <c r="Z1442" s="7"/>
      <c r="AA1442" s="7"/>
    </row>
    <row r="1443" spans="1:27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>
        <v>32441</v>
      </c>
      <c r="P1443" s="1">
        <f t="shared" si="70"/>
        <v>0.48930338025093079</v>
      </c>
      <c r="Q1443" s="25">
        <f t="shared" si="71"/>
        <v>0.25666031797300093</v>
      </c>
      <c r="R1443" s="24">
        <f t="shared" si="72"/>
        <v>-0.25334383391140136</v>
      </c>
      <c r="S1443" s="20"/>
      <c r="T1443" s="7"/>
      <c r="U1443" s="7"/>
      <c r="V1443" s="7"/>
      <c r="W1443" s="7"/>
      <c r="X1443" s="7"/>
      <c r="Y1443" s="7"/>
      <c r="Z1443" s="7"/>
      <c r="AA1443" s="7"/>
    </row>
    <row r="1444" spans="1:27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>
        <v>32442</v>
      </c>
      <c r="P1444" s="1">
        <f t="shared" si="70"/>
        <v>0.48956027626991272</v>
      </c>
      <c r="Q1444" s="25">
        <f t="shared" si="71"/>
        <v>0.25640592139097862</v>
      </c>
      <c r="R1444" s="24">
        <f t="shared" si="72"/>
        <v>-0.25531693292890623</v>
      </c>
      <c r="S1444" s="20"/>
      <c r="T1444" s="7"/>
      <c r="U1444" s="7"/>
      <c r="V1444" s="7"/>
      <c r="W1444" s="7"/>
      <c r="X1444" s="7"/>
      <c r="Y1444" s="7"/>
      <c r="Z1444" s="7"/>
      <c r="AA1444" s="7"/>
    </row>
    <row r="1445" spans="1:27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>
        <v>32443</v>
      </c>
      <c r="P1445" s="1">
        <f t="shared" si="70"/>
        <v>0.4898163378238678</v>
      </c>
      <c r="Q1445" s="25">
        <f t="shared" si="71"/>
        <v>0.25614960395614617</v>
      </c>
      <c r="R1445" s="24">
        <f t="shared" si="72"/>
        <v>-0.25730477570817811</v>
      </c>
      <c r="S1445" s="20"/>
      <c r="T1445" s="7"/>
      <c r="U1445" s="7"/>
      <c r="V1445" s="7"/>
      <c r="W1445" s="7"/>
      <c r="X1445" s="7"/>
      <c r="Y1445" s="7"/>
      <c r="Z1445" s="7"/>
      <c r="AA1445" s="7"/>
    </row>
    <row r="1446" spans="1:27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>
        <v>32444</v>
      </c>
      <c r="P1446" s="1">
        <f t="shared" si="70"/>
        <v>0.49007228016853333</v>
      </c>
      <c r="Q1446" s="25">
        <f t="shared" si="71"/>
        <v>0.25589133656467311</v>
      </c>
      <c r="R1446" s="24">
        <f t="shared" si="72"/>
        <v>-0.25930741021085169</v>
      </c>
      <c r="S1446" s="20"/>
      <c r="T1446" s="7"/>
      <c r="U1446" s="7"/>
      <c r="V1446" s="7"/>
      <c r="W1446" s="7"/>
      <c r="X1446" s="7"/>
      <c r="Y1446" s="7"/>
      <c r="Z1446" s="7"/>
      <c r="AA1446" s="7"/>
    </row>
    <row r="1447" spans="1:27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>
        <v>32445</v>
      </c>
      <c r="P1447" s="1">
        <f t="shared" si="70"/>
        <v>0.4903281033039093</v>
      </c>
      <c r="Q1447" s="25">
        <f t="shared" si="71"/>
        <v>0.25563106100889854</v>
      </c>
      <c r="R1447" s="24">
        <f t="shared" si="72"/>
        <v>-0.26132490571484368</v>
      </c>
      <c r="S1447" s="20"/>
      <c r="T1447" s="7"/>
      <c r="U1447" s="7"/>
      <c r="V1447" s="7"/>
      <c r="W1447" s="7"/>
      <c r="X1447" s="7"/>
      <c r="Y1447" s="7"/>
      <c r="Z1447" s="7"/>
      <c r="AA1447" s="7"/>
    </row>
    <row r="1448" spans="1:27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>
        <v>32446</v>
      </c>
      <c r="P1448" s="1">
        <f t="shared" si="70"/>
        <v>0.49058344960212708</v>
      </c>
      <c r="Q1448" s="25">
        <f t="shared" si="71"/>
        <v>0.25536863176967017</v>
      </c>
      <c r="R1448" s="24">
        <f t="shared" si="72"/>
        <v>-0.26335732439264348</v>
      </c>
      <c r="S1448" s="20"/>
      <c r="T1448" s="7"/>
      <c r="U1448" s="7"/>
      <c r="V1448" s="7"/>
      <c r="W1448" s="7"/>
      <c r="X1448" s="7"/>
      <c r="Y1448" s="7"/>
      <c r="Z1448" s="7"/>
      <c r="AA1448" s="7"/>
    </row>
    <row r="1449" spans="1:27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>
        <v>32447</v>
      </c>
      <c r="P1449" s="1">
        <f t="shared" si="70"/>
        <v>0.4908393919467926</v>
      </c>
      <c r="Q1449" s="25">
        <f t="shared" si="71"/>
        <v>0.25510431078146212</v>
      </c>
      <c r="R1449" s="24">
        <f t="shared" si="72"/>
        <v>-0.26540473196945413</v>
      </c>
      <c r="S1449" s="20"/>
      <c r="T1449" s="7"/>
      <c r="U1449" s="7"/>
      <c r="V1449" s="7"/>
      <c r="W1449" s="7"/>
      <c r="X1449" s="7"/>
      <c r="Y1449" s="7"/>
      <c r="Z1449" s="7"/>
      <c r="AA1449" s="7"/>
    </row>
    <row r="1450" spans="1:27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>
        <v>32448</v>
      </c>
      <c r="P1450" s="1">
        <f t="shared" si="70"/>
        <v>0.49109402298927307</v>
      </c>
      <c r="Q1450" s="25">
        <f t="shared" si="71"/>
        <v>0.25483786521363072</v>
      </c>
      <c r="R1450" s="24">
        <f t="shared" si="72"/>
        <v>-0.26746719594683555</v>
      </c>
      <c r="S1450" s="20"/>
      <c r="T1450" s="7"/>
      <c r="U1450" s="7"/>
      <c r="V1450" s="7"/>
      <c r="W1450" s="7"/>
      <c r="X1450" s="7"/>
      <c r="Y1450" s="7"/>
      <c r="Z1450" s="7"/>
      <c r="AA1450" s="7"/>
    </row>
    <row r="1451" spans="1:27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>
        <v>32449</v>
      </c>
      <c r="P1451" s="1">
        <f t="shared" si="70"/>
        <v>0.49134865403175354</v>
      </c>
      <c r="Q1451" s="25">
        <f t="shared" si="71"/>
        <v>0.25456938237766735</v>
      </c>
      <c r="R1451" s="24">
        <f t="shared" si="72"/>
        <v>-0.26954477316820658</v>
      </c>
      <c r="S1451" s="20"/>
      <c r="T1451" s="7"/>
      <c r="U1451" s="7"/>
      <c r="V1451" s="7"/>
      <c r="W1451" s="7"/>
      <c r="X1451" s="7"/>
      <c r="Y1451" s="7"/>
      <c r="Z1451" s="7"/>
      <c r="AA1451" s="7"/>
    </row>
    <row r="1452" spans="1:27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>
        <v>32450</v>
      </c>
      <c r="P1452" s="1">
        <f t="shared" si="70"/>
        <v>0.49160316586494446</v>
      </c>
      <c r="Q1452" s="25">
        <f t="shared" si="71"/>
        <v>0.25429877496208064</v>
      </c>
      <c r="R1452" s="24">
        <f t="shared" si="72"/>
        <v>-0.27163753113512712</v>
      </c>
      <c r="S1452" s="20"/>
      <c r="T1452" s="7"/>
      <c r="U1452" s="7"/>
      <c r="V1452" s="7"/>
      <c r="W1452" s="7"/>
      <c r="X1452" s="7"/>
      <c r="Y1452" s="7"/>
      <c r="Z1452" s="7"/>
      <c r="AA1452" s="7"/>
    </row>
    <row r="1453" spans="1:27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>
        <v>32451</v>
      </c>
      <c r="P1453" s="1">
        <f t="shared" si="70"/>
        <v>0.49185732007026672</v>
      </c>
      <c r="Q1453" s="25">
        <f t="shared" si="71"/>
        <v>0.25402604296687059</v>
      </c>
      <c r="R1453" s="24">
        <f t="shared" si="72"/>
        <v>-0.27374553734915708</v>
      </c>
      <c r="S1453" s="20"/>
      <c r="T1453" s="7"/>
      <c r="U1453" s="7"/>
      <c r="V1453" s="7"/>
      <c r="W1453" s="7"/>
      <c r="X1453" s="7"/>
      <c r="Y1453" s="7"/>
      <c r="Z1453" s="7"/>
      <c r="AA1453" s="7"/>
    </row>
    <row r="1454" spans="1:27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>
        <v>32452</v>
      </c>
      <c r="P1454" s="1">
        <f t="shared" si="70"/>
        <v>0.49211123585700989</v>
      </c>
      <c r="Q1454" s="25">
        <f t="shared" si="71"/>
        <v>0.25375124459969811</v>
      </c>
      <c r="R1454" s="24">
        <f t="shared" si="72"/>
        <v>-0.27586884687735846</v>
      </c>
      <c r="S1454" s="20"/>
      <c r="T1454" s="7"/>
      <c r="U1454" s="7"/>
      <c r="V1454" s="7"/>
      <c r="W1454" s="7"/>
      <c r="X1454" s="7"/>
      <c r="Y1454" s="7"/>
      <c r="Z1454" s="7"/>
      <c r="AA1454" s="7"/>
    </row>
    <row r="1455" spans="1:27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>
        <v>32453</v>
      </c>
      <c r="P1455" s="1">
        <f t="shared" si="70"/>
        <v>0.4923647940158844</v>
      </c>
      <c r="Q1455" s="25">
        <f t="shared" si="71"/>
        <v>0.25347435075673275</v>
      </c>
      <c r="R1455" s="24">
        <f t="shared" si="72"/>
        <v>-0.27800753432671854</v>
      </c>
      <c r="S1455" s="20"/>
      <c r="T1455" s="7"/>
      <c r="U1455" s="7"/>
      <c r="V1455" s="7"/>
      <c r="W1455" s="7"/>
      <c r="X1455" s="7"/>
      <c r="Y1455" s="7"/>
      <c r="Z1455" s="7"/>
      <c r="AA1455" s="7"/>
    </row>
    <row r="1456" spans="1:27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>
        <v>32454</v>
      </c>
      <c r="P1456" s="1">
        <f t="shared" si="70"/>
        <v>0.49261823296546936</v>
      </c>
      <c r="Q1456" s="25">
        <f t="shared" si="71"/>
        <v>0.25319527412648313</v>
      </c>
      <c r="R1456" s="24">
        <f t="shared" si="72"/>
        <v>-0.28016165654065617</v>
      </c>
      <c r="S1456" s="20"/>
      <c r="T1456" s="7"/>
      <c r="U1456" s="7"/>
      <c r="V1456" s="7"/>
      <c r="W1456" s="7"/>
      <c r="X1456" s="7"/>
      <c r="Y1456" s="7"/>
      <c r="Z1456" s="7"/>
      <c r="AA1456" s="7"/>
    </row>
    <row r="1457" spans="1:27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>
        <v>32455</v>
      </c>
      <c r="P1457" s="1">
        <f t="shared" si="70"/>
        <v>0.49287095665931702</v>
      </c>
      <c r="Q1457" s="25">
        <f t="shared" si="71"/>
        <v>0.25291401470894925</v>
      </c>
      <c r="R1457" s="24">
        <f t="shared" si="72"/>
        <v>-0.28233128102073124</v>
      </c>
      <c r="S1457" s="20"/>
      <c r="T1457" s="7"/>
      <c r="U1457" s="7"/>
      <c r="V1457" s="7"/>
      <c r="W1457" s="7"/>
      <c r="X1457" s="7"/>
      <c r="Y1457" s="7"/>
      <c r="Z1457" s="7"/>
      <c r="AA1457" s="7"/>
    </row>
    <row r="1458" spans="1:27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>
        <v>32456</v>
      </c>
      <c r="P1458" s="1">
        <f t="shared" si="70"/>
        <v>0.49312356114387512</v>
      </c>
      <c r="Q1458" s="25">
        <f t="shared" si="71"/>
        <v>0.25263060160796158</v>
      </c>
      <c r="R1458" s="24">
        <f t="shared" si="72"/>
        <v>-0.28451647704486049</v>
      </c>
      <c r="S1458" s="20"/>
      <c r="T1458" s="7"/>
      <c r="U1458" s="7"/>
      <c r="V1458" s="7"/>
      <c r="W1458" s="7"/>
      <c r="X1458" s="7"/>
      <c r="Y1458" s="7"/>
      <c r="Z1458" s="7"/>
      <c r="AA1458" s="7"/>
    </row>
    <row r="1459" spans="1:27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>
        <v>32457</v>
      </c>
      <c r="P1459" s="1">
        <f t="shared" si="70"/>
        <v>0.49337652325630188</v>
      </c>
      <c r="Q1459" s="25">
        <f t="shared" si="71"/>
        <v>0.2523449766158592</v>
      </c>
      <c r="R1459" s="24">
        <f t="shared" si="72"/>
        <v>-0.28671729790374911</v>
      </c>
      <c r="S1459" s="20"/>
      <c r="T1459" s="7"/>
      <c r="U1459" s="7"/>
      <c r="V1459" s="7"/>
      <c r="W1459" s="7"/>
      <c r="X1459" s="7"/>
      <c r="Y1459" s="7"/>
      <c r="Z1459" s="7"/>
      <c r="AA1459" s="7"/>
    </row>
    <row r="1460" spans="1:27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>
        <v>32458</v>
      </c>
      <c r="P1460" s="1">
        <f t="shared" si="70"/>
        <v>0.49362853169441223</v>
      </c>
      <c r="Q1460" s="25">
        <f t="shared" si="71"/>
        <v>0.25205719794030301</v>
      </c>
      <c r="R1460" s="24">
        <f t="shared" si="72"/>
        <v>-0.28893381642802751</v>
      </c>
      <c r="S1460" s="20"/>
      <c r="T1460" s="7"/>
      <c r="U1460" s="7"/>
      <c r="V1460" s="7"/>
      <c r="W1460" s="7"/>
      <c r="X1460" s="7"/>
      <c r="Y1460" s="7"/>
      <c r="Z1460" s="7"/>
      <c r="AA1460" s="7"/>
    </row>
    <row r="1461" spans="1:27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>
        <v>32459</v>
      </c>
      <c r="P1461" s="1">
        <f t="shared" si="70"/>
        <v>0.49388018250465393</v>
      </c>
      <c r="Q1461" s="25">
        <f t="shared" si="71"/>
        <v>0.2517671491659712</v>
      </c>
      <c r="R1461" s="24">
        <f t="shared" si="72"/>
        <v>-0.29116609834289875</v>
      </c>
      <c r="S1461" s="20"/>
      <c r="T1461" s="7"/>
      <c r="U1461" s="7"/>
      <c r="V1461" s="7"/>
      <c r="W1461" s="7"/>
      <c r="X1461" s="7"/>
      <c r="Y1461" s="7"/>
      <c r="Z1461" s="7"/>
      <c r="AA1461" s="7"/>
    </row>
    <row r="1462" spans="1:27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>
        <v>32460</v>
      </c>
      <c r="P1462" s="1">
        <f t="shared" si="70"/>
        <v>0.49413242936134338</v>
      </c>
      <c r="Q1462" s="25">
        <f t="shared" si="71"/>
        <v>0.2514747429813724</v>
      </c>
      <c r="R1462" s="24">
        <f t="shared" si="72"/>
        <v>-0.29341421114992272</v>
      </c>
      <c r="S1462" s="20"/>
      <c r="T1462" s="7"/>
      <c r="U1462" s="7"/>
      <c r="V1462" s="7"/>
      <c r="W1462" s="7"/>
      <c r="X1462" s="7"/>
      <c r="Y1462" s="7"/>
      <c r="Z1462" s="7"/>
      <c r="AA1462" s="7"/>
    </row>
    <row r="1463" spans="1:27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>
        <v>32461</v>
      </c>
      <c r="P1463" s="1">
        <f t="shared" si="70"/>
        <v>0.49438348412513733</v>
      </c>
      <c r="Q1463" s="25">
        <f t="shared" si="71"/>
        <v>0.25118024132098071</v>
      </c>
      <c r="R1463" s="24">
        <f t="shared" si="72"/>
        <v>-0.29567821169251829</v>
      </c>
      <c r="S1463" s="20"/>
      <c r="T1463" s="7"/>
      <c r="U1463" s="7"/>
      <c r="V1463" s="7"/>
      <c r="W1463" s="7"/>
      <c r="X1463" s="7"/>
      <c r="Y1463" s="7"/>
      <c r="Z1463" s="7"/>
      <c r="AA1463" s="7"/>
    </row>
    <row r="1464" spans="1:27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>
        <v>32462</v>
      </c>
      <c r="P1464" s="1">
        <f t="shared" si="70"/>
        <v>0.49463465809822083</v>
      </c>
      <c r="Q1464" s="25">
        <f t="shared" si="71"/>
        <v>0.25088344045798294</v>
      </c>
      <c r="R1464" s="24">
        <f t="shared" si="72"/>
        <v>-0.29795816924860219</v>
      </c>
      <c r="S1464" s="20"/>
      <c r="T1464" s="7"/>
      <c r="U1464" s="7"/>
      <c r="V1464" s="7"/>
      <c r="W1464" s="7"/>
      <c r="X1464" s="7"/>
      <c r="Y1464" s="7"/>
      <c r="Z1464" s="7"/>
      <c r="AA1464" s="7"/>
    </row>
    <row r="1465" spans="1:27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>
        <v>32463</v>
      </c>
      <c r="P1465" s="1">
        <f t="shared" si="70"/>
        <v>0.49488547444343567</v>
      </c>
      <c r="Q1465" s="25">
        <f t="shared" si="71"/>
        <v>0.25058434039237909</v>
      </c>
      <c r="R1465" s="24">
        <f t="shared" si="72"/>
        <v>-0.300254154872448</v>
      </c>
      <c r="S1465" s="20"/>
      <c r="T1465" s="7"/>
      <c r="U1465" s="7"/>
      <c r="V1465" s="7"/>
      <c r="W1465" s="7"/>
      <c r="X1465" s="7"/>
      <c r="Y1465" s="7"/>
      <c r="Z1465" s="7"/>
      <c r="AA1465" s="7"/>
    </row>
    <row r="1466" spans="1:27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>
        <v>32464</v>
      </c>
      <c r="P1466" s="1">
        <f t="shared" si="70"/>
        <v>0.49513581395149231</v>
      </c>
      <c r="Q1466" s="25">
        <f t="shared" si="71"/>
        <v>0.25028297022799961</v>
      </c>
      <c r="R1466" s="24">
        <f t="shared" si="72"/>
        <v>-0.30256622540747458</v>
      </c>
      <c r="S1466" s="20"/>
      <c r="T1466" s="7"/>
      <c r="U1466" s="7"/>
      <c r="V1466" s="7"/>
      <c r="W1466" s="7"/>
      <c r="X1466" s="7"/>
      <c r="Y1466" s="7"/>
      <c r="Z1466" s="7"/>
      <c r="AA1466" s="7"/>
    </row>
    <row r="1467" spans="1:27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>
        <v>32465</v>
      </c>
      <c r="P1467" s="1">
        <f t="shared" si="70"/>
        <v>0.4953857958316803</v>
      </c>
      <c r="Q1467" s="25">
        <f t="shared" si="71"/>
        <v>0.24997921354952268</v>
      </c>
      <c r="R1467" s="24">
        <f t="shared" si="72"/>
        <v>-0.3048944519079555</v>
      </c>
      <c r="S1467" s="20"/>
      <c r="T1467" s="7"/>
      <c r="U1467" s="7"/>
      <c r="V1467" s="7"/>
      <c r="W1467" s="7"/>
      <c r="X1467" s="7"/>
      <c r="Y1467" s="7"/>
      <c r="Z1467" s="7"/>
      <c r="AA1467" s="7"/>
    </row>
    <row r="1468" spans="1:27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>
        <v>32466</v>
      </c>
      <c r="P1468" s="1">
        <f t="shared" si="70"/>
        <v>0.49563565850257874</v>
      </c>
      <c r="Q1468" s="25">
        <f t="shared" si="71"/>
        <v>0.24967318677227013</v>
      </c>
      <c r="R1468" s="24">
        <f t="shared" si="72"/>
        <v>-0.30723889832273699</v>
      </c>
      <c r="S1468" s="20"/>
      <c r="T1468" s="7"/>
      <c r="U1468" s="7"/>
      <c r="V1468" s="7"/>
      <c r="W1468" s="7"/>
      <c r="X1468" s="7"/>
      <c r="Y1468" s="7"/>
      <c r="Z1468" s="7"/>
      <c r="AA1468" s="7"/>
    </row>
    <row r="1469" spans="1:27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>
        <v>32467</v>
      </c>
      <c r="P1469" s="1">
        <f t="shared" si="70"/>
        <v>0.49588504433631897</v>
      </c>
      <c r="Q1469" s="25">
        <f t="shared" si="71"/>
        <v>0.24936468616942875</v>
      </c>
      <c r="R1469" s="24">
        <f t="shared" si="72"/>
        <v>-0.30959963215337893</v>
      </c>
      <c r="S1469" s="20"/>
      <c r="T1469" s="7"/>
      <c r="U1469" s="7"/>
      <c r="V1469" s="7"/>
      <c r="W1469" s="7"/>
      <c r="X1469" s="7"/>
      <c r="Y1469" s="7"/>
      <c r="Z1469" s="7"/>
      <c r="AA1469" s="7"/>
    </row>
    <row r="1470" spans="1:27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>
        <v>32468</v>
      </c>
      <c r="P1470" s="1">
        <f t="shared" si="70"/>
        <v>0.49613431096076965</v>
      </c>
      <c r="Q1470" s="25">
        <f t="shared" si="71"/>
        <v>0.24905391546781175</v>
      </c>
      <c r="R1470" s="24">
        <f t="shared" si="72"/>
        <v>-0.31197671557237072</v>
      </c>
      <c r="S1470" s="20"/>
      <c r="T1470" s="7"/>
      <c r="U1470" s="7"/>
      <c r="V1470" s="7"/>
      <c r="W1470" s="7"/>
      <c r="X1470" s="7"/>
      <c r="Y1470" s="7"/>
      <c r="Z1470" s="7"/>
      <c r="AA1470" s="7"/>
    </row>
    <row r="1471" spans="1:27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>
        <v>32469</v>
      </c>
      <c r="P1471" s="1">
        <f t="shared" si="70"/>
        <v>0.49638321995735168</v>
      </c>
      <c r="Q1471" s="25">
        <f t="shared" si="71"/>
        <v>0.24874075825209729</v>
      </c>
      <c r="R1471" s="24">
        <f t="shared" si="72"/>
        <v>-0.31437021075220173</v>
      </c>
      <c r="S1471" s="20"/>
      <c r="T1471" s="7"/>
      <c r="U1471" s="7"/>
      <c r="V1471" s="7"/>
      <c r="W1471" s="7"/>
      <c r="X1471" s="7"/>
      <c r="Y1471" s="7"/>
      <c r="Z1471" s="7"/>
      <c r="AA1471" s="7"/>
    </row>
    <row r="1472" spans="1:27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>
        <v>32470</v>
      </c>
      <c r="P1472" s="1">
        <f t="shared" si="70"/>
        <v>0.49663165211677551</v>
      </c>
      <c r="Q1472" s="25">
        <f t="shared" si="71"/>
        <v>0.24842515631462447</v>
      </c>
      <c r="R1472" s="24">
        <f t="shared" si="72"/>
        <v>-0.31678019762892973</v>
      </c>
      <c r="S1472" s="20"/>
      <c r="T1472" s="7"/>
      <c r="U1472" s="7"/>
      <c r="V1472" s="7"/>
      <c r="W1472" s="7"/>
      <c r="X1472" s="7"/>
      <c r="Y1472" s="7"/>
      <c r="Z1472" s="7"/>
      <c r="AA1472" s="7"/>
    </row>
    <row r="1473" spans="1:27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>
        <v>32471</v>
      </c>
      <c r="P1473" s="1">
        <f t="shared" si="70"/>
        <v>0.49688020348548889</v>
      </c>
      <c r="Q1473" s="25">
        <f t="shared" si="71"/>
        <v>0.24810719696688466</v>
      </c>
      <c r="R1473" s="24">
        <f t="shared" si="72"/>
        <v>-0.3192067294932599</v>
      </c>
      <c r="S1473" s="20"/>
      <c r="T1473" s="7"/>
      <c r="U1473" s="7"/>
      <c r="V1473" s="7"/>
      <c r="W1473" s="7"/>
      <c r="X1473" s="7"/>
      <c r="Y1473" s="7"/>
      <c r="Z1473" s="7"/>
      <c r="AA1473" s="7"/>
    </row>
    <row r="1474" spans="1:27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>
        <v>32472</v>
      </c>
      <c r="P1474" s="1">
        <f t="shared" si="70"/>
        <v>0.49712768197059631</v>
      </c>
      <c r="Q1474" s="25">
        <f t="shared" si="71"/>
        <v>0.24778679289738648</v>
      </c>
      <c r="R1474" s="24">
        <f t="shared" si="72"/>
        <v>-0.32164988272853634</v>
      </c>
      <c r="S1474" s="20"/>
      <c r="T1474" s="7"/>
      <c r="U1474" s="7"/>
      <c r="V1474" s="7"/>
      <c r="W1474" s="7"/>
      <c r="X1474" s="7"/>
      <c r="Y1474" s="7"/>
      <c r="Z1474" s="7"/>
      <c r="AA1474" s="7"/>
    </row>
    <row r="1475" spans="1:27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>
        <v>32473</v>
      </c>
      <c r="P1475" s="1">
        <f t="shared" si="70"/>
        <v>0.49737563729286194</v>
      </c>
      <c r="Q1475" s="25">
        <f t="shared" si="71"/>
        <v>0.24746388589846902</v>
      </c>
      <c r="R1475" s="24">
        <f t="shared" si="72"/>
        <v>-0.32410971773089159</v>
      </c>
      <c r="S1475" s="20"/>
      <c r="T1475" s="7"/>
      <c r="U1475" s="7"/>
      <c r="V1475" s="7"/>
      <c r="W1475" s="7"/>
      <c r="X1475" s="7"/>
      <c r="Y1475" s="7"/>
      <c r="Z1475" s="7"/>
      <c r="AA1475" s="7"/>
    </row>
    <row r="1476" spans="1:27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>
        <v>32474</v>
      </c>
      <c r="P1476" s="1">
        <f t="shared" si="70"/>
        <v>0.49762275815010071</v>
      </c>
      <c r="Q1476" s="25">
        <f t="shared" si="71"/>
        <v>0.24713853417779319</v>
      </c>
      <c r="R1476" s="24">
        <f t="shared" si="72"/>
        <v>-0.32658630200188554</v>
      </c>
      <c r="S1476" s="20"/>
      <c r="T1476" s="7"/>
      <c r="U1476" s="7"/>
      <c r="V1476" s="7"/>
      <c r="W1476" s="7"/>
      <c r="X1476" s="7"/>
      <c r="Y1476" s="7"/>
      <c r="Z1476" s="7"/>
      <c r="AA1476" s="7"/>
    </row>
    <row r="1477" spans="1:27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>
        <v>32475</v>
      </c>
      <c r="P1477" s="1">
        <f t="shared" si="70"/>
        <v>0.49786975979804993</v>
      </c>
      <c r="Q1477" s="25">
        <f t="shared" si="71"/>
        <v>0.24681076683918945</v>
      </c>
      <c r="R1477" s="24">
        <f t="shared" si="72"/>
        <v>-0.32907970481943494</v>
      </c>
      <c r="S1477" s="20"/>
      <c r="T1477" s="7"/>
      <c r="U1477" s="7"/>
      <c r="V1477" s="7"/>
      <c r="W1477" s="7"/>
      <c r="X1477" s="7"/>
      <c r="Y1477" s="7"/>
      <c r="Z1477" s="7"/>
      <c r="AA1477" s="7"/>
    </row>
    <row r="1478" spans="1:27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>
        <v>32476</v>
      </c>
      <c r="P1478" s="1">
        <f t="shared" si="70"/>
        <v>0.49811628460884094</v>
      </c>
      <c r="Q1478" s="25">
        <f t="shared" si="71"/>
        <v>0.24648040925967507</v>
      </c>
      <c r="R1478" s="24">
        <f t="shared" si="72"/>
        <v>-0.33158998657967231</v>
      </c>
      <c r="S1478" s="20"/>
      <c r="T1478" s="7"/>
      <c r="U1478" s="7"/>
      <c r="V1478" s="7"/>
      <c r="W1478" s="7"/>
      <c r="X1478" s="7"/>
      <c r="Y1478" s="7"/>
      <c r="Z1478" s="7"/>
      <c r="AA1478" s="7"/>
    </row>
    <row r="1479" spans="1:27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>
        <v>32477</v>
      </c>
      <c r="P1479" s="1">
        <f t="shared" si="70"/>
        <v>0.49836245179176331</v>
      </c>
      <c r="Q1479" s="25">
        <f t="shared" si="71"/>
        <v>0.24614754875074141</v>
      </c>
      <c r="R1479" s="24">
        <f t="shared" si="72"/>
        <v>-0.33411721833687125</v>
      </c>
      <c r="S1479" s="20"/>
      <c r="T1479" s="7"/>
      <c r="U1479" s="7"/>
      <c r="V1479" s="7"/>
      <c r="W1479" s="7"/>
      <c r="X1479" s="7"/>
      <c r="Y1479" s="7"/>
      <c r="Z1479" s="7"/>
      <c r="AA1479" s="7"/>
    </row>
    <row r="1480" spans="1:27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>
        <v>32478</v>
      </c>
      <c r="P1480" s="1">
        <f t="shared" si="70"/>
        <v>0.49860897660255432</v>
      </c>
      <c r="Q1480" s="25">
        <f t="shared" si="71"/>
        <v>0.24581215620855801</v>
      </c>
      <c r="R1480" s="24">
        <f t="shared" si="72"/>
        <v>-0.33666146936894847</v>
      </c>
      <c r="S1480" s="20"/>
      <c r="T1480" s="7"/>
      <c r="U1480" s="7"/>
      <c r="V1480" s="7"/>
      <c r="W1480" s="7"/>
      <c r="X1480" s="7"/>
      <c r="Y1480" s="7"/>
      <c r="Z1480" s="7"/>
      <c r="AA1480" s="7"/>
    </row>
    <row r="1481" spans="1:27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>
        <v>32479</v>
      </c>
      <c r="P1481" s="1">
        <f t="shared" si="70"/>
        <v>0.49885478615760803</v>
      </c>
      <c r="Q1481" s="25">
        <f t="shared" si="71"/>
        <v>0.24547420252929442</v>
      </c>
      <c r="R1481" s="24">
        <f t="shared" si="72"/>
        <v>-0.33922280540110705</v>
      </c>
      <c r="S1481" s="20"/>
      <c r="T1481" s="7"/>
      <c r="U1481" s="7"/>
      <c r="V1481" s="7"/>
      <c r="W1481" s="7"/>
      <c r="X1481" s="7"/>
      <c r="Y1481" s="7"/>
      <c r="Z1481" s="7"/>
      <c r="AA1481" s="7"/>
    </row>
    <row r="1482" spans="1:27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>
        <v>32480</v>
      </c>
      <c r="P1482" s="1">
        <f t="shared" ref="P1482:P1545" si="73" xml:space="preserve"> -1.4681315616E-19*$O1482^6 + 2.80493263066289E-14*$O1482^5 - 2.23271907955907E-09*$O1482^4 + 0.0000947783879077569*$O1482^3 - 2.26293121558813*$O1482^2 + 28813.4861268598*$O1482 - 152852350.445896</f>
        <v>0.49909928441047668</v>
      </c>
      <c r="Q1482" s="25">
        <f t="shared" ref="Q1482:Q1545" si="74" xml:space="preserve"> (6*-1.4681315616E-19*$O1482^5 + 5*2.80493263066289E-14*$O1482^4 - 4*2.23271907955907E-09*$O1482^3 + 3*0.0000947783879077569*$O1482^2 - 2*2.26293121558813*$O1482^1 + 28813.4861268598)*1000</f>
        <v>0.24513374592061155</v>
      </c>
      <c r="R1482" s="24">
        <f t="shared" ref="R1482:R1545" si="75" xml:space="preserve"> (5*6*-1.4681315616E-19*$O1482^4 + 4*5*2.80493263066289E-14*$O1482^3 - 3*4*2.23271907955907E-09*$O1482^2 + 2*3*0.0000947783879077569*$O1482^1 - 2*2.26293121558813)*1000*1000</f>
        <v>-0.34180129393490688</v>
      </c>
      <c r="S1482" s="20"/>
      <c r="T1482" s="7"/>
      <c r="U1482" s="7"/>
      <c r="V1482" s="7"/>
      <c r="W1482" s="7"/>
      <c r="X1482" s="7"/>
      <c r="Y1482" s="7"/>
      <c r="Z1482" s="7"/>
      <c r="AA1482" s="7"/>
    </row>
    <row r="1483" spans="1:27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>
        <v>32481</v>
      </c>
      <c r="P1483" s="1">
        <f t="shared" si="73"/>
        <v>0.4993450939655304</v>
      </c>
      <c r="Q1483" s="25">
        <f t="shared" si="74"/>
        <v>0.24479061175952666</v>
      </c>
      <c r="R1483" s="24">
        <f t="shared" si="75"/>
        <v>-0.34439700069555101</v>
      </c>
      <c r="S1483" s="20"/>
      <c r="T1483" s="7"/>
      <c r="U1483" s="7"/>
      <c r="V1483" s="7"/>
      <c r="W1483" s="7"/>
      <c r="X1483" s="7"/>
      <c r="Y1483" s="7"/>
      <c r="Z1483" s="7"/>
      <c r="AA1483" s="7"/>
    </row>
    <row r="1484" spans="1:27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>
        <v>32482</v>
      </c>
      <c r="P1484" s="1">
        <f t="shared" si="73"/>
        <v>0.4995897114276886</v>
      </c>
      <c r="Q1484" s="25">
        <f t="shared" si="74"/>
        <v>0.24444485825370066</v>
      </c>
      <c r="R1484" s="24">
        <f t="shared" si="75"/>
        <v>-0.34700999318459935</v>
      </c>
      <c r="S1484" s="20"/>
      <c r="T1484" s="7"/>
      <c r="U1484" s="7"/>
      <c r="V1484" s="7"/>
      <c r="W1484" s="7"/>
      <c r="X1484" s="7"/>
      <c r="Y1484" s="7"/>
      <c r="Z1484" s="7"/>
      <c r="AA1484" s="7"/>
    </row>
    <row r="1485" spans="1:27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>
        <v>32483</v>
      </c>
      <c r="P1485" s="1">
        <f t="shared" si="73"/>
        <v>0.49983325600624084</v>
      </c>
      <c r="Q1485" s="25">
        <f t="shared" si="74"/>
        <v>0.24409663092228584</v>
      </c>
      <c r="R1485" s="24">
        <f t="shared" si="75"/>
        <v>-0.34964033712725495</v>
      </c>
      <c r="S1485" s="20"/>
      <c r="T1485" s="7"/>
      <c r="U1485" s="7"/>
      <c r="V1485" s="7"/>
      <c r="W1485" s="7"/>
      <c r="X1485" s="7"/>
      <c r="Y1485" s="7"/>
      <c r="Z1485" s="7"/>
      <c r="AA1485" s="7"/>
    </row>
    <row r="1486" spans="1:27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>
        <v>32484</v>
      </c>
      <c r="P1486" s="1">
        <f t="shared" si="73"/>
        <v>0.50007763504981995</v>
      </c>
      <c r="Q1486" s="25">
        <f t="shared" si="74"/>
        <v>0.24374560962314717</v>
      </c>
      <c r="R1486" s="24">
        <f t="shared" si="75"/>
        <v>-0.35228810713050507</v>
      </c>
      <c r="S1486" s="20"/>
      <c r="T1486" s="7"/>
      <c r="U1486" s="7"/>
      <c r="V1486" s="7"/>
      <c r="W1486" s="7"/>
      <c r="X1486" s="7"/>
      <c r="Y1486" s="7"/>
      <c r="Z1486" s="7"/>
      <c r="AA1486" s="7"/>
    </row>
    <row r="1487" spans="1:27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>
        <v>32485</v>
      </c>
      <c r="P1487" s="1">
        <f t="shared" si="73"/>
        <v>0.50032082200050354</v>
      </c>
      <c r="Q1487" s="25">
        <f t="shared" si="74"/>
        <v>0.24339199808309786</v>
      </c>
      <c r="R1487" s="24">
        <f t="shared" si="75"/>
        <v>-0.35495336359048224</v>
      </c>
      <c r="S1487" s="20"/>
      <c r="T1487" s="7"/>
      <c r="U1487" s="7"/>
      <c r="V1487" s="7"/>
      <c r="W1487" s="7"/>
      <c r="X1487" s="7"/>
      <c r="Y1487" s="7"/>
      <c r="Z1487" s="7"/>
      <c r="AA1487" s="7"/>
    </row>
    <row r="1488" spans="1:27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>
        <v>32486</v>
      </c>
      <c r="P1488" s="1">
        <f t="shared" si="73"/>
        <v>0.50056388974189758</v>
      </c>
      <c r="Q1488" s="25">
        <f t="shared" si="74"/>
        <v>0.24303570899064653</v>
      </c>
      <c r="R1488" s="24">
        <f t="shared" si="75"/>
        <v>-0.35763617756146004</v>
      </c>
      <c r="S1488" s="20"/>
      <c r="T1488" s="7"/>
      <c r="U1488" s="7"/>
      <c r="V1488" s="7"/>
      <c r="W1488" s="7"/>
      <c r="X1488" s="7"/>
      <c r="Y1488" s="7"/>
      <c r="Z1488" s="7"/>
      <c r="AA1488" s="7"/>
    </row>
    <row r="1489" spans="1:27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>
        <v>32487</v>
      </c>
      <c r="P1489" s="1">
        <f t="shared" si="73"/>
        <v>0.50080731511116028</v>
      </c>
      <c r="Q1489" s="25">
        <f t="shared" si="74"/>
        <v>0.24267674234579317</v>
      </c>
      <c r="R1489" s="24">
        <f t="shared" si="75"/>
        <v>-0.36033661654499838</v>
      </c>
      <c r="S1489" s="20"/>
      <c r="T1489" s="7"/>
      <c r="U1489" s="7"/>
      <c r="V1489" s="7"/>
      <c r="W1489" s="7"/>
      <c r="X1489" s="7"/>
      <c r="Y1489" s="7"/>
      <c r="Z1489" s="7"/>
      <c r="AA1489" s="7"/>
    </row>
    <row r="1490" spans="1:27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>
        <v>32488</v>
      </c>
      <c r="P1490" s="1">
        <f t="shared" si="73"/>
        <v>0.50105002522468567</v>
      </c>
      <c r="Q1490" s="25">
        <f t="shared" si="74"/>
        <v>0.24231501083704643</v>
      </c>
      <c r="R1490" s="24">
        <f t="shared" si="75"/>
        <v>-0.36305475159537082</v>
      </c>
      <c r="S1490" s="20"/>
      <c r="T1490" s="7"/>
      <c r="U1490" s="7"/>
      <c r="V1490" s="7"/>
      <c r="W1490" s="7"/>
      <c r="X1490" s="7"/>
      <c r="Y1490" s="7"/>
      <c r="Z1490" s="7"/>
      <c r="AA1490" s="7"/>
    </row>
    <row r="1491" spans="1:27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>
        <v>32489</v>
      </c>
      <c r="P1491" s="1">
        <f t="shared" si="73"/>
        <v>0.5012919008731842</v>
      </c>
      <c r="Q1491" s="25">
        <f t="shared" si="74"/>
        <v>0.24195063087972812</v>
      </c>
      <c r="R1491" s="24">
        <f t="shared" si="75"/>
        <v>-0.36579064666142358</v>
      </c>
      <c r="S1491" s="20"/>
      <c r="T1491" s="7"/>
      <c r="U1491" s="7"/>
      <c r="V1491" s="7"/>
      <c r="W1491" s="7"/>
      <c r="X1491" s="7"/>
      <c r="Y1491" s="7"/>
      <c r="Z1491" s="7"/>
      <c r="AA1491" s="7"/>
    </row>
    <row r="1492" spans="1:27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>
        <v>32490</v>
      </c>
      <c r="P1492" s="1">
        <f t="shared" si="73"/>
        <v>0.50153365731239319</v>
      </c>
      <c r="Q1492" s="25">
        <f t="shared" si="74"/>
        <v>0.24158342785085551</v>
      </c>
      <c r="R1492" s="24">
        <f t="shared" si="75"/>
        <v>-0.3685443710210734</v>
      </c>
      <c r="S1492" s="20"/>
      <c r="T1492" s="7"/>
      <c r="U1492" s="7"/>
      <c r="V1492" s="7"/>
      <c r="W1492" s="7"/>
      <c r="X1492" s="7"/>
      <c r="Y1492" s="7"/>
      <c r="Z1492" s="7"/>
      <c r="AA1492" s="7"/>
    </row>
    <row r="1493" spans="1:27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>
        <v>32491</v>
      </c>
      <c r="P1493" s="1">
        <f t="shared" si="73"/>
        <v>0.50177493691444397</v>
      </c>
      <c r="Q1493" s="25">
        <f t="shared" si="74"/>
        <v>0.24121348906191997</v>
      </c>
      <c r="R1493" s="24">
        <f t="shared" si="75"/>
        <v>-0.37131599395223702</v>
      </c>
      <c r="S1493" s="20"/>
      <c r="T1493" s="7"/>
      <c r="U1493" s="7"/>
      <c r="V1493" s="7"/>
      <c r="W1493" s="7"/>
      <c r="X1493" s="7"/>
      <c r="Y1493" s="7"/>
      <c r="Z1493" s="7"/>
      <c r="AA1493" s="7"/>
    </row>
    <row r="1494" spans="1:27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>
        <v>32492</v>
      </c>
      <c r="P1494" s="1">
        <f t="shared" si="73"/>
        <v>0.502015620470047</v>
      </c>
      <c r="Q1494" s="25">
        <f t="shared" si="74"/>
        <v>0.2408408145129215</v>
      </c>
      <c r="R1494" s="24">
        <f t="shared" si="75"/>
        <v>-0.37410558650918802</v>
      </c>
      <c r="S1494" s="20"/>
      <c r="T1494" s="7"/>
      <c r="U1494" s="7"/>
      <c r="V1494" s="7"/>
      <c r="W1494" s="7"/>
      <c r="X1494" s="7"/>
      <c r="Y1494" s="7"/>
      <c r="Z1494" s="7"/>
      <c r="AA1494" s="7"/>
    </row>
    <row r="1495" spans="1:27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>
        <v>32493</v>
      </c>
      <c r="P1495" s="1">
        <f t="shared" si="73"/>
        <v>0.50225666165351868</v>
      </c>
      <c r="Q1495" s="25">
        <f t="shared" si="74"/>
        <v>0.24046531689236872</v>
      </c>
      <c r="R1495" s="24">
        <f t="shared" si="75"/>
        <v>-0.37691320198263156</v>
      </c>
      <c r="S1495" s="20"/>
      <c r="T1495" s="7"/>
      <c r="U1495" s="7"/>
      <c r="V1495" s="7"/>
      <c r="W1495" s="7"/>
      <c r="X1495" s="7"/>
      <c r="Y1495" s="7"/>
      <c r="Z1495" s="7"/>
      <c r="AA1495" s="7"/>
    </row>
    <row r="1496" spans="1:27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>
        <v>32494</v>
      </c>
      <c r="P1496" s="1">
        <f t="shared" si="73"/>
        <v>0.50249722599983215</v>
      </c>
      <c r="Q1496" s="25">
        <f t="shared" si="74"/>
        <v>0.24008693799260072</v>
      </c>
      <c r="R1496" s="24">
        <f t="shared" si="75"/>
        <v>-0.37973893096676647</v>
      </c>
      <c r="S1496" s="20"/>
      <c r="T1496" s="7"/>
      <c r="U1496" s="7"/>
      <c r="V1496" s="7"/>
      <c r="W1496" s="7"/>
      <c r="X1496" s="7"/>
      <c r="Y1496" s="7"/>
      <c r="Z1496" s="7"/>
      <c r="AA1496" s="7"/>
    </row>
    <row r="1497" spans="1:27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>
        <v>32495</v>
      </c>
      <c r="P1497" s="1">
        <f t="shared" si="73"/>
        <v>0.50273647904396057</v>
      </c>
      <c r="Q1497" s="25">
        <f t="shared" si="74"/>
        <v>0.2397058233327698</v>
      </c>
      <c r="R1497" s="24">
        <f t="shared" si="75"/>
        <v>-0.38258283563408213</v>
      </c>
      <c r="S1497" s="20"/>
      <c r="T1497" s="7"/>
      <c r="U1497" s="7"/>
      <c r="V1497" s="7"/>
      <c r="W1497" s="7"/>
      <c r="X1497" s="7"/>
      <c r="Y1497" s="7"/>
      <c r="Z1497" s="7"/>
      <c r="AA1497" s="7"/>
    </row>
    <row r="1498" spans="1:27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>
        <v>32496</v>
      </c>
      <c r="P1498" s="1">
        <f t="shared" si="73"/>
        <v>0.50297585129737854</v>
      </c>
      <c r="Q1498" s="25">
        <f t="shared" si="74"/>
        <v>0.23932185649755411</v>
      </c>
      <c r="R1498" s="24">
        <f t="shared" si="75"/>
        <v>-0.38544497638071107</v>
      </c>
      <c r="S1498" s="20"/>
      <c r="T1498" s="7"/>
      <c r="U1498" s="7"/>
      <c r="V1498" s="7"/>
      <c r="W1498" s="7"/>
      <c r="X1498" s="7"/>
      <c r="Y1498" s="7"/>
      <c r="Z1498" s="7"/>
      <c r="AA1498" s="7"/>
    </row>
    <row r="1499" spans="1:27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>
        <v>32497</v>
      </c>
      <c r="P1499" s="1">
        <f t="shared" si="73"/>
        <v>0.50321546196937561</v>
      </c>
      <c r="Q1499" s="25">
        <f t="shared" si="74"/>
        <v>0.23893489196780138</v>
      </c>
      <c r="R1499" s="24">
        <f t="shared" si="75"/>
        <v>-0.38832542958999738</v>
      </c>
      <c r="S1499" s="20"/>
      <c r="T1499" s="7"/>
      <c r="U1499" s="7"/>
      <c r="V1499" s="7"/>
      <c r="W1499" s="7"/>
      <c r="X1499" s="7"/>
      <c r="Y1499" s="7"/>
      <c r="Z1499" s="7"/>
      <c r="AA1499" s="7"/>
    </row>
    <row r="1500" spans="1:27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>
        <v>32498</v>
      </c>
      <c r="P1500" s="1">
        <f t="shared" si="73"/>
        <v>0.50345447659492493</v>
      </c>
      <c r="Q1500" s="25">
        <f t="shared" si="74"/>
        <v>0.23854516257415526</v>
      </c>
      <c r="R1500" s="24">
        <f t="shared" si="75"/>
        <v>-0.39122426453985781</v>
      </c>
      <c r="S1500" s="20"/>
      <c r="T1500" s="7"/>
      <c r="U1500" s="7"/>
      <c r="V1500" s="7"/>
      <c r="W1500" s="7"/>
      <c r="X1500" s="7"/>
      <c r="Y1500" s="7"/>
      <c r="Z1500" s="7"/>
      <c r="AA1500" s="7"/>
    </row>
    <row r="1501" spans="1:27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>
        <v>32499</v>
      </c>
      <c r="P1501" s="1">
        <f t="shared" si="73"/>
        <v>0.50369241833686829</v>
      </c>
      <c r="Q1501" s="25">
        <f t="shared" si="74"/>
        <v>0.23815252279746346</v>
      </c>
      <c r="R1501" s="24">
        <f t="shared" si="75"/>
        <v>-0.39414154695549541</v>
      </c>
      <c r="S1501" s="20"/>
      <c r="T1501" s="7"/>
      <c r="U1501" s="7"/>
      <c r="V1501" s="7"/>
      <c r="W1501" s="7"/>
      <c r="X1501" s="7"/>
      <c r="Y1501" s="7"/>
      <c r="Z1501" s="7"/>
      <c r="AA1501" s="7"/>
    </row>
    <row r="1502" spans="1:27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>
        <v>32500</v>
      </c>
      <c r="P1502" s="1">
        <f t="shared" si="73"/>
        <v>0.50393036007881165</v>
      </c>
      <c r="Q1502" s="25">
        <f t="shared" si="74"/>
        <v>0.23775685622240417</v>
      </c>
      <c r="R1502" s="24">
        <f t="shared" si="75"/>
        <v>-0.39707734611482692</v>
      </c>
      <c r="S1502" s="20"/>
      <c r="T1502" s="7"/>
      <c r="U1502" s="7"/>
      <c r="V1502" s="7"/>
      <c r="W1502" s="7"/>
      <c r="X1502" s="7"/>
      <c r="Y1502" s="7"/>
      <c r="Z1502" s="7"/>
      <c r="AA1502" s="7"/>
    </row>
    <row r="1503" spans="1:27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>
        <v>32501</v>
      </c>
      <c r="P1503" s="1">
        <f t="shared" si="73"/>
        <v>0.50416794419288635</v>
      </c>
      <c r="Q1503" s="25">
        <f t="shared" si="74"/>
        <v>0.23735833747196011</v>
      </c>
      <c r="R1503" s="24">
        <f t="shared" si="75"/>
        <v>-0.40003174017755327</v>
      </c>
      <c r="S1503" s="20"/>
      <c r="T1503" s="7"/>
      <c r="U1503" s="7"/>
      <c r="V1503" s="7"/>
      <c r="W1503" s="7"/>
      <c r="X1503" s="7"/>
      <c r="Y1503" s="7"/>
      <c r="Z1503" s="7"/>
      <c r="AA1503" s="7"/>
    </row>
    <row r="1504" spans="1:27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>
        <v>32502</v>
      </c>
      <c r="P1504" s="1">
        <f t="shared" si="73"/>
        <v>0.50440493226051331</v>
      </c>
      <c r="Q1504" s="25">
        <f t="shared" si="74"/>
        <v>0.23695682102697901</v>
      </c>
      <c r="R1504" s="24">
        <f t="shared" si="75"/>
        <v>-0.40300478243437965</v>
      </c>
      <c r="S1504" s="20"/>
      <c r="T1504" s="7"/>
      <c r="U1504" s="7"/>
      <c r="V1504" s="7"/>
      <c r="W1504" s="7"/>
      <c r="X1504" s="7"/>
      <c r="Y1504" s="7"/>
      <c r="Z1504" s="7"/>
      <c r="AA1504" s="7"/>
    </row>
    <row r="1505" spans="1:27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>
        <v>32503</v>
      </c>
      <c r="P1505" s="1">
        <f t="shared" si="73"/>
        <v>0.50464168190956116</v>
      </c>
      <c r="Q1505" s="25">
        <f t="shared" si="74"/>
        <v>0.23655230688746087</v>
      </c>
      <c r="R1505" s="24">
        <f t="shared" si="75"/>
        <v>-0.40599655815043434</v>
      </c>
      <c r="S1505" s="20"/>
      <c r="T1505" s="7"/>
      <c r="U1505" s="7"/>
      <c r="V1505" s="7"/>
      <c r="W1505" s="7"/>
      <c r="X1505" s="7"/>
      <c r="Y1505" s="7"/>
      <c r="Z1505" s="7"/>
      <c r="AA1505" s="7"/>
    </row>
    <row r="1506" spans="1:27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>
        <v>32504</v>
      </c>
      <c r="P1506" s="1">
        <f t="shared" si="73"/>
        <v>0.50487855076789856</v>
      </c>
      <c r="Q1506" s="25">
        <f t="shared" si="74"/>
        <v>0.23614482415723614</v>
      </c>
      <c r="R1506" s="24">
        <f t="shared" si="75"/>
        <v>-0.40900713127456356</v>
      </c>
      <c r="S1506" s="20"/>
      <c r="T1506" s="7"/>
      <c r="U1506" s="7"/>
      <c r="V1506" s="7"/>
      <c r="W1506" s="7"/>
      <c r="X1506" s="7"/>
      <c r="Y1506" s="7"/>
      <c r="Z1506" s="7"/>
      <c r="AA1506" s="7"/>
    </row>
    <row r="1507" spans="1:27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>
        <v>32505</v>
      </c>
      <c r="P1507" s="1">
        <f t="shared" si="73"/>
        <v>0.5051141083240509</v>
      </c>
      <c r="Q1507" s="25">
        <f t="shared" si="74"/>
        <v>0.23573431462864392</v>
      </c>
      <c r="R1507" s="24">
        <f t="shared" si="75"/>
        <v>-0.41203656753197038</v>
      </c>
      <c r="S1507" s="20"/>
      <c r="T1507" s="7"/>
      <c r="U1507" s="7"/>
      <c r="V1507" s="7"/>
      <c r="W1507" s="7"/>
      <c r="X1507" s="7"/>
      <c r="Y1507" s="7"/>
      <c r="Z1507" s="7"/>
      <c r="AA1507" s="7"/>
    </row>
    <row r="1508" spans="1:27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>
        <v>32506</v>
      </c>
      <c r="P1508" s="1">
        <f t="shared" si="73"/>
        <v>0.50534942746162415</v>
      </c>
      <c r="Q1508" s="25">
        <f t="shared" si="74"/>
        <v>0.23532069099019282</v>
      </c>
      <c r="R1508" s="24">
        <f t="shared" si="75"/>
        <v>-0.4150849397532852</v>
      </c>
      <c r="S1508" s="20"/>
      <c r="T1508" s="7"/>
      <c r="U1508" s="7"/>
      <c r="V1508" s="7"/>
      <c r="W1508" s="7"/>
      <c r="X1508" s="7"/>
      <c r="Y1508" s="7"/>
      <c r="Z1508" s="7"/>
      <c r="AA1508" s="7"/>
    </row>
    <row r="1509" spans="1:27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>
        <v>32507</v>
      </c>
      <c r="P1509" s="1">
        <f t="shared" si="73"/>
        <v>0.50558462738990784</v>
      </c>
      <c r="Q1509" s="25">
        <f t="shared" si="74"/>
        <v>0.23490412786486559</v>
      </c>
      <c r="R1509" s="24">
        <f t="shared" si="75"/>
        <v>-0.41815232432185212</v>
      </c>
      <c r="S1509" s="20"/>
      <c r="T1509" s="7"/>
      <c r="U1509" s="7"/>
      <c r="V1509" s="7"/>
      <c r="W1509" s="7"/>
      <c r="X1509" s="7"/>
      <c r="Y1509" s="7"/>
      <c r="Z1509" s="7"/>
      <c r="AA1509" s="7"/>
    </row>
    <row r="1510" spans="1:27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>
        <v>32508</v>
      </c>
      <c r="P1510" s="1">
        <f t="shared" si="73"/>
        <v>0.50581970810890198</v>
      </c>
      <c r="Q1510" s="25">
        <f t="shared" si="74"/>
        <v>0.23448442152584903</v>
      </c>
      <c r="R1510" s="24">
        <f t="shared" si="75"/>
        <v>-0.42123878341016052</v>
      </c>
      <c r="S1510" s="20"/>
      <c r="T1510" s="7"/>
      <c r="U1510" s="7"/>
      <c r="V1510" s="7"/>
      <c r="W1510" s="7"/>
      <c r="X1510" s="7"/>
      <c r="Y1510" s="7"/>
      <c r="Z1510" s="7"/>
      <c r="AA1510" s="7"/>
    </row>
    <row r="1511" spans="1:27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>
        <v>32509</v>
      </c>
      <c r="P1511" s="1">
        <f t="shared" si="73"/>
        <v>0.50605359673500061</v>
      </c>
      <c r="Q1511" s="25">
        <f t="shared" si="74"/>
        <v>0.23406163018080406</v>
      </c>
      <c r="R1511" s="24">
        <f t="shared" si="75"/>
        <v>-0.42434438807248398</v>
      </c>
      <c r="S1511" s="20"/>
      <c r="T1511" s="7"/>
      <c r="U1511" s="7"/>
      <c r="V1511" s="7"/>
      <c r="W1511" s="7"/>
      <c r="X1511" s="7"/>
      <c r="Y1511" s="7"/>
      <c r="Z1511" s="7"/>
      <c r="AA1511" s="7"/>
    </row>
    <row r="1512" spans="1:27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>
        <v>32510</v>
      </c>
      <c r="P1512" s="1">
        <f t="shared" si="73"/>
        <v>0.5062878429889679</v>
      </c>
      <c r="Q1512" s="25">
        <f t="shared" si="74"/>
        <v>0.23363569562206976</v>
      </c>
      <c r="R1512" s="24">
        <f t="shared" si="75"/>
        <v>-0.42746921291580975</v>
      </c>
      <c r="S1512" s="20"/>
      <c r="T1512" s="7"/>
      <c r="U1512" s="7"/>
      <c r="V1512" s="7"/>
      <c r="W1512" s="7"/>
      <c r="X1512" s="7"/>
      <c r="Y1512" s="7"/>
      <c r="Z1512" s="7"/>
      <c r="AA1512" s="7"/>
    </row>
    <row r="1513" spans="1:27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>
        <v>32511</v>
      </c>
      <c r="P1513" s="1">
        <f t="shared" si="73"/>
        <v>0.50652101635932922</v>
      </c>
      <c r="Q1513" s="25">
        <f t="shared" si="74"/>
        <v>0.23320664695347659</v>
      </c>
      <c r="R1513" s="24">
        <f t="shared" si="75"/>
        <v>-0.43061332188898405</v>
      </c>
      <c r="S1513" s="20"/>
      <c r="T1513" s="7"/>
      <c r="U1513" s="7"/>
      <c r="V1513" s="7"/>
      <c r="W1513" s="7"/>
      <c r="X1513" s="7"/>
      <c r="Y1513" s="7"/>
      <c r="Z1513" s="7"/>
      <c r="AA1513" s="7"/>
    </row>
    <row r="1514" spans="1:27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>
        <v>32512</v>
      </c>
      <c r="P1514" s="1">
        <f t="shared" si="73"/>
        <v>0.50675418972969055</v>
      </c>
      <c r="Q1514" s="25">
        <f t="shared" si="74"/>
        <v>0.23277448417502455</v>
      </c>
      <c r="R1514" s="24">
        <f t="shared" si="75"/>
        <v>-0.43377679315170781</v>
      </c>
      <c r="S1514" s="20"/>
      <c r="T1514" s="7"/>
      <c r="U1514" s="7"/>
      <c r="V1514" s="7"/>
      <c r="W1514" s="7"/>
      <c r="X1514" s="7"/>
      <c r="Y1514" s="7"/>
      <c r="Z1514" s="7"/>
      <c r="AA1514" s="7"/>
    </row>
    <row r="1515" spans="1:27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>
        <v>32513</v>
      </c>
      <c r="P1515" s="1">
        <f t="shared" si="73"/>
        <v>0.50698676705360413</v>
      </c>
      <c r="Q1515" s="25">
        <f t="shared" si="74"/>
        <v>0.23233909087139182</v>
      </c>
      <c r="R1515" s="24">
        <f t="shared" si="75"/>
        <v>-0.43695969242918409</v>
      </c>
      <c r="S1515" s="20"/>
      <c r="T1515" s="7"/>
      <c r="U1515" s="7"/>
      <c r="V1515" s="7"/>
      <c r="W1515" s="7"/>
      <c r="X1515" s="7"/>
      <c r="Y1515" s="7"/>
      <c r="Z1515" s="7"/>
      <c r="AA1515" s="7"/>
    </row>
    <row r="1516" spans="1:27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>
        <v>32514</v>
      </c>
      <c r="P1516" s="1">
        <f t="shared" si="73"/>
        <v>0.50721898674964905</v>
      </c>
      <c r="Q1516" s="25">
        <f t="shared" si="74"/>
        <v>0.23190055435406975</v>
      </c>
      <c r="R1516" s="24">
        <f t="shared" si="75"/>
        <v>-0.4401620925520433</v>
      </c>
      <c r="S1516" s="20"/>
      <c r="T1516" s="7"/>
      <c r="U1516" s="7"/>
      <c r="V1516" s="7"/>
      <c r="W1516" s="7"/>
      <c r="X1516" s="7"/>
      <c r="Y1516" s="7"/>
      <c r="Z1516" s="7"/>
      <c r="AA1516" s="7"/>
    </row>
    <row r="1517" spans="1:27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>
        <v>32515</v>
      </c>
      <c r="P1517" s="1">
        <f t="shared" si="73"/>
        <v>0.50745001435279846</v>
      </c>
      <c r="Q1517" s="25">
        <f t="shared" si="74"/>
        <v>0.23145878731156699</v>
      </c>
      <c r="R1517" s="24">
        <f t="shared" si="75"/>
        <v>-0.44338406812727271</v>
      </c>
      <c r="S1517" s="20"/>
      <c r="T1517" s="7"/>
      <c r="U1517" s="7"/>
      <c r="V1517" s="7"/>
      <c r="W1517" s="7"/>
      <c r="X1517" s="7"/>
      <c r="Y1517" s="7"/>
      <c r="Z1517" s="7"/>
      <c r="AA1517" s="7"/>
    </row>
    <row r="1518" spans="1:27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>
        <v>32516</v>
      </c>
      <c r="P1518" s="1">
        <f t="shared" si="73"/>
        <v>0.50768187642097473</v>
      </c>
      <c r="Q1518" s="25">
        <f t="shared" si="74"/>
        <v>0.23101378974388354</v>
      </c>
      <c r="R1518" s="24">
        <f t="shared" si="75"/>
        <v>-0.44662568132736169</v>
      </c>
      <c r="S1518" s="20"/>
      <c r="T1518" s="7"/>
      <c r="U1518" s="7"/>
      <c r="V1518" s="7"/>
      <c r="W1518" s="7"/>
      <c r="X1518" s="7"/>
      <c r="Y1518" s="7"/>
      <c r="Z1518" s="7"/>
      <c r="AA1518" s="7"/>
    </row>
    <row r="1519" spans="1:27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>
        <v>32517</v>
      </c>
      <c r="P1519" s="1">
        <f t="shared" si="73"/>
        <v>0.50791266560554504</v>
      </c>
      <c r="Q1519" s="25">
        <f t="shared" si="74"/>
        <v>0.23056550344335847</v>
      </c>
      <c r="R1519" s="24">
        <f t="shared" si="75"/>
        <v>-0.44988700853565433</v>
      </c>
      <c r="S1519" s="20"/>
      <c r="T1519" s="7"/>
      <c r="U1519" s="7"/>
      <c r="V1519" s="7"/>
      <c r="W1519" s="7"/>
      <c r="X1519" s="7"/>
      <c r="Y1519" s="7"/>
      <c r="Z1519" s="7"/>
      <c r="AA1519" s="7"/>
    </row>
    <row r="1520" spans="1:27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>
        <v>32518</v>
      </c>
      <c r="P1520" s="1">
        <f t="shared" si="73"/>
        <v>0.50814297795295715</v>
      </c>
      <c r="Q1520" s="25">
        <f t="shared" si="74"/>
        <v>0.23011395751382224</v>
      </c>
      <c r="R1520" s="24">
        <f t="shared" si="75"/>
        <v>-0.45316812613549473</v>
      </c>
      <c r="S1520" s="20"/>
      <c r="T1520" s="7"/>
      <c r="U1520" s="7"/>
      <c r="V1520" s="7"/>
      <c r="W1520" s="7"/>
      <c r="X1520" s="7"/>
      <c r="Y1520" s="7"/>
      <c r="Z1520" s="7"/>
      <c r="AA1520" s="7"/>
    </row>
    <row r="1521" spans="1:27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>
        <v>32519</v>
      </c>
      <c r="P1521" s="1">
        <f t="shared" si="73"/>
        <v>0.50837269425392151</v>
      </c>
      <c r="Q1521" s="25">
        <f t="shared" si="74"/>
        <v>0.22965915195527487</v>
      </c>
      <c r="R1521" s="24">
        <f t="shared" si="75"/>
        <v>-0.45646909097030175</v>
      </c>
      <c r="S1521" s="20"/>
      <c r="T1521" s="7"/>
      <c r="U1521" s="7"/>
      <c r="V1521" s="7"/>
      <c r="W1521" s="7"/>
      <c r="X1521" s="7"/>
      <c r="Y1521" s="7"/>
      <c r="Z1521" s="7"/>
      <c r="AA1521" s="7"/>
    </row>
    <row r="1522" spans="1:27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>
        <v>32520</v>
      </c>
      <c r="P1522" s="1">
        <f t="shared" si="73"/>
        <v>0.50860205292701721</v>
      </c>
      <c r="Q1522" s="25">
        <f t="shared" si="74"/>
        <v>0.22920102856005542</v>
      </c>
      <c r="R1522" s="24">
        <f t="shared" si="75"/>
        <v>-0.4597899936342742</v>
      </c>
      <c r="S1522" s="20"/>
      <c r="T1522" s="7"/>
      <c r="U1522" s="7"/>
      <c r="V1522" s="7"/>
      <c r="W1522" s="7"/>
      <c r="X1522" s="7"/>
      <c r="Y1522" s="7"/>
      <c r="Z1522" s="7"/>
      <c r="AA1522" s="7"/>
    </row>
    <row r="1523" spans="1:27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>
        <v>32521</v>
      </c>
      <c r="P1523" s="1">
        <f t="shared" si="73"/>
        <v>0.50883141160011292</v>
      </c>
      <c r="Q1523" s="25">
        <f t="shared" si="74"/>
        <v>0.22873955822433345</v>
      </c>
      <c r="R1523" s="24">
        <f t="shared" si="75"/>
        <v>-0.46313089097083093</v>
      </c>
      <c r="S1523" s="20"/>
      <c r="T1523" s="7"/>
      <c r="U1523" s="7"/>
      <c r="V1523" s="7"/>
      <c r="W1523" s="7"/>
      <c r="X1523" s="7"/>
      <c r="Y1523" s="7"/>
      <c r="Z1523" s="7"/>
      <c r="AA1523" s="7"/>
    </row>
    <row r="1524" spans="1:27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>
        <v>32522</v>
      </c>
      <c r="P1524" s="1">
        <f t="shared" si="73"/>
        <v>0.50905922055244446</v>
      </c>
      <c r="Q1524" s="25">
        <f t="shared" si="74"/>
        <v>0.22827474094810896</v>
      </c>
      <c r="R1524" s="24">
        <f t="shared" si="75"/>
        <v>-0.46649185403424553</v>
      </c>
      <c r="S1524" s="20"/>
      <c r="T1524" s="7"/>
      <c r="U1524" s="7"/>
      <c r="V1524" s="7"/>
      <c r="W1524" s="7"/>
      <c r="X1524" s="7"/>
      <c r="Y1524" s="7"/>
      <c r="Z1524" s="7"/>
      <c r="AA1524" s="7"/>
    </row>
    <row r="1525" spans="1:27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>
        <v>32523</v>
      </c>
      <c r="P1525" s="1">
        <f t="shared" si="73"/>
        <v>0.50928762555122375</v>
      </c>
      <c r="Q1525" s="25">
        <f t="shared" si="74"/>
        <v>0.22780654762755148</v>
      </c>
      <c r="R1525" s="24">
        <f t="shared" si="75"/>
        <v>-0.46987296453693261</v>
      </c>
      <c r="S1525" s="20"/>
      <c r="T1525" s="7"/>
      <c r="U1525" s="7"/>
      <c r="V1525" s="7"/>
      <c r="W1525" s="7"/>
      <c r="X1525" s="7"/>
      <c r="Y1525" s="7"/>
      <c r="Z1525" s="7"/>
      <c r="AA1525" s="7"/>
    </row>
    <row r="1526" spans="1:27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>
        <v>32524</v>
      </c>
      <c r="P1526" s="1">
        <f t="shared" si="73"/>
        <v>0.50951507687568665</v>
      </c>
      <c r="Q1526" s="25">
        <f t="shared" si="74"/>
        <v>0.22733503647032194</v>
      </c>
      <c r="R1526" s="24">
        <f t="shared" si="75"/>
        <v>-0.47327429353316575</v>
      </c>
      <c r="S1526" s="20"/>
      <c r="T1526" s="7"/>
      <c r="U1526" s="7"/>
      <c r="V1526" s="7"/>
      <c r="W1526" s="7"/>
      <c r="X1526" s="7"/>
      <c r="Y1526" s="7"/>
      <c r="Z1526" s="7"/>
      <c r="AA1526" s="7"/>
    </row>
    <row r="1527" spans="1:27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>
        <v>32525</v>
      </c>
      <c r="P1527" s="1">
        <f t="shared" si="73"/>
        <v>0.50974240899085999</v>
      </c>
      <c r="Q1527" s="25">
        <f t="shared" si="74"/>
        <v>0.22686003285343759</v>
      </c>
      <c r="R1527" s="24">
        <f t="shared" si="75"/>
        <v>-0.47669590497179115</v>
      </c>
      <c r="S1527" s="20"/>
      <c r="T1527" s="7"/>
      <c r="U1527" s="7"/>
      <c r="V1527" s="7"/>
      <c r="W1527" s="7"/>
      <c r="X1527" s="7"/>
      <c r="Y1527" s="7"/>
      <c r="Z1527" s="7"/>
      <c r="AA1527" s="7"/>
    </row>
    <row r="1528" spans="1:27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>
        <v>32526</v>
      </c>
      <c r="P1528" s="1">
        <f t="shared" si="73"/>
        <v>0.50996938347816467</v>
      </c>
      <c r="Q1528" s="25">
        <f t="shared" si="74"/>
        <v>0.22638159498455934</v>
      </c>
      <c r="R1528" s="24">
        <f t="shared" si="75"/>
        <v>-0.48013787701250976</v>
      </c>
      <c r="S1528" s="20"/>
      <c r="T1528" s="7"/>
      <c r="U1528" s="7"/>
      <c r="V1528" s="7"/>
      <c r="W1528" s="7"/>
      <c r="X1528" s="7"/>
      <c r="Y1528" s="7"/>
      <c r="Z1528" s="7"/>
      <c r="AA1528" s="7"/>
    </row>
    <row r="1529" spans="1:27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>
        <v>32527</v>
      </c>
      <c r="P1529" s="1">
        <f t="shared" si="73"/>
        <v>0.51019492745399475</v>
      </c>
      <c r="Q1529" s="25">
        <f t="shared" si="74"/>
        <v>0.2258997228636872</v>
      </c>
      <c r="R1529" s="24">
        <f t="shared" si="75"/>
        <v>-0.48360027538052464</v>
      </c>
      <c r="S1529" s="20"/>
      <c r="T1529" s="7"/>
      <c r="U1529" s="7"/>
      <c r="V1529" s="7"/>
      <c r="W1529" s="7"/>
      <c r="X1529" s="7"/>
      <c r="Y1529" s="7"/>
      <c r="Z1529" s="7"/>
      <c r="AA1529" s="7"/>
    </row>
    <row r="1530" spans="1:27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>
        <v>32528</v>
      </c>
      <c r="P1530" s="1">
        <f t="shared" si="73"/>
        <v>0.51042082905769348</v>
      </c>
      <c r="Q1530" s="25">
        <f t="shared" si="74"/>
        <v>0.22541438738699071</v>
      </c>
      <c r="R1530" s="24">
        <f t="shared" si="75"/>
        <v>-0.48708318001189355</v>
      </c>
      <c r="S1530" s="20"/>
      <c r="T1530" s="7"/>
      <c r="U1530" s="7"/>
      <c r="V1530" s="7"/>
      <c r="W1530" s="7"/>
      <c r="X1530" s="7"/>
      <c r="Y1530" s="7"/>
      <c r="Z1530" s="7"/>
      <c r="AA1530" s="7"/>
    </row>
    <row r="1531" spans="1:27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>
        <v>32529</v>
      </c>
      <c r="P1531" s="1">
        <f t="shared" si="73"/>
        <v>0.51064541935920715</v>
      </c>
      <c r="Q1531" s="25">
        <f t="shared" si="74"/>
        <v>0.22492558855446987</v>
      </c>
      <c r="R1531" s="24">
        <f t="shared" si="75"/>
        <v>-0.49058665663181955</v>
      </c>
      <c r="S1531" s="20"/>
      <c r="T1531" s="7"/>
      <c r="U1531" s="7"/>
      <c r="V1531" s="7"/>
      <c r="W1531" s="7"/>
      <c r="X1531" s="7"/>
      <c r="Y1531" s="7"/>
      <c r="Z1531" s="7"/>
      <c r="AA1531" s="7"/>
    </row>
    <row r="1532" spans="1:27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>
        <v>32530</v>
      </c>
      <c r="P1532" s="1">
        <f t="shared" si="73"/>
        <v>0.51087072491645813</v>
      </c>
      <c r="Q1532" s="25">
        <f t="shared" si="74"/>
        <v>0.22443320995080285</v>
      </c>
      <c r="R1532" s="24">
        <f t="shared" si="75"/>
        <v>-0.49411078517636042</v>
      </c>
      <c r="S1532" s="20"/>
      <c r="T1532" s="7"/>
      <c r="U1532" s="7"/>
      <c r="V1532" s="7"/>
      <c r="W1532" s="7"/>
      <c r="X1532" s="7"/>
      <c r="Y1532" s="7"/>
      <c r="Z1532" s="7"/>
      <c r="AA1532" s="7"/>
    </row>
    <row r="1533" spans="1:27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>
        <v>32531</v>
      </c>
      <c r="P1533" s="1">
        <f t="shared" si="73"/>
        <v>0.51109471917152405</v>
      </c>
      <c r="Q1533" s="25">
        <f t="shared" si="74"/>
        <v>0.22393736799131148</v>
      </c>
      <c r="R1533" s="24">
        <f t="shared" si="75"/>
        <v>-0.49765563314707606</v>
      </c>
      <c r="S1533" s="20"/>
      <c r="T1533" s="7"/>
      <c r="U1533" s="7"/>
      <c r="V1533" s="7"/>
      <c r="W1533" s="7"/>
      <c r="X1533" s="7"/>
      <c r="Y1533" s="7"/>
      <c r="Z1533" s="7"/>
      <c r="AA1533" s="7"/>
    </row>
    <row r="1534" spans="1:27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>
        <v>32532</v>
      </c>
      <c r="P1534" s="1">
        <f t="shared" si="73"/>
        <v>0.51131835579872131</v>
      </c>
      <c r="Q1534" s="25">
        <f t="shared" si="74"/>
        <v>0.22343797536450438</v>
      </c>
      <c r="R1534" s="24">
        <f t="shared" si="75"/>
        <v>-0.50122127515095372</v>
      </c>
      <c r="S1534" s="20"/>
      <c r="T1534" s="7"/>
      <c r="U1534" s="7"/>
      <c r="V1534" s="7"/>
      <c r="W1534" s="7"/>
      <c r="X1534" s="7"/>
      <c r="Y1534" s="7"/>
      <c r="Z1534" s="7"/>
      <c r="AA1534" s="7"/>
    </row>
    <row r="1535" spans="1:27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>
        <v>32533</v>
      </c>
      <c r="P1535" s="1">
        <f t="shared" si="73"/>
        <v>0.51154127717018127</v>
      </c>
      <c r="Q1535" s="25">
        <f t="shared" si="74"/>
        <v>0.2229349447588902</v>
      </c>
      <c r="R1535" s="24">
        <f t="shared" si="75"/>
        <v>-0.50480778224226697</v>
      </c>
      <c r="S1535" s="20"/>
      <c r="T1535" s="7"/>
      <c r="U1535" s="7"/>
      <c r="V1535" s="7"/>
      <c r="W1535" s="7"/>
      <c r="X1535" s="7"/>
      <c r="Y1535" s="7"/>
      <c r="Z1535" s="7"/>
      <c r="AA1535" s="7"/>
    </row>
    <row r="1536" spans="1:27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>
        <v>32534</v>
      </c>
      <c r="P1536" s="1">
        <f t="shared" si="73"/>
        <v>0.51176407933235168</v>
      </c>
      <c r="Q1536" s="25">
        <f t="shared" si="74"/>
        <v>0.22242833438212983</v>
      </c>
      <c r="R1536" s="24">
        <f t="shared" si="75"/>
        <v>-0.50841523613343043</v>
      </c>
      <c r="S1536" s="20"/>
      <c r="T1536" s="7"/>
      <c r="U1536" s="7"/>
      <c r="V1536" s="7"/>
      <c r="W1536" s="7"/>
      <c r="X1536" s="7"/>
      <c r="Y1536" s="7"/>
      <c r="Z1536" s="7"/>
      <c r="AA1536" s="7"/>
    </row>
    <row r="1537" spans="1:27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>
        <v>32535</v>
      </c>
      <c r="P1537" s="1">
        <f t="shared" si="73"/>
        <v>0.51198628544807434</v>
      </c>
      <c r="Q1537" s="25">
        <f t="shared" si="74"/>
        <v>0.22191805692273192</v>
      </c>
      <c r="R1537" s="24">
        <f t="shared" si="75"/>
        <v>-0.51204369544421979</v>
      </c>
      <c r="S1537" s="20"/>
      <c r="T1537" s="7"/>
      <c r="U1537" s="7"/>
      <c r="V1537" s="7"/>
      <c r="W1537" s="7"/>
      <c r="X1537" s="7"/>
      <c r="Y1537" s="7"/>
      <c r="Z1537" s="7"/>
      <c r="AA1537" s="7"/>
    </row>
    <row r="1538" spans="1:27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>
        <v>32536</v>
      </c>
      <c r="P1538" s="1">
        <f t="shared" si="73"/>
        <v>0.5122087299823761</v>
      </c>
      <c r="Q1538" s="25">
        <f t="shared" si="74"/>
        <v>0.22140417058835737</v>
      </c>
      <c r="R1538" s="24">
        <f t="shared" si="75"/>
        <v>-0.51569324011069284</v>
      </c>
      <c r="S1538" s="20"/>
      <c r="T1538" s="7"/>
      <c r="U1538" s="7"/>
      <c r="V1538" s="7"/>
      <c r="W1538" s="7"/>
      <c r="X1538" s="7"/>
      <c r="Y1538" s="7"/>
      <c r="Z1538" s="7"/>
      <c r="AA1538" s="7"/>
    </row>
    <row r="1539" spans="1:27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>
        <v>32537</v>
      </c>
      <c r="P1539" s="1">
        <f t="shared" si="73"/>
        <v>0.51242938637733459</v>
      </c>
      <c r="Q1539" s="25">
        <f t="shared" si="74"/>
        <v>0.22088661717134528</v>
      </c>
      <c r="R1539" s="24">
        <f t="shared" si="75"/>
        <v>-0.51936394296347999</v>
      </c>
      <c r="S1539" s="20"/>
      <c r="T1539" s="7"/>
      <c r="U1539" s="7"/>
      <c r="V1539" s="7"/>
      <c r="W1539" s="7"/>
      <c r="X1539" s="7"/>
      <c r="Y1539" s="7"/>
      <c r="Z1539" s="7"/>
      <c r="AA1539" s="7"/>
    </row>
    <row r="1540" spans="1:27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>
        <v>32538</v>
      </c>
      <c r="P1540" s="1">
        <f t="shared" si="73"/>
        <v>0.51264968514442444</v>
      </c>
      <c r="Q1540" s="25">
        <f t="shared" si="74"/>
        <v>0.22036551308701746</v>
      </c>
      <c r="R1540" s="24">
        <f t="shared" si="75"/>
        <v>-0.52305588216228216</v>
      </c>
      <c r="S1540" s="20"/>
      <c r="T1540" s="7"/>
      <c r="U1540" s="7"/>
      <c r="V1540" s="7"/>
      <c r="W1540" s="7"/>
      <c r="X1540" s="7"/>
      <c r="Y1540" s="7"/>
      <c r="Z1540" s="7"/>
      <c r="AA1540" s="7"/>
    </row>
    <row r="1541" spans="1:27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>
        <v>32539</v>
      </c>
      <c r="P1541" s="1">
        <f t="shared" si="73"/>
        <v>0.51286998391151428</v>
      </c>
      <c r="Q1541" s="25">
        <f t="shared" si="74"/>
        <v>0.2198405381932389</v>
      </c>
      <c r="R1541" s="24">
        <f t="shared" si="75"/>
        <v>-0.52676912343230242</v>
      </c>
      <c r="S1541" s="20"/>
      <c r="T1541" s="7"/>
      <c r="U1541" s="7"/>
      <c r="V1541" s="7"/>
      <c r="W1541" s="7"/>
      <c r="X1541" s="7"/>
      <c r="Y1541" s="7"/>
      <c r="Z1541" s="7"/>
      <c r="AA1541" s="7"/>
    </row>
    <row r="1542" spans="1:27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>
        <v>32540</v>
      </c>
      <c r="P1542" s="1">
        <f t="shared" si="73"/>
        <v>0.51308968663215637</v>
      </c>
      <c r="Q1542" s="25">
        <f t="shared" si="74"/>
        <v>0.21931192532065324</v>
      </c>
      <c r="R1542" s="24">
        <f t="shared" si="75"/>
        <v>-0.53050374670959854</v>
      </c>
      <c r="S1542" s="20"/>
      <c r="T1542" s="7"/>
      <c r="U1542" s="7"/>
      <c r="V1542" s="7"/>
      <c r="W1542" s="7"/>
      <c r="X1542" s="7"/>
      <c r="Y1542" s="7"/>
      <c r="Z1542" s="7"/>
      <c r="AA1542" s="7"/>
    </row>
    <row r="1543" spans="1:27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>
        <v>32541</v>
      </c>
      <c r="P1543" s="1">
        <f t="shared" si="73"/>
        <v>0.51330879330635071</v>
      </c>
      <c r="Q1543" s="25">
        <f t="shared" si="74"/>
        <v>0.21877952895010822</v>
      </c>
      <c r="R1543" s="24">
        <f t="shared" si="75"/>
        <v>-0.5342598230484441</v>
      </c>
      <c r="S1543" s="20"/>
      <c r="T1543" s="7"/>
      <c r="U1543" s="7"/>
      <c r="V1543" s="7"/>
      <c r="W1543" s="7"/>
      <c r="X1543" s="7"/>
      <c r="Y1543" s="7"/>
      <c r="Z1543" s="7"/>
      <c r="AA1543" s="7"/>
    </row>
    <row r="1544" spans="1:27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>
        <v>32542</v>
      </c>
      <c r="P1544" s="1">
        <f t="shared" si="73"/>
        <v>0.51352742314338684</v>
      </c>
      <c r="Q1544" s="25">
        <f t="shared" si="74"/>
        <v>0.21824337818543427</v>
      </c>
      <c r="R1544" s="24">
        <f t="shared" si="75"/>
        <v>-0.53803742172675584</v>
      </c>
      <c r="S1544" s="20"/>
      <c r="T1544" s="7"/>
      <c r="U1544" s="7"/>
      <c r="V1544" s="7"/>
      <c r="W1544" s="7"/>
      <c r="X1544" s="7"/>
      <c r="Y1544" s="7"/>
      <c r="Z1544" s="7"/>
      <c r="AA1544" s="7"/>
    </row>
    <row r="1545" spans="1:27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>
        <v>32543</v>
      </c>
      <c r="P1545" s="1">
        <f t="shared" si="73"/>
        <v>0.51374545693397522</v>
      </c>
      <c r="Q1545" s="25">
        <f t="shared" si="74"/>
        <v>0.2177034730266314</v>
      </c>
      <c r="R1545" s="24">
        <f t="shared" si="75"/>
        <v>-0.54183662268059152</v>
      </c>
      <c r="S1545" s="20"/>
      <c r="T1545" s="7"/>
      <c r="U1545" s="7"/>
      <c r="V1545" s="7"/>
      <c r="W1545" s="7"/>
      <c r="X1545" s="7"/>
      <c r="Y1545" s="7"/>
      <c r="Z1545" s="7"/>
      <c r="AA1545" s="7"/>
    </row>
    <row r="1546" spans="1:27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>
        <v>32544</v>
      </c>
      <c r="P1546" s="1">
        <f t="shared" ref="P1546:P1609" si="76" xml:space="preserve"> -1.4681315616E-19*$O1546^6 + 2.80493263066289E-14*$O1546^5 - 2.23271907955907E-09*$O1546^4 + 0.0000947783879077569*$O1546^3 - 2.26293121558813*$O1546^2 + 28813.4861268598*$O1546 - 152852350.445896</f>
        <v>0.51396265625953674</v>
      </c>
      <c r="Q1546" s="25">
        <f t="shared" ref="Q1546:Q1609" si="77" xml:space="preserve"> (6*-1.4681315616E-19*$O1546^5 + 5*2.80493263066289E-14*$O1546^4 - 4*2.23271907955907E-09*$O1546^3 + 3*0.0000947783879077569*$O1546^2 - 2*2.26293121558813*$O1546^1 + 28813.4861268598)*1000</f>
        <v>0.21715969705837779</v>
      </c>
      <c r="R1546" s="24">
        <f t="shared" ref="R1546:R1609" si="78" xml:space="preserve"> (5*6*-1.4681315616E-19*$O1546^4 + 4*5*2.80493263066289E-14*$O1546^3 - 3*4*2.23271907955907E-09*$O1546^2 + 2*3*0.0000947783879077569*$O1546^1 - 2*2.26293121558813)*1000*1000</f>
        <v>-0.54565750229329524</v>
      </c>
      <c r="S1546" s="20"/>
      <c r="T1546" s="7"/>
      <c r="U1546" s="7"/>
      <c r="V1546" s="7"/>
      <c r="W1546" s="7"/>
      <c r="X1546" s="7"/>
      <c r="Y1546" s="7"/>
      <c r="Z1546" s="7"/>
      <c r="AA1546" s="7"/>
    </row>
    <row r="1547" spans="1:27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>
        <v>32545</v>
      </c>
      <c r="P1547" s="1">
        <f t="shared" si="76"/>
        <v>0.51417937874794006</v>
      </c>
      <c r="Q1547" s="25">
        <f t="shared" si="77"/>
        <v>0.2166121375921648</v>
      </c>
      <c r="R1547" s="24">
        <f t="shared" si="78"/>
        <v>-0.54950012629007006</v>
      </c>
      <c r="S1547" s="20"/>
      <c r="T1547" s="7"/>
      <c r="U1547" s="7"/>
      <c r="V1547" s="7"/>
      <c r="W1547" s="7"/>
      <c r="X1547" s="7"/>
      <c r="Y1547" s="7"/>
      <c r="Z1547" s="7"/>
      <c r="AA1547" s="7"/>
    </row>
    <row r="1548" spans="1:27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>
        <v>32546</v>
      </c>
      <c r="P1548" s="1">
        <f t="shared" si="76"/>
        <v>0.51439574360847473</v>
      </c>
      <c r="Q1548" s="25">
        <f t="shared" si="77"/>
        <v>0.21606070731650107</v>
      </c>
      <c r="R1548" s="24">
        <f t="shared" si="78"/>
        <v>-0.55336457815968743</v>
      </c>
      <c r="S1548" s="20"/>
      <c r="T1548" s="7"/>
      <c r="U1548" s="7"/>
      <c r="V1548" s="7"/>
      <c r="W1548" s="7"/>
      <c r="X1548" s="7"/>
      <c r="Y1548" s="7"/>
      <c r="Z1548" s="7"/>
      <c r="AA1548" s="7"/>
    </row>
    <row r="1549" spans="1:27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>
        <v>32547</v>
      </c>
      <c r="P1549" s="1">
        <f t="shared" si="76"/>
        <v>0.51461127400398254</v>
      </c>
      <c r="Q1549" s="25">
        <f t="shared" si="77"/>
        <v>0.21550540623138659</v>
      </c>
      <c r="R1549" s="24">
        <f t="shared" si="78"/>
        <v>-0.55725091296920937</v>
      </c>
      <c r="S1549" s="20"/>
      <c r="T1549" s="7"/>
      <c r="U1549" s="7"/>
      <c r="V1549" s="7"/>
      <c r="W1549" s="7"/>
      <c r="X1549" s="7"/>
      <c r="Y1549" s="7"/>
      <c r="Z1549" s="7"/>
      <c r="AA1549" s="7"/>
    </row>
    <row r="1550" spans="1:27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>
        <v>32548</v>
      </c>
      <c r="P1550" s="1">
        <f t="shared" si="76"/>
        <v>0.51482751965522766</v>
      </c>
      <c r="Q1550" s="25">
        <f t="shared" si="77"/>
        <v>0.21494623433682136</v>
      </c>
      <c r="R1550" s="24">
        <f t="shared" si="78"/>
        <v>-0.56115923197097572</v>
      </c>
      <c r="S1550" s="20"/>
      <c r="T1550" s="7"/>
      <c r="U1550" s="7"/>
      <c r="V1550" s="7"/>
      <c r="W1550" s="7"/>
      <c r="X1550" s="7"/>
      <c r="Y1550" s="7"/>
      <c r="Z1550" s="7"/>
      <c r="AA1550" s="7"/>
    </row>
    <row r="1551" spans="1:27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>
        <v>32549</v>
      </c>
      <c r="P1551" s="1">
        <f t="shared" si="76"/>
        <v>0.51504150032997131</v>
      </c>
      <c r="Q1551" s="25">
        <f t="shared" si="77"/>
        <v>0.21438304611365311</v>
      </c>
      <c r="R1551" s="24">
        <f t="shared" si="78"/>
        <v>-0.56508959200840536</v>
      </c>
      <c r="S1551" s="20"/>
      <c r="T1551" s="7"/>
      <c r="U1551" s="7"/>
      <c r="V1551" s="7"/>
      <c r="W1551" s="7"/>
      <c r="X1551" s="7"/>
      <c r="Y1551" s="7"/>
      <c r="Z1551" s="7"/>
      <c r="AA1551" s="7"/>
    </row>
    <row r="1552" spans="1:27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>
        <v>32550</v>
      </c>
      <c r="P1552" s="1">
        <f t="shared" si="76"/>
        <v>0.51525560021400452</v>
      </c>
      <c r="Q1552" s="25">
        <f t="shared" si="77"/>
        <v>0.21381595797720365</v>
      </c>
      <c r="R1552" s="24">
        <f t="shared" si="78"/>
        <v>-0.56904208189934025</v>
      </c>
      <c r="S1552" s="20"/>
      <c r="T1552" s="7"/>
      <c r="U1552" s="7"/>
      <c r="V1552" s="7"/>
      <c r="W1552" s="7"/>
      <c r="X1552" s="7"/>
      <c r="Y1552" s="7"/>
      <c r="Z1552" s="7"/>
      <c r="AA1552" s="7"/>
    </row>
    <row r="1553" spans="1:27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>
        <v>32551</v>
      </c>
      <c r="P1553" s="1">
        <f t="shared" si="76"/>
        <v>0.51546898484230042</v>
      </c>
      <c r="Q1553" s="25">
        <f t="shared" si="77"/>
        <v>0.21324494082364254</v>
      </c>
      <c r="R1553" s="24">
        <f t="shared" si="78"/>
        <v>-0.57301675848719924</v>
      </c>
      <c r="S1553" s="20"/>
      <c r="T1553" s="7"/>
      <c r="U1553" s="7"/>
      <c r="V1553" s="7"/>
      <c r="W1553" s="7"/>
      <c r="X1553" s="7"/>
      <c r="Y1553" s="7"/>
      <c r="Z1553" s="7"/>
      <c r="AA1553" s="7"/>
    </row>
    <row r="1554" spans="1:27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>
        <v>32552</v>
      </c>
      <c r="P1554" s="1">
        <f t="shared" si="76"/>
        <v>0.51568225026130676</v>
      </c>
      <c r="Q1554" s="25">
        <f t="shared" si="77"/>
        <v>0.21266993644530885</v>
      </c>
      <c r="R1554" s="24">
        <f t="shared" si="78"/>
        <v>-0.57701370703711063</v>
      </c>
      <c r="S1554" s="20"/>
      <c r="T1554" s="7"/>
      <c r="U1554" s="7"/>
      <c r="V1554" s="7"/>
      <c r="W1554" s="7"/>
      <c r="X1554" s="7"/>
      <c r="Y1554" s="7"/>
      <c r="Z1554" s="7"/>
      <c r="AA1554" s="7"/>
    </row>
    <row r="1555" spans="1:27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>
        <v>32553</v>
      </c>
      <c r="P1555" s="1">
        <f t="shared" si="76"/>
        <v>0.51589491963386536</v>
      </c>
      <c r="Q1555" s="25">
        <f t="shared" si="77"/>
        <v>0.21209094484220259</v>
      </c>
      <c r="R1555" s="24">
        <f t="shared" si="78"/>
        <v>-0.58103300393241852</v>
      </c>
      <c r="S1555" s="20"/>
      <c r="T1555" s="7"/>
      <c r="U1555" s="7"/>
      <c r="V1555" s="7"/>
      <c r="W1555" s="7"/>
      <c r="X1555" s="7"/>
      <c r="Y1555" s="7"/>
      <c r="Z1555" s="7"/>
      <c r="AA1555" s="7"/>
    </row>
    <row r="1556" spans="1:27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>
        <v>32554</v>
      </c>
      <c r="P1556" s="1">
        <f t="shared" si="76"/>
        <v>0.51610615849494934</v>
      </c>
      <c r="Q1556" s="25">
        <f t="shared" si="77"/>
        <v>0.21150790780666284</v>
      </c>
      <c r="R1556" s="24">
        <f t="shared" si="78"/>
        <v>-0.5850747166746828</v>
      </c>
      <c r="S1556" s="20"/>
      <c r="T1556" s="7"/>
      <c r="U1556" s="7"/>
      <c r="V1556" s="7"/>
      <c r="W1556" s="7"/>
      <c r="X1556" s="7"/>
      <c r="Y1556" s="7"/>
      <c r="Z1556" s="7"/>
      <c r="AA1556" s="7"/>
    </row>
    <row r="1557" spans="1:27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>
        <v>32555</v>
      </c>
      <c r="P1557" s="1">
        <f t="shared" si="76"/>
        <v>0.51631775498390198</v>
      </c>
      <c r="Q1557" s="25">
        <f t="shared" si="77"/>
        <v>0.21092073802719824</v>
      </c>
      <c r="R1557" s="24">
        <f t="shared" si="78"/>
        <v>-0.58913893052903177</v>
      </c>
      <c r="S1557" s="20"/>
      <c r="T1557" s="7"/>
      <c r="U1557" s="7"/>
      <c r="V1557" s="7"/>
      <c r="W1557" s="7"/>
      <c r="X1557" s="7"/>
      <c r="Y1557" s="7"/>
      <c r="Z1557" s="7"/>
      <c r="AA1557" s="7"/>
    </row>
    <row r="1558" spans="1:27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>
        <v>32556</v>
      </c>
      <c r="P1558" s="1">
        <f t="shared" si="76"/>
        <v>0.51652804017066956</v>
      </c>
      <c r="Q1558" s="25">
        <f t="shared" si="77"/>
        <v>0.21032961012679152</v>
      </c>
      <c r="R1558" s="24">
        <f t="shared" si="78"/>
        <v>-0.59322570766795479</v>
      </c>
      <c r="S1558" s="20"/>
      <c r="T1558" s="7"/>
      <c r="U1558" s="7"/>
      <c r="V1558" s="7"/>
      <c r="W1558" s="7"/>
      <c r="X1558" s="7"/>
      <c r="Y1558" s="7"/>
      <c r="Z1558" s="7"/>
      <c r="AA1558" s="7"/>
    </row>
    <row r="1559" spans="1:27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>
        <v>32557</v>
      </c>
      <c r="P1559" s="1">
        <f t="shared" si="76"/>
        <v>0.51673832535743713</v>
      </c>
      <c r="Q1559" s="25">
        <f t="shared" si="77"/>
        <v>0.20973432037862949</v>
      </c>
      <c r="R1559" s="24">
        <f t="shared" si="78"/>
        <v>-0.59733513513293701</v>
      </c>
      <c r="S1559" s="20"/>
      <c r="T1559" s="7"/>
      <c r="U1559" s="7"/>
      <c r="V1559" s="7"/>
      <c r="W1559" s="7"/>
      <c r="X1559" s="7"/>
      <c r="Y1559" s="7"/>
      <c r="Z1559" s="7"/>
      <c r="AA1559" s="7"/>
    </row>
    <row r="1560" spans="1:27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>
        <v>32558</v>
      </c>
      <c r="P1560" s="1">
        <f t="shared" si="76"/>
        <v>0.51694777607917786</v>
      </c>
      <c r="Q1560" s="25">
        <f t="shared" si="77"/>
        <v>0.2091348978865426</v>
      </c>
      <c r="R1560" s="24">
        <f t="shared" si="78"/>
        <v>-0.60146728575460884</v>
      </c>
      <c r="S1560" s="20"/>
      <c r="T1560" s="7"/>
      <c r="U1560" s="7"/>
      <c r="V1560" s="7"/>
      <c r="W1560" s="7"/>
      <c r="X1560" s="7"/>
      <c r="Y1560" s="7"/>
      <c r="Z1560" s="7"/>
      <c r="AA1560" s="7"/>
    </row>
    <row r="1561" spans="1:27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>
        <v>32559</v>
      </c>
      <c r="P1561" s="1">
        <f t="shared" si="76"/>
        <v>0.51715639233589172</v>
      </c>
      <c r="Q1561" s="25">
        <f t="shared" si="77"/>
        <v>0.20853142996202223</v>
      </c>
      <c r="R1561" s="24">
        <f t="shared" si="78"/>
        <v>-0.60562223236360069</v>
      </c>
      <c r="S1561" s="20"/>
      <c r="T1561" s="7"/>
      <c r="U1561" s="7"/>
      <c r="V1561" s="7"/>
      <c r="W1561" s="7"/>
      <c r="X1561" s="7"/>
      <c r="Y1561" s="7"/>
      <c r="Z1561" s="7"/>
      <c r="AA1561" s="7"/>
    </row>
    <row r="1562" spans="1:27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>
        <v>32560</v>
      </c>
      <c r="P1562" s="1">
        <f t="shared" si="76"/>
        <v>0.51736477017402649</v>
      </c>
      <c r="Q1562" s="25">
        <f t="shared" si="77"/>
        <v>0.20792368377442472</v>
      </c>
      <c r="R1562" s="24">
        <f t="shared" si="78"/>
        <v>-0.60980005311961349</v>
      </c>
      <c r="S1562" s="20"/>
      <c r="T1562" s="7"/>
      <c r="U1562" s="7"/>
      <c r="V1562" s="7"/>
      <c r="W1562" s="7"/>
      <c r="X1562" s="7"/>
      <c r="Y1562" s="7"/>
      <c r="Z1562" s="7"/>
      <c r="AA1562" s="7"/>
    </row>
    <row r="1563" spans="1:27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>
        <v>32561</v>
      </c>
      <c r="P1563" s="1">
        <f t="shared" si="76"/>
        <v>0.5175723135471344</v>
      </c>
      <c r="Q1563" s="25">
        <f t="shared" si="77"/>
        <v>0.2073118339467328</v>
      </c>
      <c r="R1563" s="24">
        <f t="shared" si="78"/>
        <v>-0.61400082262963451</v>
      </c>
      <c r="S1563" s="20"/>
      <c r="T1563" s="7"/>
      <c r="U1563" s="7"/>
      <c r="V1563" s="7"/>
      <c r="W1563" s="7"/>
      <c r="X1563" s="7"/>
      <c r="Y1563" s="7"/>
      <c r="Z1563" s="7"/>
      <c r="AA1563" s="7"/>
    </row>
    <row r="1564" spans="1:27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>
        <v>32562</v>
      </c>
      <c r="P1564" s="1">
        <f t="shared" si="76"/>
        <v>0.51777902245521545</v>
      </c>
      <c r="Q1564" s="25">
        <f t="shared" si="77"/>
        <v>0.20669567675213329</v>
      </c>
      <c r="R1564" s="24">
        <f t="shared" si="78"/>
        <v>-0.61822461372429416</v>
      </c>
      <c r="S1564" s="20"/>
      <c r="T1564" s="7"/>
      <c r="U1564" s="7"/>
      <c r="V1564" s="7"/>
      <c r="W1564" s="7"/>
      <c r="X1564" s="7"/>
      <c r="Y1564" s="7"/>
      <c r="Z1564" s="7"/>
      <c r="AA1564" s="7"/>
    </row>
    <row r="1565" spans="1:27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>
        <v>32563</v>
      </c>
      <c r="P1565" s="1">
        <f t="shared" si="76"/>
        <v>0.51798596978187561</v>
      </c>
      <c r="Q1565" s="25">
        <f t="shared" si="77"/>
        <v>0.20607532860594802</v>
      </c>
      <c r="R1565" s="24">
        <f t="shared" si="78"/>
        <v>-0.6224715063396502</v>
      </c>
      <c r="S1565" s="20"/>
      <c r="T1565" s="7"/>
      <c r="U1565" s="7"/>
      <c r="V1565" s="7"/>
      <c r="W1565" s="7"/>
      <c r="X1565" s="7"/>
      <c r="Y1565" s="7"/>
      <c r="Z1565" s="7"/>
      <c r="AA1565" s="7"/>
    </row>
    <row r="1566" spans="1:27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>
        <v>32564</v>
      </c>
      <c r="P1566" s="1">
        <f t="shared" si="76"/>
        <v>0.51819136738777161</v>
      </c>
      <c r="Q1566" s="25">
        <f t="shared" si="77"/>
        <v>0.20545067309285514</v>
      </c>
      <c r="R1566" s="24">
        <f t="shared" si="78"/>
        <v>-0.62674157508268991</v>
      </c>
      <c r="S1566" s="20"/>
      <c r="T1566" s="7"/>
      <c r="U1566" s="7"/>
      <c r="V1566" s="7"/>
      <c r="W1566" s="7"/>
      <c r="X1566" s="7"/>
      <c r="Y1566" s="7"/>
      <c r="Z1566" s="7"/>
      <c r="AA1566" s="7"/>
    </row>
    <row r="1567" spans="1:27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>
        <v>32565</v>
      </c>
      <c r="P1567" s="1">
        <f t="shared" si="76"/>
        <v>0.51839640736579895</v>
      </c>
      <c r="Q1567" s="25">
        <f t="shared" si="77"/>
        <v>0.20482185573200695</v>
      </c>
      <c r="R1567" s="24">
        <f t="shared" si="78"/>
        <v>-0.63103489988947103</v>
      </c>
      <c r="S1567" s="20"/>
      <c r="T1567" s="7"/>
      <c r="U1567" s="7"/>
      <c r="V1567" s="7"/>
      <c r="W1567" s="7"/>
      <c r="X1567" s="7"/>
      <c r="Y1567" s="7"/>
      <c r="Z1567" s="7"/>
      <c r="AA1567" s="7"/>
    </row>
    <row r="1568" spans="1:27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>
        <v>32566</v>
      </c>
      <c r="P1568" s="1">
        <f t="shared" si="76"/>
        <v>0.51860097050666809</v>
      </c>
      <c r="Q1568" s="25">
        <f t="shared" si="77"/>
        <v>0.2041886436927598</v>
      </c>
      <c r="R1568" s="24">
        <f t="shared" si="78"/>
        <v>-0.63535155003791033</v>
      </c>
      <c r="S1568" s="20"/>
      <c r="T1568" s="7"/>
      <c r="U1568" s="7"/>
      <c r="V1568" s="7"/>
      <c r="W1568" s="7"/>
      <c r="X1568" s="7"/>
      <c r="Y1568" s="7"/>
      <c r="Z1568" s="7"/>
      <c r="AA1568" s="7"/>
    </row>
    <row r="1569" spans="1:27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>
        <v>32567</v>
      </c>
      <c r="P1569" s="1">
        <f t="shared" si="76"/>
        <v>0.51880469918251038</v>
      </c>
      <c r="Q1569" s="25">
        <f t="shared" si="77"/>
        <v>0.20355109518277459</v>
      </c>
      <c r="R1569" s="24">
        <f t="shared" si="78"/>
        <v>-0.63969161256949292</v>
      </c>
      <c r="S1569" s="20"/>
      <c r="T1569" s="7"/>
      <c r="U1569" s="7"/>
      <c r="V1569" s="7"/>
      <c r="W1569" s="7"/>
      <c r="X1569" s="7"/>
      <c r="Y1569" s="7"/>
      <c r="Z1569" s="7"/>
      <c r="AA1569" s="7"/>
    </row>
    <row r="1570" spans="1:27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>
        <v>32568</v>
      </c>
      <c r="P1570" s="1">
        <f t="shared" si="76"/>
        <v>0.51900759339332581</v>
      </c>
      <c r="Q1570" s="25">
        <f t="shared" si="77"/>
        <v>0.20290923930588178</v>
      </c>
      <c r="R1570" s="24">
        <f t="shared" si="78"/>
        <v>-0.64405515320942186</v>
      </c>
      <c r="S1570" s="20"/>
      <c r="T1570" s="7"/>
      <c r="U1570" s="7"/>
      <c r="V1570" s="7"/>
      <c r="W1570" s="7"/>
      <c r="X1570" s="7"/>
      <c r="Y1570" s="7"/>
      <c r="Z1570" s="7"/>
      <c r="AA1570" s="7"/>
    </row>
    <row r="1571" spans="1:27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>
        <v>32569</v>
      </c>
      <c r="P1571" s="1">
        <f t="shared" si="76"/>
        <v>0.51921096444129944</v>
      </c>
      <c r="Q1571" s="25">
        <f t="shared" si="77"/>
        <v>0.20226301785442047</v>
      </c>
      <c r="R1571" s="24">
        <f t="shared" si="78"/>
        <v>-0.64844225011739809</v>
      </c>
      <c r="S1571" s="20"/>
      <c r="T1571" s="7"/>
      <c r="U1571" s="7"/>
      <c r="V1571" s="7"/>
      <c r="W1571" s="7"/>
      <c r="X1571" s="7"/>
      <c r="Y1571" s="7"/>
      <c r="Z1571" s="7"/>
      <c r="AA1571" s="7"/>
    </row>
    <row r="1572" spans="1:27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>
        <v>32570</v>
      </c>
      <c r="P1572" s="1">
        <f t="shared" si="76"/>
        <v>0.51941278576850891</v>
      </c>
      <c r="Q1572" s="25">
        <f t="shared" si="77"/>
        <v>0.20161237262072973</v>
      </c>
      <c r="R1572" s="24">
        <f t="shared" si="78"/>
        <v>-0.65285298500583622</v>
      </c>
      <c r="S1572" s="20"/>
      <c r="T1572" s="7"/>
      <c r="U1572" s="7"/>
      <c r="V1572" s="7"/>
      <c r="W1572" s="7"/>
      <c r="X1572" s="7"/>
      <c r="Y1572" s="7"/>
      <c r="Z1572" s="7"/>
      <c r="AA1572" s="7"/>
    </row>
    <row r="1573" spans="1:27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>
        <v>32571</v>
      </c>
      <c r="P1573" s="1">
        <f t="shared" si="76"/>
        <v>0.51961448788642883</v>
      </c>
      <c r="Q1573" s="25">
        <f t="shared" si="77"/>
        <v>0.20095733270864002</v>
      </c>
      <c r="R1573" s="24">
        <f t="shared" si="78"/>
        <v>-0.6572874324817235</v>
      </c>
      <c r="S1573" s="20"/>
      <c r="T1573" s="7"/>
      <c r="U1573" s="7"/>
      <c r="V1573" s="7"/>
      <c r="W1573" s="7"/>
      <c r="X1573" s="7"/>
      <c r="Y1573" s="7"/>
      <c r="Z1573" s="7"/>
      <c r="AA1573" s="7"/>
    </row>
    <row r="1574" spans="1:27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>
        <v>32572</v>
      </c>
      <c r="P1574" s="1">
        <f t="shared" si="76"/>
        <v>0.51981452107429504</v>
      </c>
      <c r="Q1574" s="25">
        <f t="shared" si="77"/>
        <v>0.20029772349516861</v>
      </c>
      <c r="R1574" s="24">
        <f t="shared" si="78"/>
        <v>-0.66174567248111771</v>
      </c>
      <c r="S1574" s="20"/>
      <c r="T1574" s="7"/>
      <c r="U1574" s="7"/>
      <c r="V1574" s="7"/>
      <c r="W1574" s="7"/>
      <c r="X1574" s="7"/>
      <c r="Y1574" s="7"/>
      <c r="Z1574" s="7"/>
      <c r="AA1574" s="7"/>
    </row>
    <row r="1575" spans="1:27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>
        <v>32573</v>
      </c>
      <c r="P1575" s="1">
        <f t="shared" si="76"/>
        <v>0.5200144350528717</v>
      </c>
      <c r="Q1575" s="25">
        <f t="shared" si="77"/>
        <v>0.19963377781095915</v>
      </c>
      <c r="R1575" s="24">
        <f t="shared" si="78"/>
        <v>-0.66622777605829242</v>
      </c>
      <c r="S1575" s="20"/>
      <c r="T1575" s="7"/>
      <c r="U1575" s="7"/>
      <c r="V1575" s="7"/>
      <c r="W1575" s="7"/>
      <c r="X1575" s="7"/>
      <c r="Y1575" s="7"/>
      <c r="Z1575" s="7"/>
      <c r="AA1575" s="7"/>
    </row>
    <row r="1576" spans="1:27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>
        <v>32574</v>
      </c>
      <c r="P1576" s="1">
        <f t="shared" si="76"/>
        <v>0.52021375298500061</v>
      </c>
      <c r="Q1576" s="25">
        <f t="shared" si="77"/>
        <v>0.19896532103302889</v>
      </c>
      <c r="R1576" s="24">
        <f t="shared" si="78"/>
        <v>-0.67073382492566225</v>
      </c>
      <c r="S1576" s="20"/>
      <c r="T1576" s="7"/>
      <c r="U1576" s="7"/>
      <c r="V1576" s="7"/>
      <c r="W1576" s="7"/>
      <c r="X1576" s="7"/>
      <c r="Y1576" s="7"/>
      <c r="Z1576" s="7"/>
      <c r="AA1576" s="7"/>
    </row>
    <row r="1577" spans="1:27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>
        <v>32575</v>
      </c>
      <c r="P1577" s="1">
        <f t="shared" si="76"/>
        <v>0.52041259407997131</v>
      </c>
      <c r="Q1577" s="25">
        <f t="shared" si="77"/>
        <v>0.19829226584988646</v>
      </c>
      <c r="R1577" s="24">
        <f t="shared" si="78"/>
        <v>-0.67526389369021445</v>
      </c>
      <c r="S1577" s="20"/>
      <c r="T1577" s="7"/>
      <c r="U1577" s="7"/>
      <c r="V1577" s="7"/>
      <c r="W1577" s="7"/>
      <c r="X1577" s="7"/>
      <c r="Y1577" s="7"/>
      <c r="Z1577" s="7"/>
      <c r="AA1577" s="7"/>
    </row>
    <row r="1578" spans="1:27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>
        <v>32576</v>
      </c>
      <c r="P1578" s="1">
        <f t="shared" si="76"/>
        <v>0.52061012387275696</v>
      </c>
      <c r="Q1578" s="25">
        <f t="shared" si="77"/>
        <v>0.19761475778068416</v>
      </c>
      <c r="R1578" s="24">
        <f t="shared" si="78"/>
        <v>-0.67981806051164995</v>
      </c>
      <c r="S1578" s="20"/>
      <c r="T1578" s="7"/>
      <c r="U1578" s="7"/>
      <c r="V1578" s="7"/>
      <c r="W1578" s="7"/>
      <c r="X1578" s="7"/>
      <c r="Y1578" s="7"/>
      <c r="Z1578" s="7"/>
      <c r="AA1578" s="7"/>
    </row>
    <row r="1579" spans="1:27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>
        <v>32577</v>
      </c>
      <c r="P1579" s="1">
        <f t="shared" si="76"/>
        <v>0.52080753445625305</v>
      </c>
      <c r="Q1579" s="25">
        <f t="shared" si="77"/>
        <v>0.19693268041010015</v>
      </c>
      <c r="R1579" s="24">
        <f t="shared" si="78"/>
        <v>-0.68439640177331285</v>
      </c>
      <c r="S1579" s="20"/>
      <c r="T1579" s="7"/>
      <c r="U1579" s="7"/>
      <c r="V1579" s="7"/>
      <c r="W1579" s="7"/>
      <c r="X1579" s="7"/>
      <c r="Y1579" s="7"/>
      <c r="Z1579" s="7"/>
      <c r="AA1579" s="7"/>
    </row>
    <row r="1580" spans="1:27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>
        <v>32578</v>
      </c>
      <c r="P1580" s="1">
        <f t="shared" si="76"/>
        <v>0.52100422978401184</v>
      </c>
      <c r="Q1580" s="25">
        <f t="shared" si="77"/>
        <v>0.19624600463430397</v>
      </c>
      <c r="R1580" s="24">
        <f t="shared" si="78"/>
        <v>-0.68899900274033143</v>
      </c>
      <c r="S1580" s="20"/>
      <c r="T1580" s="7"/>
      <c r="U1580" s="7"/>
      <c r="V1580" s="7"/>
      <c r="W1580" s="7"/>
      <c r="X1580" s="7"/>
      <c r="Y1580" s="7"/>
      <c r="Z1580" s="7"/>
      <c r="AA1580" s="7"/>
    </row>
    <row r="1581" spans="1:27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>
        <v>32579</v>
      </c>
      <c r="P1581" s="1">
        <f t="shared" si="76"/>
        <v>0.52120009064674377</v>
      </c>
      <c r="Q1581" s="25">
        <f t="shared" si="77"/>
        <v>0.19555464314180426</v>
      </c>
      <c r="R1581" s="24">
        <f t="shared" si="78"/>
        <v>-0.69362592380883825</v>
      </c>
      <c r="S1581" s="20"/>
      <c r="T1581" s="7"/>
      <c r="U1581" s="7"/>
      <c r="V1581" s="7"/>
      <c r="W1581" s="7"/>
      <c r="X1581" s="7"/>
      <c r="Y1581" s="7"/>
      <c r="Z1581" s="7"/>
      <c r="AA1581" s="7"/>
    </row>
    <row r="1582" spans="1:27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>
        <v>32580</v>
      </c>
      <c r="P1582" s="1">
        <f t="shared" si="76"/>
        <v>0.52139559388160706</v>
      </c>
      <c r="Q1582" s="25">
        <f t="shared" si="77"/>
        <v>0.1948587414517533</v>
      </c>
      <c r="R1582" s="24">
        <f t="shared" si="78"/>
        <v>-0.69827726090210263</v>
      </c>
      <c r="S1582" s="20"/>
      <c r="T1582" s="7"/>
      <c r="U1582" s="7"/>
      <c r="V1582" s="7"/>
      <c r="W1582" s="7"/>
      <c r="X1582" s="7"/>
      <c r="Y1582" s="7"/>
      <c r="Z1582" s="7"/>
      <c r="AA1582" s="7"/>
    </row>
    <row r="1583" spans="1:27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>
        <v>32581</v>
      </c>
      <c r="P1583" s="1">
        <f t="shared" si="76"/>
        <v>0.52159014344215393</v>
      </c>
      <c r="Q1583" s="25">
        <f t="shared" si="77"/>
        <v>0.1941580958373379</v>
      </c>
      <c r="R1583" s="24">
        <f t="shared" si="78"/>
        <v>-0.70295309040346865</v>
      </c>
      <c r="S1583" s="20"/>
      <c r="T1583" s="7"/>
      <c r="U1583" s="7"/>
      <c r="V1583" s="7"/>
      <c r="W1583" s="7"/>
      <c r="X1583" s="7"/>
      <c r="Y1583" s="7"/>
      <c r="Z1583" s="7"/>
      <c r="AA1583" s="7"/>
    </row>
    <row r="1584" spans="1:27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>
        <v>32582</v>
      </c>
      <c r="P1584" s="1">
        <f t="shared" si="76"/>
        <v>0.52178409695625305</v>
      </c>
      <c r="Q1584" s="25">
        <f t="shared" si="77"/>
        <v>0.19345279361004941</v>
      </c>
      <c r="R1584" s="24">
        <f t="shared" si="78"/>
        <v>-0.70765347270906886</v>
      </c>
      <c r="S1584" s="20"/>
      <c r="T1584" s="7"/>
      <c r="U1584" s="7"/>
      <c r="V1584" s="7"/>
      <c r="W1584" s="7"/>
      <c r="X1584" s="7"/>
      <c r="Y1584" s="7"/>
      <c r="Z1584" s="7"/>
      <c r="AA1584" s="7"/>
    </row>
    <row r="1585" spans="1:27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>
        <v>32583</v>
      </c>
      <c r="P1585" s="1">
        <f t="shared" si="76"/>
        <v>0.52197673916816711</v>
      </c>
      <c r="Q1585" s="25">
        <f t="shared" si="77"/>
        <v>0.19274283476988785</v>
      </c>
      <c r="R1585" s="24">
        <f t="shared" si="78"/>
        <v>-0.71237850729488628</v>
      </c>
      <c r="S1585" s="20"/>
      <c r="T1585" s="7"/>
      <c r="U1585" s="7"/>
      <c r="V1585" s="7"/>
      <c r="W1585" s="7"/>
      <c r="X1585" s="7"/>
      <c r="Y1585" s="7"/>
      <c r="Z1585" s="7"/>
      <c r="AA1585" s="7"/>
    </row>
    <row r="1586" spans="1:27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>
        <v>32584</v>
      </c>
      <c r="P1586" s="1">
        <f t="shared" si="76"/>
        <v>0.52216914296150208</v>
      </c>
      <c r="Q1586" s="25">
        <f t="shared" si="77"/>
        <v>0.19202801559004001</v>
      </c>
      <c r="R1586" s="24">
        <f t="shared" si="78"/>
        <v>-0.7171282581097671</v>
      </c>
      <c r="S1586" s="20"/>
      <c r="T1586" s="7"/>
      <c r="U1586" s="7"/>
      <c r="V1586" s="7"/>
      <c r="W1586" s="7"/>
      <c r="X1586" s="7"/>
      <c r="Y1586" s="7"/>
      <c r="Z1586" s="7"/>
      <c r="AA1586" s="7"/>
    </row>
    <row r="1587" spans="1:27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>
        <v>32585</v>
      </c>
      <c r="P1587" s="1">
        <f t="shared" si="76"/>
        <v>0.52236047387123108</v>
      </c>
      <c r="Q1587" s="25">
        <f t="shared" si="77"/>
        <v>0.1913085397973191</v>
      </c>
      <c r="R1587" s="24">
        <f t="shared" si="78"/>
        <v>-0.72190281041883964</v>
      </c>
      <c r="S1587" s="20"/>
      <c r="T1587" s="7"/>
      <c r="U1587" s="7"/>
      <c r="V1587" s="7"/>
      <c r="W1587" s="7"/>
      <c r="X1587" s="7"/>
      <c r="Y1587" s="7"/>
      <c r="Z1587" s="7"/>
      <c r="AA1587" s="7"/>
    </row>
    <row r="1588" spans="1:27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>
        <v>32586</v>
      </c>
      <c r="P1588" s="1">
        <f t="shared" si="76"/>
        <v>0.52255168557167053</v>
      </c>
      <c r="Q1588" s="25">
        <f t="shared" si="77"/>
        <v>0.19058420366491191</v>
      </c>
      <c r="R1588" s="24">
        <f t="shared" si="78"/>
        <v>-0.72670223882909113</v>
      </c>
      <c r="S1588" s="20"/>
      <c r="T1588" s="7"/>
      <c r="U1588" s="7"/>
      <c r="V1588" s="7"/>
      <c r="W1588" s="7"/>
      <c r="X1588" s="7"/>
      <c r="Y1588" s="7"/>
      <c r="Z1588" s="7"/>
      <c r="AA1588" s="7"/>
    </row>
    <row r="1589" spans="1:27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>
        <v>32587</v>
      </c>
      <c r="P1589" s="1">
        <f t="shared" si="76"/>
        <v>0.52274194359779358</v>
      </c>
      <c r="Q1589" s="25">
        <f t="shared" si="77"/>
        <v>0.18985506540047936</v>
      </c>
      <c r="R1589" s="24">
        <f t="shared" si="78"/>
        <v>-0.73152662860564988</v>
      </c>
      <c r="S1589" s="20"/>
      <c r="T1589" s="7"/>
      <c r="U1589" s="7"/>
      <c r="V1589" s="7"/>
      <c r="W1589" s="7"/>
      <c r="X1589" s="7"/>
      <c r="Y1589" s="7"/>
      <c r="Z1589" s="7"/>
      <c r="AA1589" s="7"/>
    </row>
    <row r="1590" spans="1:27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>
        <v>32588</v>
      </c>
      <c r="P1590" s="1">
        <f t="shared" si="76"/>
        <v>0.52293160557746887</v>
      </c>
      <c r="Q1590" s="25">
        <f t="shared" si="77"/>
        <v>0.18912115410785191</v>
      </c>
      <c r="R1590" s="24">
        <f t="shared" si="78"/>
        <v>-0.73637604725007577</v>
      </c>
      <c r="S1590" s="20"/>
      <c r="T1590" s="7"/>
      <c r="U1590" s="7"/>
      <c r="V1590" s="7"/>
      <c r="W1590" s="7"/>
      <c r="X1590" s="7"/>
      <c r="Y1590" s="7"/>
      <c r="Z1590" s="7"/>
      <c r="AA1590" s="7"/>
    </row>
    <row r="1591" spans="1:27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>
        <v>32589</v>
      </c>
      <c r="P1591" s="1">
        <f t="shared" si="76"/>
        <v>0.52312043309211731</v>
      </c>
      <c r="Q1591" s="25">
        <f t="shared" si="77"/>
        <v>0.18838232426787727</v>
      </c>
      <c r="R1591" s="24">
        <f t="shared" si="78"/>
        <v>-0.74125058358021079</v>
      </c>
      <c r="S1591" s="20"/>
      <c r="T1591" s="7"/>
      <c r="U1591" s="7"/>
      <c r="V1591" s="7"/>
      <c r="W1591" s="7"/>
      <c r="X1591" s="7"/>
      <c r="Y1591" s="7"/>
      <c r="Z1591" s="7"/>
      <c r="AA1591" s="7"/>
    </row>
    <row r="1592" spans="1:27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>
        <v>32590</v>
      </c>
      <c r="P1592" s="1">
        <f t="shared" si="76"/>
        <v>0.52330830693244934</v>
      </c>
      <c r="Q1592" s="25">
        <f t="shared" si="77"/>
        <v>0.18763866319204681</v>
      </c>
      <c r="R1592" s="24">
        <f t="shared" si="78"/>
        <v>-0.74615031575575586</v>
      </c>
      <c r="S1592" s="20"/>
      <c r="T1592" s="7"/>
      <c r="U1592" s="7"/>
      <c r="V1592" s="7"/>
      <c r="W1592" s="7"/>
      <c r="X1592" s="7"/>
      <c r="Y1592" s="7"/>
      <c r="Z1592" s="7"/>
      <c r="AA1592" s="7"/>
    </row>
    <row r="1593" spans="1:27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>
        <v>32591</v>
      </c>
      <c r="P1593" s="1">
        <f t="shared" si="76"/>
        <v>0.52349558472633362</v>
      </c>
      <c r="Q1593" s="25">
        <f t="shared" si="77"/>
        <v>0.18688996715354733</v>
      </c>
      <c r="R1593" s="24">
        <f t="shared" si="78"/>
        <v>-0.75107531838369823</v>
      </c>
      <c r="S1593" s="20"/>
      <c r="T1593" s="7"/>
      <c r="U1593" s="7"/>
      <c r="V1593" s="7"/>
      <c r="W1593" s="7"/>
      <c r="X1593" s="7"/>
      <c r="Y1593" s="7"/>
      <c r="Z1593" s="7"/>
      <c r="AA1593" s="7"/>
    </row>
    <row r="1594" spans="1:27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>
        <v>32592</v>
      </c>
      <c r="P1594" s="1">
        <f t="shared" si="76"/>
        <v>0.52368202805519104</v>
      </c>
      <c r="Q1594" s="25">
        <f t="shared" si="77"/>
        <v>0.18613652719068341</v>
      </c>
      <c r="R1594" s="24">
        <f t="shared" si="78"/>
        <v>-0.75602566962373885</v>
      </c>
      <c r="S1594" s="20"/>
      <c r="T1594" s="7"/>
      <c r="U1594" s="7"/>
      <c r="V1594" s="7"/>
      <c r="W1594" s="7"/>
      <c r="X1594" s="7"/>
      <c r="Y1594" s="7"/>
      <c r="Z1594" s="7"/>
      <c r="AA1594" s="7"/>
    </row>
    <row r="1595" spans="1:27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>
        <v>32593</v>
      </c>
      <c r="P1595" s="1">
        <f t="shared" si="76"/>
        <v>0.52386799454689026</v>
      </c>
      <c r="Q1595" s="25">
        <f t="shared" si="77"/>
        <v>0.18537799405748956</v>
      </c>
      <c r="R1595" s="24">
        <f t="shared" si="78"/>
        <v>-0.761001454741006</v>
      </c>
      <c r="S1595" s="20"/>
      <c r="T1595" s="7"/>
      <c r="U1595" s="7"/>
      <c r="V1595" s="7"/>
      <c r="W1595" s="7"/>
      <c r="X1595" s="7"/>
      <c r="Y1595" s="7"/>
      <c r="Z1595" s="7"/>
      <c r="AA1595" s="7"/>
    </row>
    <row r="1596" spans="1:27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>
        <v>32594</v>
      </c>
      <c r="P1596" s="1">
        <f t="shared" si="76"/>
        <v>0.52405264973640442</v>
      </c>
      <c r="Q1596" s="25">
        <f t="shared" si="77"/>
        <v>0.18461451327311806</v>
      </c>
      <c r="R1596" s="24">
        <f t="shared" si="78"/>
        <v>-0.76600274301341642</v>
      </c>
      <c r="S1596" s="20"/>
      <c r="T1596" s="7"/>
      <c r="U1596" s="7"/>
      <c r="V1596" s="7"/>
      <c r="W1596" s="7"/>
      <c r="X1596" s="7"/>
      <c r="Y1596" s="7"/>
      <c r="Z1596" s="7"/>
      <c r="AA1596" s="7"/>
    </row>
    <row r="1597" spans="1:27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>
        <v>32595</v>
      </c>
      <c r="P1597" s="1">
        <f t="shared" si="76"/>
        <v>0.52423647046089172</v>
      </c>
      <c r="Q1597" s="25">
        <f t="shared" si="77"/>
        <v>0.1838459684222471</v>
      </c>
      <c r="R1597" s="24">
        <f t="shared" si="78"/>
        <v>-0.77102962148245524</v>
      </c>
      <c r="S1597" s="20"/>
      <c r="T1597" s="7"/>
      <c r="U1597" s="7"/>
      <c r="V1597" s="7"/>
      <c r="W1597" s="7"/>
      <c r="X1597" s="7"/>
      <c r="Y1597" s="7"/>
      <c r="Z1597" s="7"/>
      <c r="AA1597" s="7"/>
    </row>
    <row r="1598" spans="1:27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>
        <v>32596</v>
      </c>
      <c r="P1598" s="1">
        <f t="shared" si="76"/>
        <v>0.52442076802253723</v>
      </c>
      <c r="Q1598" s="25">
        <f t="shared" si="77"/>
        <v>0.18307241771253757</v>
      </c>
      <c r="R1598" s="24">
        <f t="shared" si="78"/>
        <v>-0.77608217363689391</v>
      </c>
      <c r="S1598" s="20"/>
      <c r="T1598" s="7"/>
      <c r="U1598" s="7"/>
      <c r="V1598" s="7"/>
      <c r="W1598" s="7"/>
      <c r="X1598" s="7"/>
      <c r="Y1598" s="7"/>
      <c r="Z1598" s="7"/>
      <c r="AA1598" s="7"/>
    </row>
    <row r="1599" spans="1:27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>
        <v>32597</v>
      </c>
      <c r="P1599" s="1">
        <f t="shared" si="76"/>
        <v>0.52460351586341858</v>
      </c>
      <c r="Q1599" s="25">
        <f t="shared" si="77"/>
        <v>0.18229377383249812</v>
      </c>
      <c r="R1599" s="24">
        <f t="shared" si="78"/>
        <v>-0.78116047053100601</v>
      </c>
      <c r="S1599" s="20"/>
      <c r="T1599" s="7"/>
      <c r="U1599" s="7"/>
      <c r="V1599" s="7"/>
      <c r="W1599" s="7"/>
      <c r="X1599" s="7"/>
      <c r="Y1599" s="7"/>
      <c r="Z1599" s="7"/>
      <c r="AA1599" s="7"/>
    </row>
    <row r="1600" spans="1:27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>
        <v>32598</v>
      </c>
      <c r="P1600" s="1">
        <f t="shared" si="76"/>
        <v>0.52478471398353577</v>
      </c>
      <c r="Q1600" s="25">
        <f t="shared" si="77"/>
        <v>0.18151009498978965</v>
      </c>
      <c r="R1600" s="24">
        <f t="shared" si="78"/>
        <v>-0.78626459565356299</v>
      </c>
      <c r="S1600" s="20"/>
      <c r="T1600" s="7"/>
      <c r="U1600" s="7"/>
      <c r="V1600" s="7"/>
      <c r="W1600" s="7"/>
      <c r="X1600" s="7"/>
      <c r="Y1600" s="7"/>
      <c r="Z1600" s="7"/>
      <c r="AA1600" s="7"/>
    </row>
    <row r="1601" spans="1:27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>
        <v>32599</v>
      </c>
      <c r="P1601" s="1">
        <f t="shared" si="76"/>
        <v>0.52496638894081116</v>
      </c>
      <c r="Q1601" s="25">
        <f t="shared" si="77"/>
        <v>0.18072117745759897</v>
      </c>
      <c r="R1601" s="24">
        <f t="shared" si="78"/>
        <v>-0.79139462361155211</v>
      </c>
      <c r="S1601" s="20"/>
      <c r="T1601" s="7"/>
      <c r="U1601" s="7"/>
      <c r="V1601" s="7"/>
      <c r="W1601" s="7"/>
      <c r="X1601" s="7"/>
      <c r="Y1601" s="7"/>
      <c r="Z1601" s="7"/>
      <c r="AA1601" s="7"/>
    </row>
    <row r="1602" spans="1:27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>
        <v>32600</v>
      </c>
      <c r="P1602" s="1">
        <f t="shared" si="76"/>
        <v>0.52514651417732239</v>
      </c>
      <c r="Q1602" s="25">
        <f t="shared" si="77"/>
        <v>0.17992722496273927</v>
      </c>
      <c r="R1602" s="24">
        <f t="shared" si="78"/>
        <v>-0.79655063789374481</v>
      </c>
      <c r="S1602" s="20"/>
      <c r="T1602" s="7"/>
      <c r="U1602" s="7"/>
      <c r="V1602" s="7"/>
      <c r="W1602" s="7"/>
      <c r="X1602" s="7"/>
      <c r="Y1602" s="7"/>
      <c r="Z1602" s="7"/>
      <c r="AA1602" s="7"/>
    </row>
    <row r="1603" spans="1:27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>
        <v>32601</v>
      </c>
      <c r="P1603" s="1">
        <f t="shared" si="76"/>
        <v>0.52532580494880676</v>
      </c>
      <c r="Q1603" s="25">
        <f t="shared" si="77"/>
        <v>0.17912812108988874</v>
      </c>
      <c r="R1603" s="24">
        <f t="shared" si="78"/>
        <v>-0.80173272376526938</v>
      </c>
      <c r="S1603" s="20"/>
      <c r="T1603" s="7"/>
      <c r="U1603" s="7"/>
      <c r="V1603" s="7"/>
      <c r="W1603" s="7"/>
      <c r="X1603" s="7"/>
      <c r="Y1603" s="7"/>
      <c r="Z1603" s="7"/>
      <c r="AA1603" s="7"/>
    </row>
    <row r="1604" spans="1:27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>
        <v>32602</v>
      </c>
      <c r="P1604" s="1">
        <f t="shared" si="76"/>
        <v>0.52550509572029114</v>
      </c>
      <c r="Q1604" s="25">
        <f t="shared" si="77"/>
        <v>0.17832380763138644</v>
      </c>
      <c r="R1604" s="24">
        <f t="shared" si="78"/>
        <v>-0.80694095938582677</v>
      </c>
      <c r="S1604" s="20"/>
      <c r="T1604" s="7"/>
      <c r="U1604" s="7"/>
      <c r="V1604" s="7"/>
      <c r="W1604" s="7"/>
      <c r="X1604" s="7"/>
      <c r="Y1604" s="7"/>
      <c r="Z1604" s="7"/>
      <c r="AA1604" s="7"/>
    </row>
    <row r="1605" spans="1:27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>
        <v>32603</v>
      </c>
      <c r="P1605" s="1">
        <f t="shared" si="76"/>
        <v>0.52568259835243225</v>
      </c>
      <c r="Q1605" s="25">
        <f t="shared" si="77"/>
        <v>0.1775142845872324</v>
      </c>
      <c r="R1605" s="24">
        <f t="shared" si="78"/>
        <v>-0.81217542113876107</v>
      </c>
      <c r="S1605" s="20"/>
      <c r="T1605" s="7"/>
      <c r="U1605" s="7"/>
      <c r="V1605" s="7"/>
      <c r="W1605" s="7"/>
      <c r="X1605" s="7"/>
      <c r="Y1605" s="7"/>
      <c r="Z1605" s="7"/>
      <c r="AA1605" s="7"/>
    </row>
    <row r="1606" spans="1:27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>
        <v>32604</v>
      </c>
      <c r="P1606" s="1">
        <f t="shared" si="76"/>
        <v>0.52586022019386292</v>
      </c>
      <c r="Q1606" s="25">
        <f t="shared" si="77"/>
        <v>0.17669940643827431</v>
      </c>
      <c r="R1606" s="24">
        <f t="shared" si="78"/>
        <v>-0.8174361871837732</v>
      </c>
      <c r="S1606" s="20"/>
      <c r="T1606" s="7"/>
      <c r="U1606" s="7"/>
      <c r="V1606" s="7"/>
      <c r="W1606" s="7"/>
      <c r="X1606" s="7"/>
      <c r="Y1606" s="7"/>
      <c r="Z1606" s="7"/>
      <c r="AA1606" s="7"/>
    </row>
    <row r="1607" spans="1:27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>
        <v>32605</v>
      </c>
      <c r="P1607" s="1">
        <f t="shared" si="76"/>
        <v>0.52603593468666077</v>
      </c>
      <c r="Q1607" s="25">
        <f t="shared" si="77"/>
        <v>0.17587940601515584</v>
      </c>
      <c r="R1607" s="24">
        <f t="shared" si="78"/>
        <v>-0.82272334989141882</v>
      </c>
      <c r="S1607" s="20"/>
      <c r="T1607" s="7"/>
      <c r="U1607" s="7"/>
      <c r="V1607" s="7"/>
      <c r="W1607" s="7"/>
      <c r="X1607" s="7"/>
      <c r="Y1607" s="7"/>
      <c r="Z1607" s="7"/>
      <c r="AA1607" s="7"/>
    </row>
    <row r="1608" spans="1:27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>
        <v>32606</v>
      </c>
      <c r="P1608" s="1">
        <f t="shared" si="76"/>
        <v>0.52621105313301086</v>
      </c>
      <c r="Q1608" s="25">
        <f t="shared" si="77"/>
        <v>0.17505396317574196</v>
      </c>
      <c r="R1608" s="24">
        <f t="shared" si="78"/>
        <v>-0.82803697676325783</v>
      </c>
      <c r="S1608" s="20"/>
      <c r="T1608" s="7"/>
      <c r="U1608" s="7"/>
      <c r="V1608" s="7"/>
      <c r="W1608" s="7"/>
      <c r="X1608" s="7"/>
      <c r="Y1608" s="7"/>
      <c r="Z1608" s="7"/>
      <c r="AA1608" s="7"/>
    </row>
    <row r="1609" spans="1:27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>
        <v>32607</v>
      </c>
      <c r="P1609" s="1">
        <f t="shared" si="76"/>
        <v>0.52638652920722961</v>
      </c>
      <c r="Q1609" s="25">
        <f t="shared" si="77"/>
        <v>0.17422328164684586</v>
      </c>
      <c r="R1609" s="24">
        <f t="shared" si="78"/>
        <v>-0.83337715306441851</v>
      </c>
      <c r="S1609" s="20"/>
      <c r="T1609" s="7"/>
      <c r="U1609" s="7"/>
      <c r="V1609" s="7"/>
      <c r="W1609" s="7"/>
      <c r="X1609" s="7"/>
      <c r="Y1609" s="7"/>
      <c r="Z1609" s="7"/>
      <c r="AA1609" s="7"/>
    </row>
    <row r="1610" spans="1:27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>
        <v>32608</v>
      </c>
      <c r="P1610" s="1">
        <f t="shared" ref="P1610:P1673" si="79" xml:space="preserve"> -1.4681315616E-19*$O1610^6 + 2.80493263066289E-14*$O1610^5 - 2.23271907955907E-09*$O1610^4 + 0.0000947783879077569*$O1610^3 - 2.26293121558813*$O1610^2 + 28813.4861268598*$O1610 - 152852350.445896</f>
        <v>0.52656009793281555</v>
      </c>
      <c r="Q1610" s="25">
        <f t="shared" ref="Q1610:Q1673" si="80" xml:space="preserve"> (6*-1.4681315616E-19*$O1610^5 + 5*2.80493263066289E-14*$O1610^4 - 4*2.23271907955907E-09*$O1610^3 + 3*0.0000947783879077569*$O1610^2 - 2*2.26293121558813*$O1610^1 + 28813.4861268598)*1000</f>
        <v>0.17338721590931527</v>
      </c>
      <c r="R1610" s="24">
        <f t="shared" ref="R1610:R1673" si="81" xml:space="preserve"> (5*6*-1.4681315616E-19*$O1610^4 + 4*5*2.80493263066289E-14*$O1610^3 - 3*4*2.23271907955907E-09*$O1610^2 + 2*3*0.0000947783879077569*$O1610^1 - 2*2.26293121558813)*1000*1000</f>
        <v>-0.83874395873095864</v>
      </c>
      <c r="S1610" s="20"/>
      <c r="T1610" s="7"/>
      <c r="U1610" s="7"/>
      <c r="V1610" s="7"/>
      <c r="W1610" s="7"/>
      <c r="X1610" s="7"/>
      <c r="Y1610" s="7"/>
      <c r="Z1610" s="7"/>
      <c r="AA1610" s="7"/>
    </row>
    <row r="1611" spans="1:27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>
        <v>32609</v>
      </c>
      <c r="P1611" s="1">
        <f t="shared" si="79"/>
        <v>0.52673307061195374</v>
      </c>
      <c r="Q1611" s="25">
        <f t="shared" si="80"/>
        <v>0.17254579506698065</v>
      </c>
      <c r="R1611" s="24">
        <f t="shared" si="81"/>
        <v>-0.84413747547529283</v>
      </c>
      <c r="S1611" s="20"/>
      <c r="T1611" s="7"/>
      <c r="U1611" s="7"/>
      <c r="V1611" s="7"/>
      <c r="W1611" s="7"/>
      <c r="X1611" s="7"/>
      <c r="Y1611" s="7"/>
      <c r="Z1611" s="7"/>
      <c r="AA1611" s="7"/>
    </row>
    <row r="1612" spans="1:27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>
        <v>32610</v>
      </c>
      <c r="P1612" s="1">
        <f t="shared" si="79"/>
        <v>0.52690520882606506</v>
      </c>
      <c r="Q1612" s="25">
        <f t="shared" si="80"/>
        <v>0.17169896091218106</v>
      </c>
      <c r="R1612" s="24">
        <f t="shared" si="81"/>
        <v>-0.84955778856254938</v>
      </c>
      <c r="S1612" s="20"/>
      <c r="T1612" s="7"/>
      <c r="U1612" s="7"/>
      <c r="V1612" s="7"/>
      <c r="W1612" s="7"/>
      <c r="X1612" s="7"/>
      <c r="Y1612" s="7"/>
      <c r="Z1612" s="7"/>
      <c r="AA1612" s="7"/>
    </row>
    <row r="1613" spans="1:27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>
        <v>32611</v>
      </c>
      <c r="P1613" s="1">
        <f t="shared" si="79"/>
        <v>0.52707663178443909</v>
      </c>
      <c r="Q1613" s="25">
        <f t="shared" si="80"/>
        <v>0.17084665523725562</v>
      </c>
      <c r="R1613" s="24">
        <f t="shared" si="81"/>
        <v>-0.85500497437607237</v>
      </c>
      <c r="S1613" s="20"/>
      <c r="T1613" s="7"/>
      <c r="U1613" s="7"/>
      <c r="V1613" s="7"/>
      <c r="W1613" s="7"/>
      <c r="X1613" s="7"/>
      <c r="Y1613" s="7"/>
      <c r="Z1613" s="7"/>
      <c r="AA1613" s="7"/>
    </row>
    <row r="1614" spans="1:27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>
        <v>32612</v>
      </c>
      <c r="P1614" s="1">
        <f t="shared" si="79"/>
        <v>0.52724698185920715</v>
      </c>
      <c r="Q1614" s="25">
        <f t="shared" si="80"/>
        <v>0.16998893624986522</v>
      </c>
      <c r="R1614" s="24">
        <f t="shared" si="81"/>
        <v>-0.86047911107556274</v>
      </c>
      <c r="S1614" s="20"/>
      <c r="T1614" s="7"/>
      <c r="U1614" s="7"/>
      <c r="V1614" s="7"/>
      <c r="W1614" s="7"/>
      <c r="X1614" s="7"/>
      <c r="Y1614" s="7"/>
      <c r="Z1614" s="7"/>
      <c r="AA1614" s="7"/>
    </row>
    <row r="1615" spans="1:27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>
        <v>32613</v>
      </c>
      <c r="P1615" s="1">
        <f t="shared" si="79"/>
        <v>0.52741625905036926</v>
      </c>
      <c r="Q1615" s="25">
        <f t="shared" si="80"/>
        <v>0.1691257166385185</v>
      </c>
      <c r="R1615" s="24">
        <f t="shared" si="81"/>
        <v>-0.86598028570250563</v>
      </c>
      <c r="S1615" s="20"/>
      <c r="T1615" s="7"/>
      <c r="U1615" s="7"/>
      <c r="V1615" s="7"/>
      <c r="W1615" s="7"/>
      <c r="X1615" s="7"/>
      <c r="Y1615" s="7"/>
      <c r="Z1615" s="7"/>
      <c r="AA1615" s="7"/>
    </row>
    <row r="1616" spans="1:27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>
        <v>32614</v>
      </c>
      <c r="P1616" s="1">
        <f t="shared" si="79"/>
        <v>0.52758529782295227</v>
      </c>
      <c r="Q1616" s="25">
        <f t="shared" si="80"/>
        <v>0.16825693819555454</v>
      </c>
      <c r="R1616" s="24">
        <f t="shared" si="81"/>
        <v>-0.87150857819295879</v>
      </c>
      <c r="S1616" s="20"/>
      <c r="T1616" s="7"/>
      <c r="U1616" s="7"/>
      <c r="V1616" s="7"/>
      <c r="W1616" s="7"/>
      <c r="X1616" s="7"/>
      <c r="Y1616" s="7"/>
      <c r="Z1616" s="7"/>
      <c r="AA1616" s="7"/>
    </row>
    <row r="1617" spans="1:27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>
        <v>32615</v>
      </c>
      <c r="P1617" s="1">
        <f t="shared" si="79"/>
        <v>0.52775278687477112</v>
      </c>
      <c r="Q1617" s="25">
        <f t="shared" si="80"/>
        <v>0.16738265912863426</v>
      </c>
      <c r="R1617" s="24">
        <f t="shared" si="81"/>
        <v>-0.8770640720356937</v>
      </c>
      <c r="S1617" s="20"/>
      <c r="T1617" s="7"/>
      <c r="U1617" s="7"/>
      <c r="V1617" s="7"/>
      <c r="W1617" s="7"/>
      <c r="X1617" s="7"/>
      <c r="Y1617" s="7"/>
      <c r="Z1617" s="7"/>
      <c r="AA1617" s="7"/>
    </row>
    <row r="1618" spans="1:27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>
        <v>32616</v>
      </c>
      <c r="P1618" s="1">
        <f t="shared" si="79"/>
        <v>0.52791967988014221</v>
      </c>
      <c r="Q1618" s="25">
        <f t="shared" si="80"/>
        <v>0.16650276302243583</v>
      </c>
      <c r="R1618" s="24">
        <f t="shared" si="81"/>
        <v>-0.88264684006134075</v>
      </c>
      <c r="S1618" s="20"/>
      <c r="T1618" s="7"/>
      <c r="U1618" s="7"/>
      <c r="V1618" s="7"/>
      <c r="W1618" s="7"/>
      <c r="X1618" s="7"/>
      <c r="Y1618" s="7"/>
      <c r="Z1618" s="7"/>
      <c r="AA1618" s="7"/>
    </row>
    <row r="1619" spans="1:27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>
        <v>32617</v>
      </c>
      <c r="P1619" s="1">
        <f t="shared" si="79"/>
        <v>0.5280860960483551</v>
      </c>
      <c r="Q1619" s="25">
        <f t="shared" si="80"/>
        <v>0.16561739539611153</v>
      </c>
      <c r="R1619" s="24">
        <f t="shared" si="81"/>
        <v>-0.88825697286409877</v>
      </c>
      <c r="S1619" s="20"/>
      <c r="T1619" s="7"/>
      <c r="U1619" s="7"/>
      <c r="V1619" s="7"/>
      <c r="W1619" s="7"/>
      <c r="X1619" s="7"/>
      <c r="Y1619" s="7"/>
      <c r="Z1619" s="7"/>
      <c r="AA1619" s="7"/>
    </row>
    <row r="1620" spans="1:27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>
        <v>32618</v>
      </c>
      <c r="P1620" s="1">
        <f t="shared" si="79"/>
        <v>0.52825143933296204</v>
      </c>
      <c r="Q1620" s="25">
        <f t="shared" si="80"/>
        <v>0.16472629431518726</v>
      </c>
      <c r="R1620" s="24">
        <f t="shared" si="81"/>
        <v>-0.89389454860366868</v>
      </c>
      <c r="S1620" s="20"/>
      <c r="T1620" s="7"/>
      <c r="U1620" s="7"/>
      <c r="V1620" s="7"/>
      <c r="W1620" s="7"/>
      <c r="X1620" s="7"/>
      <c r="Y1620" s="7"/>
      <c r="Z1620" s="7"/>
      <c r="AA1620" s="7"/>
    </row>
    <row r="1621" spans="1:27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>
        <v>32619</v>
      </c>
      <c r="P1621" s="1">
        <f t="shared" si="79"/>
        <v>0.52841547131538391</v>
      </c>
      <c r="Q1621" s="25">
        <f t="shared" si="80"/>
        <v>0.16382951798732392</v>
      </c>
      <c r="R1621" s="24">
        <f t="shared" si="81"/>
        <v>-0.89955965432153562</v>
      </c>
      <c r="S1621" s="20"/>
      <c r="T1621" s="7"/>
      <c r="U1621" s="7"/>
      <c r="V1621" s="7"/>
      <c r="W1621" s="7"/>
      <c r="X1621" s="7"/>
      <c r="Y1621" s="7"/>
      <c r="Z1621" s="7"/>
      <c r="AA1621" s="7"/>
    </row>
    <row r="1622" spans="1:27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>
        <v>32620</v>
      </c>
      <c r="P1622" s="1">
        <f t="shared" si="79"/>
        <v>0.52857902646064758</v>
      </c>
      <c r="Q1622" s="25">
        <f t="shared" si="80"/>
        <v>0.1629271537240129</v>
      </c>
      <c r="R1622" s="24">
        <f t="shared" si="81"/>
        <v>-0.90525236462468683</v>
      </c>
      <c r="S1622" s="20"/>
      <c r="T1622" s="7"/>
      <c r="U1622" s="7"/>
      <c r="V1622" s="7"/>
      <c r="W1622" s="7"/>
      <c r="X1622" s="7"/>
      <c r="Y1622" s="7"/>
      <c r="Z1622" s="7"/>
      <c r="AA1622" s="7"/>
    </row>
    <row r="1623" spans="1:27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>
        <v>32621</v>
      </c>
      <c r="P1623" s="1">
        <f t="shared" si="79"/>
        <v>0.5287412703037262</v>
      </c>
      <c r="Q1623" s="25">
        <f t="shared" si="80"/>
        <v>0.16201902690227143</v>
      </c>
      <c r="R1623" s="24">
        <f t="shared" si="81"/>
        <v>-0.91097276477825062</v>
      </c>
      <c r="S1623" s="20"/>
      <c r="T1623" s="7"/>
      <c r="U1623" s="7"/>
      <c r="V1623" s="7"/>
      <c r="W1623" s="7"/>
      <c r="X1623" s="7"/>
      <c r="Y1623" s="7"/>
      <c r="Z1623" s="7"/>
      <c r="AA1623" s="7"/>
    </row>
    <row r="1624" spans="1:27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>
        <v>32622</v>
      </c>
      <c r="P1624" s="1">
        <f t="shared" si="79"/>
        <v>0.52890267968177795</v>
      </c>
      <c r="Q1624" s="25">
        <f t="shared" si="80"/>
        <v>0.16110519572976045</v>
      </c>
      <c r="R1624" s="24">
        <f t="shared" si="81"/>
        <v>-0.91672093649464159</v>
      </c>
      <c r="S1624" s="20"/>
      <c r="T1624" s="7"/>
      <c r="U1624" s="7"/>
      <c r="V1624" s="7"/>
      <c r="W1624" s="7"/>
      <c r="X1624" s="7"/>
      <c r="Y1624" s="7"/>
      <c r="Z1624" s="7"/>
      <c r="AA1624" s="7"/>
    </row>
    <row r="1625" spans="1:27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>
        <v>32623</v>
      </c>
      <c r="P1625" s="1">
        <f t="shared" si="79"/>
        <v>0.52906361222267151</v>
      </c>
      <c r="Q1625" s="25">
        <f t="shared" si="80"/>
        <v>0.16018560199881904</v>
      </c>
      <c r="R1625" s="24">
        <f t="shared" si="81"/>
        <v>-0.92249696859170172</v>
      </c>
      <c r="S1625" s="20"/>
      <c r="T1625" s="7"/>
      <c r="U1625" s="7"/>
      <c r="V1625" s="7"/>
      <c r="W1625" s="7"/>
      <c r="X1625" s="7"/>
      <c r="Y1625" s="7"/>
      <c r="Z1625" s="7"/>
      <c r="AA1625" s="7"/>
    </row>
    <row r="1626" spans="1:27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>
        <v>32624</v>
      </c>
      <c r="P1626" s="1">
        <f t="shared" si="79"/>
        <v>0.52922323346138</v>
      </c>
      <c r="Q1626" s="25">
        <f t="shared" si="80"/>
        <v>0.15926015839795582</v>
      </c>
      <c r="R1626" s="24">
        <f t="shared" si="81"/>
        <v>-0.92830093567641825</v>
      </c>
      <c r="S1626" s="20"/>
      <c r="T1626" s="7"/>
      <c r="U1626" s="7"/>
      <c r="V1626" s="7"/>
      <c r="W1626" s="7"/>
      <c r="X1626" s="7"/>
      <c r="Y1626" s="7"/>
      <c r="Z1626" s="7"/>
      <c r="AA1626" s="7"/>
    </row>
    <row r="1627" spans="1:27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>
        <v>32625</v>
      </c>
      <c r="P1627" s="1">
        <f t="shared" si="79"/>
        <v>0.52938178181648254</v>
      </c>
      <c r="Q1627" s="25">
        <f t="shared" si="80"/>
        <v>0.15832898134249263</v>
      </c>
      <c r="R1627" s="24">
        <f t="shared" si="81"/>
        <v>-0.9341329194612058</v>
      </c>
      <c r="S1627" s="20"/>
      <c r="T1627" s="7"/>
      <c r="U1627" s="7"/>
      <c r="V1627" s="7"/>
      <c r="W1627" s="7"/>
      <c r="X1627" s="7"/>
      <c r="Y1627" s="7"/>
      <c r="Z1627" s="7"/>
      <c r="AA1627" s="7"/>
    </row>
    <row r="1628" spans="1:27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>
        <v>32626</v>
      </c>
      <c r="P1628" s="1">
        <f t="shared" si="79"/>
        <v>0.52953961491584778</v>
      </c>
      <c r="Q1628" s="25">
        <f t="shared" si="80"/>
        <v>0.15739192531327717</v>
      </c>
      <c r="R1628" s="24">
        <f t="shared" si="81"/>
        <v>-0.93999300343483583</v>
      </c>
      <c r="S1628" s="20"/>
      <c r="T1628" s="7"/>
      <c r="U1628" s="7"/>
      <c r="V1628" s="7"/>
      <c r="W1628" s="7"/>
      <c r="X1628" s="7"/>
      <c r="Y1628" s="7"/>
      <c r="Z1628" s="7"/>
      <c r="AA1628" s="7"/>
    </row>
    <row r="1629" spans="1:27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>
        <v>32627</v>
      </c>
      <c r="P1629" s="1">
        <f t="shared" si="79"/>
        <v>0.52969685196876526</v>
      </c>
      <c r="Q1629" s="25">
        <f t="shared" si="80"/>
        <v>0.15644907762180082</v>
      </c>
      <c r="R1629" s="24">
        <f t="shared" si="81"/>
        <v>-0.94588127819150714</v>
      </c>
      <c r="S1629" s="20"/>
      <c r="T1629" s="7"/>
      <c r="U1629" s="7"/>
      <c r="V1629" s="7"/>
      <c r="W1629" s="7"/>
      <c r="X1629" s="7"/>
      <c r="Y1629" s="7"/>
      <c r="Z1629" s="7"/>
      <c r="AA1629" s="7"/>
    </row>
    <row r="1630" spans="1:27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>
        <v>32628</v>
      </c>
      <c r="P1630" s="1">
        <f t="shared" si="79"/>
        <v>0.52985277771949768</v>
      </c>
      <c r="Q1630" s="25">
        <f t="shared" si="80"/>
        <v>0.15550020543741994</v>
      </c>
      <c r="R1630" s="24">
        <f t="shared" si="81"/>
        <v>-0.95179782189092066</v>
      </c>
      <c r="S1630" s="20"/>
      <c r="T1630" s="7"/>
      <c r="U1630" s="7"/>
      <c r="V1630" s="7"/>
      <c r="W1630" s="7"/>
      <c r="X1630" s="7"/>
      <c r="Y1630" s="7"/>
      <c r="Z1630" s="7"/>
      <c r="AA1630" s="7"/>
    </row>
    <row r="1631" spans="1:27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>
        <v>32629</v>
      </c>
      <c r="P1631" s="1">
        <f t="shared" si="79"/>
        <v>0.5300077497959137</v>
      </c>
      <c r="Q1631" s="25">
        <f t="shared" si="80"/>
        <v>0.15454536696779542</v>
      </c>
      <c r="R1631" s="24">
        <f t="shared" si="81"/>
        <v>-0.95774271091642049</v>
      </c>
      <c r="S1631" s="20"/>
      <c r="T1631" s="7"/>
      <c r="U1631" s="7"/>
      <c r="V1631" s="7"/>
      <c r="W1631" s="7"/>
      <c r="X1631" s="7"/>
      <c r="Y1631" s="7"/>
      <c r="Z1631" s="7"/>
      <c r="AA1631" s="7"/>
    </row>
    <row r="1632" spans="1:27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>
        <v>32630</v>
      </c>
      <c r="P1632" s="1">
        <f t="shared" si="79"/>
        <v>0.53016188740730286</v>
      </c>
      <c r="Q1632" s="25">
        <f t="shared" si="80"/>
        <v>0.15358464952441864</v>
      </c>
      <c r="R1632" s="24">
        <f t="shared" si="81"/>
        <v>-0.96371603941491912</v>
      </c>
      <c r="S1632" s="20"/>
      <c r="T1632" s="7"/>
      <c r="U1632" s="7"/>
      <c r="V1632" s="7"/>
      <c r="W1632" s="7"/>
      <c r="X1632" s="7"/>
      <c r="Y1632" s="7"/>
      <c r="Z1632" s="7"/>
      <c r="AA1632" s="7"/>
    </row>
    <row r="1633" spans="1:27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>
        <v>32631</v>
      </c>
      <c r="P1633" s="1">
        <f t="shared" si="79"/>
        <v>0.53031471371650696</v>
      </c>
      <c r="Q1633" s="25">
        <f t="shared" si="80"/>
        <v>0.15261793669196777</v>
      </c>
      <c r="R1633" s="24">
        <f t="shared" si="81"/>
        <v>-0.96971788021704697</v>
      </c>
      <c r="S1633" s="20"/>
      <c r="T1633" s="7"/>
      <c r="U1633" s="7"/>
      <c r="V1633" s="7"/>
      <c r="W1633" s="7"/>
      <c r="X1633" s="7"/>
      <c r="Y1633" s="7"/>
      <c r="Z1633" s="7"/>
      <c r="AA1633" s="7"/>
    </row>
    <row r="1634" spans="1:27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>
        <v>32632</v>
      </c>
      <c r="P1634" s="1">
        <f t="shared" si="79"/>
        <v>0.53046634793281555</v>
      </c>
      <c r="Q1634" s="25">
        <f t="shared" si="80"/>
        <v>0.15164519936661236</v>
      </c>
      <c r="R1634" s="24">
        <f t="shared" si="81"/>
        <v>-0.97574832391700284</v>
      </c>
      <c r="S1634" s="20"/>
      <c r="T1634" s="7"/>
      <c r="U1634" s="7"/>
      <c r="V1634" s="7"/>
      <c r="W1634" s="7"/>
      <c r="X1634" s="7"/>
      <c r="Y1634" s="7"/>
      <c r="Z1634" s="7"/>
      <c r="AA1634" s="7"/>
    </row>
    <row r="1635" spans="1:27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>
        <v>32633</v>
      </c>
      <c r="P1635" s="1">
        <f t="shared" si="79"/>
        <v>0.5306181013584137</v>
      </c>
      <c r="Q1635" s="25">
        <f t="shared" si="80"/>
        <v>0.15066640844452195</v>
      </c>
      <c r="R1635" s="24">
        <f t="shared" si="81"/>
        <v>-0.98180745222720134</v>
      </c>
      <c r="S1635" s="20"/>
      <c r="T1635" s="7"/>
      <c r="U1635" s="7"/>
      <c r="V1635" s="7"/>
      <c r="W1635" s="7"/>
      <c r="X1635" s="7"/>
      <c r="Y1635" s="7"/>
      <c r="Z1635" s="7"/>
      <c r="AA1635" s="7"/>
    </row>
    <row r="1636" spans="1:27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>
        <v>32634</v>
      </c>
      <c r="P1636" s="1">
        <f t="shared" si="79"/>
        <v>0.53076878190040588</v>
      </c>
      <c r="Q1636" s="25">
        <f t="shared" si="80"/>
        <v>0.14968159302952699</v>
      </c>
      <c r="R1636" s="24">
        <f t="shared" si="81"/>
        <v>-0.98789534686005709</v>
      </c>
      <c r="S1636" s="20"/>
      <c r="T1636" s="7"/>
      <c r="U1636" s="7"/>
      <c r="V1636" s="7"/>
      <c r="W1636" s="7"/>
      <c r="X1636" s="7"/>
      <c r="Y1636" s="7"/>
      <c r="Z1636" s="7"/>
      <c r="AA1636" s="7"/>
    </row>
    <row r="1637" spans="1:27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>
        <v>32635</v>
      </c>
      <c r="P1637" s="1">
        <f t="shared" si="79"/>
        <v>0.53091779351234436</v>
      </c>
      <c r="Q1637" s="25">
        <f t="shared" si="80"/>
        <v>0.14869063670630567</v>
      </c>
      <c r="R1637" s="24">
        <f t="shared" si="81"/>
        <v>-0.99401209308069838</v>
      </c>
      <c r="S1637" s="20"/>
      <c r="T1637" s="7"/>
      <c r="U1637" s="7"/>
      <c r="V1637" s="7"/>
      <c r="W1637" s="7"/>
      <c r="X1637" s="7"/>
      <c r="Y1637" s="7"/>
      <c r="Z1637" s="7"/>
      <c r="AA1637" s="7"/>
    </row>
    <row r="1638" spans="1:27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>
        <v>32636</v>
      </c>
      <c r="P1638" s="1">
        <f t="shared" si="79"/>
        <v>0.53106549382209778</v>
      </c>
      <c r="Q1638" s="25">
        <f t="shared" si="80"/>
        <v>0.14769359768251888</v>
      </c>
      <c r="R1638" s="24">
        <f t="shared" si="81"/>
        <v>-1.0001577690488261</v>
      </c>
      <c r="S1638" s="20"/>
      <c r="T1638" s="7"/>
      <c r="U1638" s="7"/>
      <c r="V1638" s="7"/>
      <c r="W1638" s="7"/>
      <c r="X1638" s="7"/>
      <c r="Y1638" s="7"/>
      <c r="Z1638" s="7"/>
      <c r="AA1638" s="7"/>
    </row>
    <row r="1639" spans="1:27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>
        <v>32637</v>
      </c>
      <c r="P1639" s="1">
        <f t="shared" si="79"/>
        <v>0.53121307492256165</v>
      </c>
      <c r="Q1639" s="25">
        <f t="shared" si="80"/>
        <v>0.14669033043901436</v>
      </c>
      <c r="R1639" s="24">
        <f t="shared" si="81"/>
        <v>-1.0063324706877097</v>
      </c>
      <c r="S1639" s="20"/>
      <c r="T1639" s="7"/>
      <c r="U1639" s="7"/>
      <c r="V1639" s="7"/>
      <c r="W1639" s="7"/>
      <c r="X1639" s="7"/>
      <c r="Y1639" s="7"/>
      <c r="Z1639" s="7"/>
      <c r="AA1639" s="7"/>
    </row>
    <row r="1640" spans="1:27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>
        <v>32638</v>
      </c>
      <c r="P1640" s="1">
        <f t="shared" si="79"/>
        <v>0.5313592255115509</v>
      </c>
      <c r="Q1640" s="25">
        <f t="shared" si="80"/>
        <v>0.14568092228728347</v>
      </c>
      <c r="R1640" s="24">
        <f t="shared" si="81"/>
        <v>-1.01253627615705</v>
      </c>
      <c r="S1640" s="20"/>
      <c r="T1640" s="7"/>
      <c r="U1640" s="7"/>
      <c r="V1640" s="7"/>
      <c r="W1640" s="7"/>
      <c r="X1640" s="7"/>
      <c r="Y1640" s="7"/>
      <c r="Z1640" s="7"/>
      <c r="AA1640" s="7"/>
    </row>
    <row r="1641" spans="1:27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>
        <v>32639</v>
      </c>
      <c r="P1641" s="1">
        <f t="shared" si="79"/>
        <v>0.5315043032169342</v>
      </c>
      <c r="Q1641" s="25">
        <f t="shared" si="80"/>
        <v>0.14466522770817392</v>
      </c>
      <c r="R1641" s="24">
        <f t="shared" si="81"/>
        <v>-1.018769263616548</v>
      </c>
      <c r="S1641" s="20"/>
      <c r="T1641" s="7"/>
      <c r="U1641" s="7"/>
      <c r="V1641" s="7"/>
      <c r="W1641" s="7"/>
      <c r="X1641" s="7"/>
      <c r="Y1641" s="7"/>
      <c r="Z1641" s="7"/>
      <c r="AA1641" s="7"/>
    </row>
    <row r="1642" spans="1:27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>
        <v>32640</v>
      </c>
      <c r="P1642" s="1">
        <f t="shared" si="79"/>
        <v>0.53164806962013245</v>
      </c>
      <c r="Q1642" s="25">
        <f t="shared" si="80"/>
        <v>0.14364330490934663</v>
      </c>
      <c r="R1642" s="24">
        <f t="shared" si="81"/>
        <v>-1.0250315218840456</v>
      </c>
      <c r="S1642" s="20"/>
      <c r="T1642" s="7"/>
      <c r="U1642" s="7"/>
      <c r="V1642" s="7"/>
      <c r="W1642" s="7"/>
      <c r="X1642" s="7"/>
      <c r="Y1642" s="7"/>
      <c r="Z1642" s="7"/>
      <c r="AA1642" s="7"/>
    </row>
    <row r="1643" spans="1:27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>
        <v>32641</v>
      </c>
      <c r="P1643" s="1">
        <f t="shared" si="79"/>
        <v>0.53179207444190979</v>
      </c>
      <c r="Q1643" s="25">
        <f t="shared" si="80"/>
        <v>0.14261518299463205</v>
      </c>
      <c r="R1643" s="24">
        <f t="shared" si="81"/>
        <v>-1.0313231397773848</v>
      </c>
      <c r="S1643" s="20"/>
      <c r="T1643" s="7"/>
      <c r="U1643" s="7"/>
      <c r="V1643" s="7"/>
      <c r="W1643" s="7"/>
      <c r="X1643" s="7"/>
      <c r="Y1643" s="7"/>
      <c r="Z1643" s="7"/>
      <c r="AA1643" s="7"/>
    </row>
    <row r="1644" spans="1:27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>
        <v>32642</v>
      </c>
      <c r="P1644" s="1">
        <f t="shared" si="79"/>
        <v>0.53193333745002747</v>
      </c>
      <c r="Q1644" s="25">
        <f t="shared" si="80"/>
        <v>0.14158068734104745</v>
      </c>
      <c r="R1644" s="24">
        <f t="shared" si="81"/>
        <v>-1.0376441954562665</v>
      </c>
      <c r="S1644" s="20"/>
      <c r="T1644" s="7"/>
      <c r="U1644" s="7"/>
      <c r="V1644" s="7"/>
      <c r="W1644" s="7"/>
      <c r="X1644" s="7"/>
      <c r="Y1644" s="7"/>
      <c r="Z1644" s="7"/>
      <c r="AA1644" s="7"/>
    </row>
    <row r="1645" spans="1:27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>
        <v>32643</v>
      </c>
      <c r="P1645" s="1">
        <f t="shared" si="79"/>
        <v>0.53207495808601379</v>
      </c>
      <c r="Q1645" s="25">
        <f t="shared" si="80"/>
        <v>0.14053987615625374</v>
      </c>
      <c r="R1645" s="24">
        <f t="shared" si="81"/>
        <v>-1.0439947741858191</v>
      </c>
      <c r="S1645" s="20"/>
      <c r="T1645" s="7"/>
      <c r="U1645" s="7"/>
      <c r="V1645" s="7"/>
      <c r="W1645" s="7"/>
      <c r="X1645" s="7"/>
      <c r="Y1645" s="7"/>
      <c r="Z1645" s="7"/>
      <c r="AA1645" s="7"/>
    </row>
    <row r="1646" spans="1:27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>
        <v>32644</v>
      </c>
      <c r="P1646" s="1">
        <f t="shared" si="79"/>
        <v>0.53221490979194641</v>
      </c>
      <c r="Q1646" s="25">
        <f t="shared" si="80"/>
        <v>0.13949266212875955</v>
      </c>
      <c r="R1646" s="24">
        <f t="shared" si="81"/>
        <v>-1.050374959454814</v>
      </c>
      <c r="S1646" s="20"/>
      <c r="T1646" s="7"/>
      <c r="U1646" s="7"/>
      <c r="V1646" s="7"/>
      <c r="W1646" s="7"/>
      <c r="X1646" s="7"/>
      <c r="Y1646" s="7"/>
      <c r="Z1646" s="7"/>
      <c r="AA1646" s="7"/>
    </row>
    <row r="1647" spans="1:27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>
        <v>32645</v>
      </c>
      <c r="P1647" s="1">
        <f t="shared" si="79"/>
        <v>0.53235402703285217</v>
      </c>
      <c r="Q1647" s="25">
        <f t="shared" si="80"/>
        <v>0.1384391616738867</v>
      </c>
      <c r="R1647" s="24">
        <f t="shared" si="81"/>
        <v>-1.0567848365283794</v>
      </c>
      <c r="S1647" s="20"/>
      <c r="T1647" s="7"/>
      <c r="U1647" s="7"/>
      <c r="V1647" s="7"/>
      <c r="W1647" s="7"/>
      <c r="X1647" s="7"/>
      <c r="Y1647" s="7"/>
      <c r="Z1647" s="7"/>
      <c r="AA1647" s="7"/>
    </row>
    <row r="1648" spans="1:27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>
        <v>32646</v>
      </c>
      <c r="P1648" s="1">
        <f t="shared" si="79"/>
        <v>0.53249135613441467</v>
      </c>
      <c r="Q1648" s="25">
        <f t="shared" si="80"/>
        <v>0.13737911285716109</v>
      </c>
      <c r="R1648" s="24">
        <f t="shared" si="81"/>
        <v>-1.0632244977770711</v>
      </c>
      <c r="S1648" s="20"/>
      <c r="T1648" s="7"/>
      <c r="U1648" s="7"/>
      <c r="V1648" s="7"/>
      <c r="W1648" s="7"/>
      <c r="X1648" s="7"/>
      <c r="Y1648" s="7"/>
      <c r="Z1648" s="7"/>
      <c r="AA1648" s="7"/>
    </row>
    <row r="1649" spans="1:27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>
        <v>32647</v>
      </c>
      <c r="P1649" s="1">
        <f t="shared" si="79"/>
        <v>0.53262892365455627</v>
      </c>
      <c r="Q1649" s="25">
        <f t="shared" si="80"/>
        <v>0.136312661197735</v>
      </c>
      <c r="R1649" s="24">
        <f t="shared" si="81"/>
        <v>-1.0696940178078762</v>
      </c>
      <c r="S1649" s="20"/>
      <c r="T1649" s="7"/>
      <c r="U1649" s="7"/>
      <c r="V1649" s="7"/>
      <c r="W1649" s="7"/>
      <c r="X1649" s="7"/>
      <c r="Y1649" s="7"/>
      <c r="Z1649" s="7"/>
      <c r="AA1649" s="7"/>
    </row>
    <row r="1650" spans="1:27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>
        <v>32648</v>
      </c>
      <c r="P1650" s="1">
        <f t="shared" si="79"/>
        <v>0.53276398777961731</v>
      </c>
      <c r="Q1650" s="25">
        <f t="shared" si="80"/>
        <v>0.13523974848794751</v>
      </c>
      <c r="R1650" s="24">
        <f t="shared" si="81"/>
        <v>-1.0761934872149936</v>
      </c>
      <c r="S1650" s="20"/>
      <c r="T1650" s="7"/>
      <c r="U1650" s="7"/>
      <c r="V1650" s="7"/>
      <c r="W1650" s="7"/>
      <c r="X1650" s="7"/>
      <c r="Y1650" s="7"/>
      <c r="Z1650" s="7"/>
      <c r="AA1650" s="7"/>
    </row>
    <row r="1651" spans="1:27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>
        <v>32649</v>
      </c>
      <c r="P1651" s="1">
        <f t="shared" si="79"/>
        <v>0.5328991711139679</v>
      </c>
      <c r="Q1651" s="25">
        <f t="shared" si="80"/>
        <v>0.13416020010481589</v>
      </c>
      <c r="R1651" s="24">
        <f t="shared" si="81"/>
        <v>-1.082722987710838</v>
      </c>
      <c r="S1651" s="20"/>
      <c r="T1651" s="7"/>
      <c r="U1651" s="7"/>
      <c r="V1651" s="7"/>
      <c r="W1651" s="7"/>
      <c r="X1651" s="7"/>
      <c r="Y1651" s="7"/>
      <c r="Z1651" s="7"/>
      <c r="AA1651" s="7"/>
    </row>
    <row r="1652" spans="1:27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>
        <v>32650</v>
      </c>
      <c r="P1652" s="1">
        <f t="shared" si="79"/>
        <v>0.53303268551826477</v>
      </c>
      <c r="Q1652" s="25">
        <f t="shared" si="80"/>
        <v>0.13307424887898378</v>
      </c>
      <c r="R1652" s="24">
        <f t="shared" si="81"/>
        <v>-1.0892826116659649</v>
      </c>
      <c r="S1652" s="20"/>
      <c r="T1652" s="7"/>
      <c r="U1652" s="7"/>
      <c r="V1652" s="7"/>
      <c r="W1652" s="7"/>
      <c r="X1652" s="7"/>
      <c r="Y1652" s="7"/>
      <c r="Z1652" s="7"/>
      <c r="AA1652" s="7"/>
    </row>
    <row r="1653" spans="1:27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>
        <v>32651</v>
      </c>
      <c r="P1653" s="1">
        <f t="shared" si="79"/>
        <v>0.53316512703895569</v>
      </c>
      <c r="Q1653" s="25">
        <f t="shared" si="80"/>
        <v>0.13198166197980754</v>
      </c>
      <c r="R1653" s="24">
        <f t="shared" si="81"/>
        <v>-1.0958724336873615</v>
      </c>
      <c r="S1653" s="20"/>
      <c r="T1653" s="7"/>
      <c r="U1653" s="7"/>
      <c r="V1653" s="7"/>
      <c r="W1653" s="7"/>
      <c r="X1653" s="7"/>
      <c r="Y1653" s="7"/>
      <c r="Z1653" s="7"/>
      <c r="AA1653" s="7"/>
    </row>
    <row r="1654" spans="1:27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>
        <v>32652</v>
      </c>
      <c r="P1654" s="1">
        <f t="shared" si="79"/>
        <v>0.53329649567604065</v>
      </c>
      <c r="Q1654" s="25">
        <f t="shared" si="80"/>
        <v>0.13088246851111762</v>
      </c>
      <c r="R1654" s="24">
        <f t="shared" si="81"/>
        <v>-1.1024925461455837</v>
      </c>
      <c r="S1654" s="20"/>
      <c r="T1654" s="7"/>
      <c r="U1654" s="7"/>
      <c r="V1654" s="7"/>
      <c r="W1654" s="7"/>
      <c r="X1654" s="7"/>
      <c r="Y1654" s="7"/>
      <c r="Z1654" s="7"/>
      <c r="AA1654" s="7"/>
    </row>
    <row r="1655" spans="1:27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>
        <v>32653</v>
      </c>
      <c r="P1655" s="1">
        <f t="shared" si="79"/>
        <v>0.5334266722202301</v>
      </c>
      <c r="Q1655" s="25">
        <f t="shared" si="80"/>
        <v>0.12977666847291403</v>
      </c>
      <c r="R1655" s="24">
        <f t="shared" si="81"/>
        <v>-1.1091430272003322</v>
      </c>
      <c r="S1655" s="20"/>
      <c r="T1655" s="7"/>
      <c r="U1655" s="7"/>
      <c r="V1655" s="7"/>
      <c r="W1655" s="7"/>
      <c r="X1655" s="7"/>
      <c r="Y1655" s="7"/>
      <c r="Z1655" s="7"/>
      <c r="AA1655" s="7"/>
    </row>
    <row r="1656" spans="1:27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>
        <v>32654</v>
      </c>
      <c r="P1656" s="1">
        <f t="shared" si="79"/>
        <v>0.5335562527179718</v>
      </c>
      <c r="Q1656" s="25">
        <f t="shared" si="80"/>
        <v>0.12866423276136629</v>
      </c>
      <c r="R1656" s="24">
        <f t="shared" si="81"/>
        <v>-1.1158239727748764</v>
      </c>
      <c r="S1656" s="20"/>
      <c r="T1656" s="7"/>
      <c r="U1656" s="7"/>
      <c r="V1656" s="7"/>
      <c r="W1656" s="7"/>
      <c r="X1656" s="7"/>
      <c r="Y1656" s="7"/>
      <c r="Z1656" s="7"/>
      <c r="AA1656" s="7"/>
    </row>
    <row r="1657" spans="1:27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>
        <v>32655</v>
      </c>
      <c r="P1657" s="1">
        <f t="shared" si="79"/>
        <v>0.53368404507637024</v>
      </c>
      <c r="Q1657" s="25">
        <f t="shared" si="80"/>
        <v>0.12754507406498305</v>
      </c>
      <c r="R1657" s="24">
        <f t="shared" si="81"/>
        <v>-1.1225354663579878</v>
      </c>
      <c r="S1657" s="20"/>
      <c r="T1657" s="7"/>
      <c r="U1657" s="7"/>
      <c r="V1657" s="7"/>
      <c r="W1657" s="7"/>
      <c r="X1657" s="7"/>
      <c r="Y1657" s="7"/>
      <c r="Z1657" s="7"/>
      <c r="AA1657" s="7"/>
    </row>
    <row r="1658" spans="1:27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>
        <v>32656</v>
      </c>
      <c r="P1658" s="1">
        <f t="shared" si="79"/>
        <v>0.53381112217903137</v>
      </c>
      <c r="Q1658" s="25">
        <f t="shared" si="80"/>
        <v>0.12641907596844248</v>
      </c>
      <c r="R1658" s="24">
        <f t="shared" si="81"/>
        <v>-1.129277589662081</v>
      </c>
      <c r="S1658" s="20"/>
      <c r="T1658" s="7"/>
      <c r="U1658" s="7"/>
      <c r="V1658" s="7"/>
      <c r="W1658" s="7"/>
      <c r="X1658" s="7"/>
      <c r="Y1658" s="7"/>
      <c r="Z1658" s="7"/>
      <c r="AA1658" s="7"/>
    </row>
    <row r="1659" spans="1:27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>
        <v>32657</v>
      </c>
      <c r="P1659" s="1">
        <f t="shared" si="79"/>
        <v>0.53393688797950745</v>
      </c>
      <c r="Q1659" s="25">
        <f t="shared" si="80"/>
        <v>0.12528641309472732</v>
      </c>
      <c r="R1659" s="24">
        <f t="shared" si="81"/>
        <v>-1.136050431504998</v>
      </c>
      <c r="S1659" s="20"/>
      <c r="T1659" s="7"/>
      <c r="U1659" s="7"/>
      <c r="V1659" s="7"/>
      <c r="W1659" s="7"/>
      <c r="X1659" s="7"/>
      <c r="Y1659" s="7"/>
      <c r="Z1659" s="7"/>
      <c r="AA1659" s="7"/>
    </row>
    <row r="1660" spans="1:27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>
        <v>32658</v>
      </c>
      <c r="P1660" s="1">
        <f t="shared" si="79"/>
        <v>0.53406181931495667</v>
      </c>
      <c r="Q1660" s="25">
        <f t="shared" si="80"/>
        <v>0.12414696902851574</v>
      </c>
      <c r="R1660" s="24">
        <f t="shared" si="81"/>
        <v>-1.1428540753755101</v>
      </c>
      <c r="S1660" s="20"/>
      <c r="T1660" s="7"/>
      <c r="U1660" s="7"/>
      <c r="V1660" s="7"/>
      <c r="W1660" s="7"/>
      <c r="X1660" s="7"/>
      <c r="Y1660" s="7"/>
      <c r="Z1660" s="7"/>
      <c r="AA1660" s="7"/>
    </row>
    <row r="1661" spans="1:27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>
        <v>32659</v>
      </c>
      <c r="P1661" s="1">
        <f t="shared" si="79"/>
        <v>0.53418508172035217</v>
      </c>
      <c r="Q1661" s="25">
        <f t="shared" si="80"/>
        <v>0.1230007728736382</v>
      </c>
      <c r="R1661" s="24">
        <f t="shared" si="81"/>
        <v>-1.1496886136441731</v>
      </c>
      <c r="S1661" s="20"/>
      <c r="T1661" s="7"/>
      <c r="U1661" s="7"/>
      <c r="V1661" s="7"/>
      <c r="W1661" s="7"/>
      <c r="X1661" s="7"/>
      <c r="Y1661" s="7"/>
      <c r="Z1661" s="7"/>
      <c r="AA1661" s="7"/>
    </row>
    <row r="1662" spans="1:27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>
        <v>32660</v>
      </c>
      <c r="P1662" s="1">
        <f t="shared" si="79"/>
        <v>0.53430798649787903</v>
      </c>
      <c r="Q1662" s="25">
        <f t="shared" si="80"/>
        <v>0.12184762090328149</v>
      </c>
      <c r="R1662" s="24">
        <f t="shared" si="81"/>
        <v>-1.156554122694331</v>
      </c>
      <c r="S1662" s="20"/>
      <c r="T1662" s="7"/>
      <c r="U1662" s="7"/>
      <c r="V1662" s="7"/>
      <c r="W1662" s="7"/>
      <c r="X1662" s="7"/>
      <c r="Y1662" s="7"/>
      <c r="Z1662" s="7"/>
      <c r="AA1662" s="7"/>
    </row>
    <row r="1663" spans="1:27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>
        <v>32661</v>
      </c>
      <c r="P1663" s="1">
        <f t="shared" si="79"/>
        <v>0.53442910313606262</v>
      </c>
      <c r="Q1663" s="25">
        <f t="shared" si="80"/>
        <v>0.120687600428937</v>
      </c>
      <c r="R1663" s="24">
        <f t="shared" si="81"/>
        <v>-1.1634506966728964</v>
      </c>
      <c r="S1663" s="20"/>
      <c r="T1663" s="7"/>
      <c r="U1663" s="7"/>
      <c r="V1663" s="7"/>
      <c r="W1663" s="7"/>
      <c r="X1663" s="7"/>
      <c r="Y1663" s="7"/>
      <c r="Z1663" s="7"/>
      <c r="AA1663" s="7"/>
    </row>
    <row r="1664" spans="1:27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>
        <v>32662</v>
      </c>
      <c r="P1664" s="1">
        <f t="shared" si="79"/>
        <v>0.53454962372779846</v>
      </c>
      <c r="Q1664" s="25">
        <f t="shared" si="80"/>
        <v>0.11952068234677427</v>
      </c>
      <c r="R1664" s="24">
        <f t="shared" si="81"/>
        <v>-1.1703784190686406</v>
      </c>
      <c r="S1664" s="20"/>
      <c r="T1664" s="7"/>
      <c r="U1664" s="7"/>
      <c r="V1664" s="7"/>
      <c r="W1664" s="7"/>
      <c r="X1664" s="7"/>
      <c r="Y1664" s="7"/>
      <c r="Z1664" s="7"/>
      <c r="AA1664" s="7"/>
    </row>
    <row r="1665" spans="1:27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>
        <v>32663</v>
      </c>
      <c r="P1665" s="1">
        <f t="shared" si="79"/>
        <v>0.53466787934303284</v>
      </c>
      <c r="Q1665" s="25">
        <f t="shared" si="80"/>
        <v>0.11834683755296282</v>
      </c>
      <c r="R1665" s="24">
        <f t="shared" si="81"/>
        <v>-1.1773373769230489</v>
      </c>
      <c r="S1665" s="20"/>
      <c r="T1665" s="7"/>
      <c r="U1665" s="7"/>
      <c r="V1665" s="7"/>
      <c r="W1665" s="7"/>
      <c r="X1665" s="7"/>
      <c r="Y1665" s="7"/>
      <c r="Z1665" s="7"/>
      <c r="AA1665" s="7"/>
    </row>
    <row r="1666" spans="1:27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>
        <v>32664</v>
      </c>
      <c r="P1666" s="1">
        <f t="shared" si="79"/>
        <v>0.53478613495826721</v>
      </c>
      <c r="Q1666" s="25">
        <f t="shared" si="80"/>
        <v>0.11716600783984177</v>
      </c>
      <c r="R1666" s="24">
        <f t="shared" si="81"/>
        <v>-1.1843276537248926</v>
      </c>
      <c r="S1666" s="20"/>
      <c r="T1666" s="7"/>
      <c r="U1666" s="7"/>
      <c r="V1666" s="7"/>
      <c r="W1666" s="7"/>
      <c r="X1666" s="7"/>
      <c r="Y1666" s="7"/>
      <c r="Z1666" s="7"/>
      <c r="AA1666" s="7"/>
    </row>
    <row r="1667" spans="1:27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>
        <v>32665</v>
      </c>
      <c r="P1667" s="1">
        <f t="shared" si="79"/>
        <v>0.53490188717842102</v>
      </c>
      <c r="Q1667" s="25">
        <f t="shared" si="80"/>
        <v>0.1159781932074111</v>
      </c>
      <c r="R1667" s="24">
        <f t="shared" si="81"/>
        <v>-1.1913493453974411</v>
      </c>
      <c r="S1667" s="20"/>
      <c r="T1667" s="7"/>
      <c r="U1667" s="7"/>
      <c r="V1667" s="7"/>
      <c r="W1667" s="7"/>
      <c r="X1667" s="7"/>
      <c r="Y1667" s="7"/>
      <c r="Z1667" s="7"/>
      <c r="AA1667" s="7"/>
    </row>
    <row r="1668" spans="1:27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>
        <v>32666</v>
      </c>
      <c r="P1668" s="1">
        <f t="shared" si="79"/>
        <v>0.53501752018928528</v>
      </c>
      <c r="Q1668" s="25">
        <f t="shared" si="80"/>
        <v>0.11478336455184035</v>
      </c>
      <c r="R1668" s="24">
        <f t="shared" si="81"/>
        <v>-1.1984025265476816</v>
      </c>
      <c r="S1668" s="20"/>
      <c r="T1668" s="7"/>
      <c r="U1668" s="7"/>
      <c r="V1668" s="7"/>
      <c r="W1668" s="7"/>
      <c r="X1668" s="7"/>
      <c r="Y1668" s="7"/>
      <c r="Z1668" s="7"/>
      <c r="AA1668" s="7"/>
    </row>
    <row r="1669" spans="1:27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>
        <v>32667</v>
      </c>
      <c r="P1669" s="1">
        <f t="shared" si="79"/>
        <v>0.53513219952583313</v>
      </c>
      <c r="Q1669" s="25">
        <f t="shared" si="80"/>
        <v>0.1135814054578077</v>
      </c>
      <c r="R1669" s="24">
        <f t="shared" si="81"/>
        <v>-1.2054872930988836</v>
      </c>
      <c r="S1669" s="20"/>
      <c r="T1669" s="7"/>
      <c r="U1669" s="7"/>
      <c r="V1669" s="7"/>
      <c r="W1669" s="7"/>
      <c r="X1669" s="7"/>
      <c r="Y1669" s="7"/>
      <c r="Z1669" s="7"/>
      <c r="AA1669" s="7"/>
    </row>
    <row r="1670" spans="1:27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>
        <v>32668</v>
      </c>
      <c r="P1670" s="1">
        <f t="shared" si="79"/>
        <v>0.53524509072303772</v>
      </c>
      <c r="Q1670" s="25">
        <f t="shared" si="80"/>
        <v>0.11237231592531316</v>
      </c>
      <c r="R1670" s="24">
        <f t="shared" si="81"/>
        <v>-1.212603732092532</v>
      </c>
      <c r="S1670" s="20"/>
      <c r="T1670" s="7"/>
      <c r="U1670" s="7"/>
      <c r="V1670" s="7"/>
      <c r="W1670" s="7"/>
      <c r="X1670" s="7"/>
      <c r="Y1670" s="7"/>
      <c r="Z1670" s="7"/>
      <c r="AA1670" s="7"/>
    </row>
    <row r="1671" spans="1:27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>
        <v>32669</v>
      </c>
      <c r="P1671" s="1">
        <f t="shared" si="79"/>
        <v>0.53535690903663635</v>
      </c>
      <c r="Q1671" s="25">
        <f t="shared" si="80"/>
        <v>0.11115615416201763</v>
      </c>
      <c r="R1671" s="24">
        <f t="shared" si="81"/>
        <v>-1.2197519287937553</v>
      </c>
      <c r="S1671" s="20"/>
      <c r="T1671" s="7"/>
      <c r="U1671" s="7"/>
      <c r="V1671" s="7"/>
      <c r="W1671" s="7"/>
      <c r="X1671" s="7"/>
      <c r="Y1671" s="7"/>
      <c r="Z1671" s="7"/>
      <c r="AA1671" s="7"/>
    </row>
    <row r="1672" spans="1:27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>
        <v>32670</v>
      </c>
      <c r="P1672" s="1">
        <f t="shared" si="79"/>
        <v>0.53546753525733948</v>
      </c>
      <c r="Q1672" s="25">
        <f t="shared" si="80"/>
        <v>0.10993283285642974</v>
      </c>
      <c r="R1672" s="24">
        <f t="shared" si="81"/>
        <v>-1.2269319649149679</v>
      </c>
      <c r="S1672" s="20"/>
      <c r="T1672" s="7"/>
      <c r="U1672" s="7"/>
      <c r="V1672" s="7"/>
      <c r="W1672" s="7"/>
      <c r="X1672" s="7"/>
      <c r="Y1672" s="7"/>
      <c r="Z1672" s="7"/>
      <c r="AA1672" s="7"/>
    </row>
    <row r="1673" spans="1:27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>
        <v>32671</v>
      </c>
      <c r="P1673" s="1">
        <f t="shared" si="79"/>
        <v>0.53557685017585754</v>
      </c>
      <c r="Q1673" s="25">
        <f t="shared" si="80"/>
        <v>0.10870232290471904</v>
      </c>
      <c r="R1673" s="24">
        <f t="shared" si="81"/>
        <v>-1.2341439328267256</v>
      </c>
      <c r="S1673" s="20"/>
      <c r="T1673" s="7"/>
      <c r="U1673" s="7"/>
      <c r="V1673" s="7"/>
      <c r="W1673" s="7"/>
      <c r="X1673" s="7"/>
      <c r="Y1673" s="7"/>
      <c r="Z1673" s="7"/>
      <c r="AA1673" s="7"/>
    </row>
    <row r="1674" spans="1:27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>
        <v>32672</v>
      </c>
      <c r="P1674" s="1">
        <f t="shared" ref="P1674:P1737" si="82" xml:space="preserve"> -1.4681315616E-19*$O1674^6 + 2.80493263066289E-14*$O1674^5 - 2.23271907955907E-09*$O1674^4 + 0.0000947783879077569*$O1674^3 - 2.26293121558813*$O1674^2 + 28813.4861268598*$O1674 - 152852350.445896</f>
        <v>0.53568413853645325</v>
      </c>
      <c r="Q1674" s="25">
        <f t="shared" ref="Q1674:Q1737" si="83" xml:space="preserve"> (6*-1.4681315616E-19*$O1674^5 + 5*2.80493263066289E-14*$O1674^4 - 4*2.23271907955907E-09*$O1674^3 + 3*0.0000947783879077569*$O1674^2 - 2*2.26293121558813*$O1674^1 + 28813.4861268598)*1000</f>
        <v>0.1074645078915637</v>
      </c>
      <c r="R1674" s="24">
        <f t="shared" ref="R1674:R1737" si="84" xml:space="preserve"> (5*6*-1.4681315616E-19*$O1674^4 + 4*5*2.80493263066289E-14*$O1674^3 - 3*4*2.23271907955907E-09*$O1674^2 + 2*3*0.0000947783879077569*$O1674^1 - 2*2.26293121558813)*1000*1000</f>
        <v>-1.2413879195705135</v>
      </c>
      <c r="S1674" s="20"/>
      <c r="T1674" s="7"/>
      <c r="U1674" s="7"/>
      <c r="V1674" s="7"/>
      <c r="W1674" s="7"/>
      <c r="X1674" s="7"/>
      <c r="Y1674" s="7"/>
      <c r="Z1674" s="7"/>
      <c r="AA1674" s="7"/>
    </row>
    <row r="1675" spans="1:27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>
        <v>32673</v>
      </c>
      <c r="P1675" s="1">
        <f t="shared" si="82"/>
        <v>0.53579142689704895</v>
      </c>
      <c r="Q1675" s="25">
        <f t="shared" si="83"/>
        <v>0.106219533336116</v>
      </c>
      <c r="R1675" s="24">
        <f t="shared" si="84"/>
        <v>-1.2486640192932441</v>
      </c>
      <c r="S1675" s="20"/>
      <c r="T1675" s="7"/>
      <c r="U1675" s="7"/>
      <c r="V1675" s="7"/>
      <c r="W1675" s="7"/>
      <c r="X1675" s="7"/>
      <c r="Y1675" s="7"/>
      <c r="Z1675" s="7"/>
      <c r="AA1675" s="7"/>
    </row>
    <row r="1676" spans="1:27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>
        <v>32674</v>
      </c>
      <c r="P1676" s="1">
        <f t="shared" si="82"/>
        <v>0.53589692711830139</v>
      </c>
      <c r="Q1676" s="25">
        <f t="shared" si="83"/>
        <v>0.10496719551156275</v>
      </c>
      <c r="R1676" s="24">
        <f t="shared" si="84"/>
        <v>-1.2559723101546183</v>
      </c>
      <c r="S1676" s="20"/>
      <c r="T1676" s="7"/>
      <c r="U1676" s="7"/>
      <c r="V1676" s="7"/>
      <c r="W1676" s="7"/>
      <c r="X1676" s="7"/>
      <c r="Y1676" s="7"/>
      <c r="Z1676" s="7"/>
      <c r="AA1676" s="7"/>
    </row>
    <row r="1677" spans="1:27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>
        <v>32675</v>
      </c>
      <c r="P1677" s="1">
        <f t="shared" si="82"/>
        <v>0.53600111603736877</v>
      </c>
      <c r="Q1677" s="25">
        <f t="shared" si="83"/>
        <v>0.1037075235217344</v>
      </c>
      <c r="R1677" s="24">
        <f t="shared" si="84"/>
        <v>-1.2633128845251917</v>
      </c>
      <c r="S1677" s="20"/>
      <c r="T1677" s="7"/>
      <c r="U1677" s="7"/>
      <c r="V1677" s="7"/>
      <c r="W1677" s="7"/>
      <c r="X1677" s="7"/>
      <c r="Y1677" s="7"/>
      <c r="Z1677" s="7"/>
      <c r="AA1677" s="7"/>
    </row>
    <row r="1678" spans="1:27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>
        <v>32676</v>
      </c>
      <c r="P1678" s="1">
        <f t="shared" si="82"/>
        <v>0.53610482811927795</v>
      </c>
      <c r="Q1678" s="25">
        <f t="shared" si="83"/>
        <v>0.10244057557429187</v>
      </c>
      <c r="R1678" s="24">
        <f t="shared" si="84"/>
        <v>-1.2706858276700927</v>
      </c>
      <c r="S1678" s="20"/>
      <c r="T1678" s="7"/>
      <c r="U1678" s="7"/>
      <c r="V1678" s="7"/>
      <c r="W1678" s="7"/>
      <c r="X1678" s="7"/>
      <c r="Y1678" s="7"/>
      <c r="Z1678" s="7"/>
      <c r="AA1678" s="7"/>
    </row>
    <row r="1679" spans="1:27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>
        <v>32677</v>
      </c>
      <c r="P1679" s="1">
        <f t="shared" si="82"/>
        <v>0.53620603680610657</v>
      </c>
      <c r="Q1679" s="25">
        <f t="shared" si="83"/>
        <v>0.10116614794242196</v>
      </c>
      <c r="R1679" s="24">
        <f t="shared" si="84"/>
        <v>-1.2780912355125906</v>
      </c>
      <c r="S1679" s="20"/>
      <c r="T1679" s="7"/>
      <c r="U1679" s="7"/>
      <c r="V1679" s="7"/>
      <c r="W1679" s="7"/>
      <c r="X1679" s="7"/>
      <c r="Y1679" s="7"/>
      <c r="Z1679" s="7"/>
      <c r="AA1679" s="7"/>
    </row>
    <row r="1680" spans="1:27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>
        <v>32678</v>
      </c>
      <c r="P1680" s="1">
        <f t="shared" si="82"/>
        <v>0.53630664944648743</v>
      </c>
      <c r="Q1680" s="25">
        <f t="shared" si="83"/>
        <v>9.9884357041446492E-2</v>
      </c>
      <c r="R1680" s="24">
        <f t="shared" si="84"/>
        <v>-1.2855291826596726</v>
      </c>
      <c r="S1680" s="20"/>
      <c r="T1680" s="7"/>
      <c r="U1680" s="7"/>
      <c r="V1680" s="7"/>
      <c r="W1680" s="7"/>
      <c r="X1680" s="7"/>
      <c r="Y1680" s="7"/>
      <c r="Z1680" s="7"/>
      <c r="AA1680" s="7"/>
    </row>
    <row r="1681" spans="1:27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>
        <v>32679</v>
      </c>
      <c r="P1681" s="1">
        <f t="shared" si="82"/>
        <v>0.53640583157539368</v>
      </c>
      <c r="Q1681" s="25">
        <f t="shared" si="83"/>
        <v>9.8595086456043646E-2</v>
      </c>
      <c r="R1681" s="24">
        <f t="shared" si="84"/>
        <v>-1.2929997721400355</v>
      </c>
      <c r="S1681" s="20"/>
      <c r="T1681" s="7"/>
      <c r="U1681" s="7"/>
      <c r="V1681" s="7"/>
      <c r="W1681" s="7"/>
      <c r="X1681" s="7"/>
      <c r="Y1681" s="7"/>
      <c r="Z1681" s="7"/>
      <c r="AA1681" s="7"/>
    </row>
    <row r="1682" spans="1:27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>
        <v>32680</v>
      </c>
      <c r="P1682" s="1">
        <f t="shared" si="82"/>
        <v>0.53650417923927307</v>
      </c>
      <c r="Q1682" s="25">
        <f t="shared" si="83"/>
        <v>9.7298336186213419E-2</v>
      </c>
      <c r="R1682" s="24">
        <f t="shared" si="84"/>
        <v>-1.3005030767843095</v>
      </c>
      <c r="S1682" s="20"/>
      <c r="T1682" s="7"/>
      <c r="U1682" s="7"/>
      <c r="V1682" s="7"/>
      <c r="W1682" s="7"/>
      <c r="X1682" s="7"/>
      <c r="Y1682" s="7"/>
      <c r="Z1682" s="7"/>
      <c r="AA1682" s="7"/>
    </row>
    <row r="1683" spans="1:27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>
        <v>32681</v>
      </c>
      <c r="P1683" s="1">
        <f t="shared" si="82"/>
        <v>0.5366007387638092</v>
      </c>
      <c r="Q1683" s="25">
        <f t="shared" si="83"/>
        <v>9.5994018920464441E-2</v>
      </c>
      <c r="R1683" s="24">
        <f t="shared" si="84"/>
        <v>-1.3080391978448347</v>
      </c>
      <c r="S1683" s="20"/>
      <c r="T1683" s="7"/>
      <c r="U1683" s="7"/>
      <c r="V1683" s="7"/>
      <c r="W1683" s="7"/>
      <c r="X1683" s="7"/>
      <c r="Y1683" s="7"/>
      <c r="Z1683" s="7"/>
      <c r="AA1683" s="7"/>
    </row>
    <row r="1684" spans="1:27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>
        <v>32682</v>
      </c>
      <c r="P1684" s="1">
        <f t="shared" si="82"/>
        <v>0.53669562935829163</v>
      </c>
      <c r="Q1684" s="25">
        <f t="shared" si="83"/>
        <v>9.468225107411854E-2</v>
      </c>
      <c r="R1684" s="24">
        <f t="shared" si="84"/>
        <v>-1.3156082188103824</v>
      </c>
      <c r="S1684" s="20"/>
      <c r="T1684" s="7"/>
      <c r="U1684" s="7"/>
      <c r="V1684" s="7"/>
      <c r="W1684" s="7"/>
      <c r="X1684" s="7"/>
      <c r="Y1684" s="7"/>
      <c r="Z1684" s="7"/>
      <c r="AA1684" s="7"/>
    </row>
    <row r="1685" spans="1:27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>
        <v>32683</v>
      </c>
      <c r="P1685" s="1">
        <f t="shared" si="82"/>
        <v>0.5367904007434845</v>
      </c>
      <c r="Q1685" s="25">
        <f t="shared" si="83"/>
        <v>9.3362799816532061E-2</v>
      </c>
      <c r="R1685" s="24">
        <f t="shared" si="84"/>
        <v>-1.3232102320515082</v>
      </c>
      <c r="S1685" s="20"/>
      <c r="T1685" s="7"/>
      <c r="U1685" s="7"/>
      <c r="V1685" s="7"/>
      <c r="W1685" s="7"/>
      <c r="X1685" s="7"/>
      <c r="Y1685" s="7"/>
      <c r="Z1685" s="7"/>
      <c r="AA1685" s="7"/>
    </row>
    <row r="1686" spans="1:27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>
        <v>32684</v>
      </c>
      <c r="P1686" s="1">
        <f t="shared" si="82"/>
        <v>0.5368824303150177</v>
      </c>
      <c r="Q1686" s="25">
        <f t="shared" si="83"/>
        <v>9.2035810666857287E-2</v>
      </c>
      <c r="R1686" s="24">
        <f t="shared" si="84"/>
        <v>-1.3308453192806269</v>
      </c>
      <c r="S1686" s="20"/>
      <c r="T1686" s="7"/>
      <c r="U1686" s="7"/>
      <c r="V1686" s="7"/>
      <c r="W1686" s="7"/>
      <c r="X1686" s="7"/>
      <c r="Y1686" s="7"/>
      <c r="Z1686" s="7"/>
      <c r="AA1686" s="7"/>
    </row>
    <row r="1687" spans="1:27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>
        <v>32685</v>
      </c>
      <c r="P1687" s="1">
        <f t="shared" si="82"/>
        <v>0.5369744598865509</v>
      </c>
      <c r="Q1687" s="25">
        <f t="shared" si="83"/>
        <v>9.0701079898281023E-2</v>
      </c>
      <c r="R1687" s="24">
        <f t="shared" si="84"/>
        <v>-1.338513572868294</v>
      </c>
      <c r="S1687" s="20"/>
      <c r="T1687" s="7"/>
      <c r="U1687" s="7"/>
      <c r="V1687" s="7"/>
      <c r="W1687" s="7"/>
      <c r="X1687" s="7"/>
      <c r="Y1687" s="7"/>
      <c r="Z1687" s="7"/>
      <c r="AA1687" s="7"/>
    </row>
    <row r="1688" spans="1:27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>
        <v>32686</v>
      </c>
      <c r="P1688" s="1">
        <f t="shared" si="82"/>
        <v>0.53706398606300354</v>
      </c>
      <c r="Q1688" s="25">
        <f t="shared" si="83"/>
        <v>8.9358782133786008E-2</v>
      </c>
      <c r="R1688" s="24">
        <f t="shared" si="84"/>
        <v>-1.346215086961422</v>
      </c>
      <c r="S1688" s="20"/>
      <c r="T1688" s="7"/>
      <c r="U1688" s="7"/>
      <c r="V1688" s="7"/>
      <c r="W1688" s="7"/>
      <c r="X1688" s="7"/>
      <c r="Y1688" s="7"/>
      <c r="Z1688" s="7"/>
      <c r="AA1688" s="7"/>
    </row>
    <row r="1689" spans="1:27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>
        <v>32687</v>
      </c>
      <c r="P1689" s="1">
        <f t="shared" si="82"/>
        <v>0.53715291619300842</v>
      </c>
      <c r="Q1689" s="25">
        <f t="shared" si="83"/>
        <v>8.8008684542728588E-2</v>
      </c>
      <c r="R1689" s="24">
        <f t="shared" si="84"/>
        <v>-1.3539499468251392</v>
      </c>
      <c r="S1689" s="20"/>
      <c r="T1689" s="7"/>
      <c r="U1689" s="7"/>
      <c r="V1689" s="7"/>
      <c r="W1689" s="7"/>
      <c r="X1689" s="7"/>
      <c r="Y1689" s="7"/>
      <c r="Z1689" s="7"/>
      <c r="AA1689" s="7"/>
    </row>
    <row r="1690" spans="1:27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>
        <v>32688</v>
      </c>
      <c r="P1690" s="1">
        <f t="shared" si="82"/>
        <v>0.5372404158115387</v>
      </c>
      <c r="Q1690" s="25">
        <f t="shared" si="83"/>
        <v>8.6650845332769677E-2</v>
      </c>
      <c r="R1690" s="24">
        <f t="shared" si="84"/>
        <v>-1.3617182359482172</v>
      </c>
      <c r="S1690" s="20"/>
      <c r="T1690" s="7"/>
      <c r="U1690" s="7"/>
      <c r="V1690" s="7"/>
      <c r="W1690" s="7"/>
      <c r="X1690" s="7"/>
      <c r="Y1690" s="7"/>
      <c r="Z1690" s="7"/>
      <c r="AA1690" s="7"/>
    </row>
    <row r="1691" spans="1:27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>
        <v>32689</v>
      </c>
      <c r="P1691" s="1">
        <f t="shared" si="82"/>
        <v>0.5373256504535675</v>
      </c>
      <c r="Q1691" s="25">
        <f t="shared" si="83"/>
        <v>8.5285235400078818E-2</v>
      </c>
      <c r="R1691" s="24">
        <f t="shared" si="84"/>
        <v>-1.3695200449248546</v>
      </c>
      <c r="S1691" s="20"/>
      <c r="T1691" s="7"/>
      <c r="U1691" s="7"/>
      <c r="V1691" s="7"/>
      <c r="W1691" s="7"/>
      <c r="X1691" s="7"/>
      <c r="Y1691" s="7"/>
      <c r="Z1691" s="7"/>
      <c r="AA1691" s="7"/>
    </row>
    <row r="1692" spans="1:27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>
        <v>32690</v>
      </c>
      <c r="P1692" s="1">
        <f t="shared" si="82"/>
        <v>0.53741052746772766</v>
      </c>
      <c r="Q1692" s="25">
        <f t="shared" si="83"/>
        <v>8.3911796536995098E-2</v>
      </c>
      <c r="R1692" s="24">
        <f t="shared" si="84"/>
        <v>-1.3773554696783208</v>
      </c>
      <c r="S1692" s="20"/>
      <c r="T1692" s="7"/>
      <c r="U1692" s="7"/>
      <c r="V1692" s="7"/>
      <c r="W1692" s="7"/>
      <c r="X1692" s="7"/>
      <c r="Y1692" s="7"/>
      <c r="Z1692" s="7"/>
      <c r="AA1692" s="7"/>
    </row>
    <row r="1693" spans="1:27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>
        <v>32691</v>
      </c>
      <c r="P1693" s="1">
        <f t="shared" si="82"/>
        <v>0.537493497133255</v>
      </c>
      <c r="Q1693" s="25">
        <f t="shared" si="83"/>
        <v>8.2530528743518516E-2</v>
      </c>
      <c r="R1693" s="24">
        <f t="shared" si="84"/>
        <v>-1.3852246025791715</v>
      </c>
      <c r="S1693" s="20"/>
      <c r="T1693" s="7"/>
      <c r="U1693" s="7"/>
      <c r="V1693" s="7"/>
      <c r="W1693" s="7"/>
      <c r="X1693" s="7"/>
      <c r="Y1693" s="7"/>
      <c r="Z1693" s="7"/>
      <c r="AA1693" s="7"/>
    </row>
    <row r="1694" spans="1:27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>
        <v>32692</v>
      </c>
      <c r="P1694" s="1">
        <f t="shared" si="82"/>
        <v>0.5375763475894928</v>
      </c>
      <c r="Q1694" s="25">
        <f t="shared" si="83"/>
        <v>8.1141315604327247E-2</v>
      </c>
      <c r="R1694" s="24">
        <f t="shared" si="84"/>
        <v>-1.3931275253398212</v>
      </c>
      <c r="S1694" s="20"/>
      <c r="T1694" s="7"/>
      <c r="U1694" s="7"/>
      <c r="V1694" s="7"/>
      <c r="W1694" s="7"/>
      <c r="X1694" s="7"/>
      <c r="Y1694" s="7"/>
      <c r="Z1694" s="7"/>
      <c r="AA1694" s="7"/>
    </row>
    <row r="1695" spans="1:27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>
        <v>32693</v>
      </c>
      <c r="P1695" s="1">
        <f t="shared" si="82"/>
        <v>0.53765597939491272</v>
      </c>
      <c r="Q1695" s="25">
        <f t="shared" si="83"/>
        <v>7.9744244430912659E-2</v>
      </c>
      <c r="R1695" s="24">
        <f t="shared" si="84"/>
        <v>-1.4010643303308257</v>
      </c>
      <c r="S1695" s="20"/>
      <c r="T1695" s="7"/>
      <c r="U1695" s="7"/>
      <c r="V1695" s="7"/>
      <c r="W1695" s="7"/>
      <c r="X1695" s="7"/>
      <c r="Y1695" s="7"/>
      <c r="Z1695" s="7"/>
      <c r="AA1695" s="7"/>
    </row>
    <row r="1696" spans="1:27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>
        <v>32694</v>
      </c>
      <c r="P1696" s="1">
        <f t="shared" si="82"/>
        <v>0.53773513436317444</v>
      </c>
      <c r="Q1696" s="25">
        <f t="shared" si="83"/>
        <v>7.8339198807952926E-2</v>
      </c>
      <c r="R1696" s="24">
        <f t="shared" si="84"/>
        <v>-1.4090351028173131</v>
      </c>
      <c r="S1696" s="20"/>
      <c r="T1696" s="7"/>
      <c r="U1696" s="7"/>
      <c r="V1696" s="7"/>
      <c r="W1696" s="7"/>
      <c r="X1696" s="7"/>
      <c r="Y1696" s="7"/>
      <c r="Z1696" s="7"/>
      <c r="AA1696" s="7"/>
    </row>
    <row r="1697" spans="1:27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>
        <v>32695</v>
      </c>
      <c r="P1697" s="1">
        <f t="shared" si="82"/>
        <v>0.537812739610672</v>
      </c>
      <c r="Q1697" s="25">
        <f t="shared" si="83"/>
        <v>7.6926178735448048E-2</v>
      </c>
      <c r="R1697" s="24">
        <f t="shared" si="84"/>
        <v>-1.4170399458279803</v>
      </c>
      <c r="S1697" s="20"/>
      <c r="T1697" s="7"/>
      <c r="U1697" s="7"/>
      <c r="V1697" s="7"/>
      <c r="W1697" s="7"/>
      <c r="X1697" s="7"/>
      <c r="Y1697" s="7"/>
      <c r="Z1697" s="7"/>
      <c r="AA1697" s="7"/>
    </row>
    <row r="1698" spans="1:27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>
        <v>32696</v>
      </c>
      <c r="P1698" s="1">
        <f t="shared" si="82"/>
        <v>0.5378887951374054</v>
      </c>
      <c r="Q1698" s="25">
        <f t="shared" si="83"/>
        <v>7.5505155109567568E-2</v>
      </c>
      <c r="R1698" s="24">
        <f t="shared" si="84"/>
        <v>-1.4250789339698144</v>
      </c>
      <c r="S1698" s="20"/>
      <c r="T1698" s="7"/>
      <c r="U1698" s="7"/>
      <c r="V1698" s="7"/>
      <c r="W1698" s="7"/>
      <c r="X1698" s="7"/>
      <c r="Y1698" s="7"/>
      <c r="Z1698" s="7"/>
      <c r="AA1698" s="7"/>
    </row>
    <row r="1699" spans="1:27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>
        <v>32697</v>
      </c>
      <c r="P1699" s="1">
        <f t="shared" si="82"/>
        <v>0.53796389698982239</v>
      </c>
      <c r="Q1699" s="25">
        <f t="shared" si="83"/>
        <v>7.4075953307328746E-2</v>
      </c>
      <c r="R1699" s="24">
        <f t="shared" si="84"/>
        <v>-1.4331521667187985</v>
      </c>
      <c r="S1699" s="20"/>
      <c r="T1699" s="7"/>
      <c r="U1699" s="7"/>
      <c r="V1699" s="7"/>
      <c r="W1699" s="7"/>
      <c r="X1699" s="7"/>
      <c r="Y1699" s="7"/>
      <c r="Z1699" s="7"/>
      <c r="AA1699" s="7"/>
    </row>
    <row r="1700" spans="1:27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>
        <v>32698</v>
      </c>
      <c r="P1700" s="1">
        <f t="shared" si="82"/>
        <v>0.53803721070289612</v>
      </c>
      <c r="Q1700" s="25">
        <f t="shared" si="83"/>
        <v>7.2638747951714322E-2</v>
      </c>
      <c r="R1700" s="24">
        <f t="shared" si="84"/>
        <v>-1.4412597311164177</v>
      </c>
      <c r="S1700" s="20"/>
      <c r="T1700" s="7"/>
      <c r="U1700" s="7"/>
      <c r="V1700" s="7"/>
      <c r="W1700" s="7"/>
      <c r="X1700" s="7"/>
      <c r="Y1700" s="7"/>
      <c r="Z1700" s="7"/>
      <c r="AA1700" s="7"/>
    </row>
    <row r="1701" spans="1:27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>
        <v>32699</v>
      </c>
      <c r="P1701" s="1">
        <f t="shared" si="82"/>
        <v>0.53810921311378479</v>
      </c>
      <c r="Q1701" s="25">
        <f t="shared" si="83"/>
        <v>7.119350993889384E-2</v>
      </c>
      <c r="R1701" s="24">
        <f t="shared" si="84"/>
        <v>-1.4494017142041571</v>
      </c>
      <c r="S1701" s="20"/>
      <c r="T1701" s="7"/>
      <c r="U1701" s="7"/>
      <c r="V1701" s="7"/>
      <c r="W1701" s="7"/>
      <c r="X1701" s="7"/>
      <c r="Y1701" s="7"/>
      <c r="Z1701" s="7"/>
      <c r="AA1701" s="7"/>
    </row>
    <row r="1702" spans="1:27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>
        <v>32700</v>
      </c>
      <c r="P1702" s="1">
        <f t="shared" si="82"/>
        <v>0.53817954659461975</v>
      </c>
      <c r="Q1702" s="25">
        <f t="shared" si="83"/>
        <v>6.9739977334393188E-2</v>
      </c>
      <c r="R1702" s="24">
        <f t="shared" si="84"/>
        <v>-1.4575782172343565</v>
      </c>
      <c r="S1702" s="20"/>
      <c r="T1702" s="7"/>
      <c r="U1702" s="7"/>
      <c r="V1702" s="7"/>
      <c r="W1702" s="7"/>
      <c r="X1702" s="7"/>
      <c r="Y1702" s="7"/>
      <c r="Z1702" s="7"/>
      <c r="AA1702" s="7"/>
    </row>
    <row r="1703" spans="1:27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>
        <v>32701</v>
      </c>
      <c r="P1703" s="1">
        <f t="shared" si="82"/>
        <v>0.53824880719184875</v>
      </c>
      <c r="Q1703" s="25">
        <f t="shared" si="83"/>
        <v>6.8278295657364652E-2</v>
      </c>
      <c r="R1703" s="24">
        <f t="shared" si="84"/>
        <v>-1.4657893201430738</v>
      </c>
      <c r="S1703" s="20"/>
      <c r="T1703" s="7"/>
      <c r="U1703" s="7"/>
      <c r="V1703" s="7"/>
      <c r="W1703" s="7"/>
      <c r="X1703" s="7"/>
      <c r="Y1703" s="7"/>
      <c r="Z1703" s="7"/>
      <c r="AA1703" s="7"/>
    </row>
    <row r="1704" spans="1:27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>
        <v>32702</v>
      </c>
      <c r="P1704" s="1">
        <f t="shared" si="82"/>
        <v>0.5383162796497345</v>
      </c>
      <c r="Q1704" s="25">
        <f t="shared" si="83"/>
        <v>6.6808435803977773E-2</v>
      </c>
      <c r="R1704" s="24">
        <f t="shared" si="84"/>
        <v>-1.4740351206299351</v>
      </c>
      <c r="S1704" s="20"/>
      <c r="T1704" s="7"/>
      <c r="U1704" s="7"/>
      <c r="V1704" s="7"/>
      <c r="W1704" s="7"/>
      <c r="X1704" s="7"/>
      <c r="Y1704" s="7"/>
      <c r="Z1704" s="7"/>
      <c r="AA1704" s="7"/>
    </row>
    <row r="1705" spans="1:27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>
        <v>32703</v>
      </c>
      <c r="P1705" s="1">
        <f t="shared" si="82"/>
        <v>0.53838208317756653</v>
      </c>
      <c r="Q1705" s="25">
        <f t="shared" si="83"/>
        <v>6.5330223151249811E-2</v>
      </c>
      <c r="R1705" s="24">
        <f t="shared" si="84"/>
        <v>-1.4823157039600687</v>
      </c>
      <c r="S1705" s="20"/>
      <c r="T1705" s="7"/>
      <c r="U1705" s="7"/>
      <c r="V1705" s="7"/>
      <c r="W1705" s="7"/>
      <c r="X1705" s="7"/>
      <c r="Y1705" s="7"/>
      <c r="Z1705" s="7"/>
      <c r="AA1705" s="7"/>
    </row>
    <row r="1706" spans="1:27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>
        <v>32704</v>
      </c>
      <c r="P1706" s="1">
        <f t="shared" si="82"/>
        <v>0.5384465754032135</v>
      </c>
      <c r="Q1706" s="25">
        <f t="shared" si="83"/>
        <v>6.3843832322163507E-2</v>
      </c>
      <c r="R1706" s="24">
        <f t="shared" si="84"/>
        <v>-1.4906311625040303</v>
      </c>
      <c r="S1706" s="20"/>
      <c r="T1706" s="7"/>
      <c r="U1706" s="7"/>
      <c r="V1706" s="7"/>
      <c r="W1706" s="7"/>
      <c r="X1706" s="7"/>
      <c r="Y1706" s="7"/>
      <c r="Z1706" s="7"/>
      <c r="AA1706" s="7"/>
    </row>
    <row r="1707" spans="1:27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>
        <v>32705</v>
      </c>
      <c r="P1707" s="1">
        <f t="shared" si="82"/>
        <v>0.53851047158241272</v>
      </c>
      <c r="Q1707" s="25">
        <f t="shared" si="83"/>
        <v>6.2348914070753381E-2</v>
      </c>
      <c r="R1707" s="24">
        <f t="shared" si="84"/>
        <v>-1.4989815939614459</v>
      </c>
      <c r="S1707" s="20"/>
      <c r="T1707" s="7"/>
      <c r="U1707" s="7"/>
      <c r="V1707" s="7"/>
      <c r="W1707" s="7"/>
      <c r="X1707" s="7"/>
      <c r="Y1707" s="7"/>
      <c r="Z1707" s="7"/>
      <c r="AA1707" s="7"/>
    </row>
    <row r="1708" spans="1:27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>
        <v>32706</v>
      </c>
      <c r="P1708" s="1">
        <f t="shared" si="82"/>
        <v>0.53857174515724182</v>
      </c>
      <c r="Q1708" s="25">
        <f t="shared" si="83"/>
        <v>6.0845759435323998E-2</v>
      </c>
      <c r="R1708" s="24">
        <f t="shared" si="84"/>
        <v>-1.5073670764920166</v>
      </c>
      <c r="S1708" s="20"/>
      <c r="T1708" s="7"/>
      <c r="U1708" s="7"/>
      <c r="V1708" s="7"/>
      <c r="W1708" s="7"/>
      <c r="X1708" s="7"/>
      <c r="Y1708" s="7"/>
      <c r="Z1708" s="7"/>
      <c r="AA1708" s="7"/>
    </row>
    <row r="1709" spans="1:27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>
        <v>32707</v>
      </c>
      <c r="P1709" s="1">
        <f t="shared" si="82"/>
        <v>0.53863099217414856</v>
      </c>
      <c r="Q1709" s="25">
        <f t="shared" si="83"/>
        <v>5.933419379289262E-2</v>
      </c>
      <c r="R1709" s="24">
        <f t="shared" si="84"/>
        <v>-1.5157877077953685</v>
      </c>
      <c r="S1709" s="20"/>
      <c r="T1709" s="7"/>
      <c r="U1709" s="7"/>
      <c r="V1709" s="7"/>
      <c r="W1709" s="7"/>
      <c r="X1709" s="7"/>
      <c r="Y1709" s="7"/>
      <c r="Z1709" s="7"/>
      <c r="AA1709" s="7"/>
    </row>
    <row r="1710" spans="1:27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>
        <v>32708</v>
      </c>
      <c r="P1710" s="1">
        <f t="shared" si="82"/>
        <v>0.53869035840034485</v>
      </c>
      <c r="Q1710" s="25">
        <f t="shared" si="83"/>
        <v>5.7814188039628789E-2</v>
      </c>
      <c r="R1710" s="24">
        <f t="shared" si="84"/>
        <v>-1.5242435855711278</v>
      </c>
      <c r="S1710" s="20"/>
      <c r="T1710" s="7"/>
      <c r="U1710" s="7"/>
      <c r="V1710" s="7"/>
      <c r="W1710" s="7"/>
      <c r="X1710" s="7"/>
      <c r="Y1710" s="7"/>
      <c r="Z1710" s="7"/>
      <c r="AA1710" s="7"/>
    </row>
    <row r="1711" spans="1:27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>
        <v>32709</v>
      </c>
      <c r="P1711" s="1">
        <f t="shared" si="82"/>
        <v>0.53874710202217102</v>
      </c>
      <c r="Q1711" s="25">
        <f t="shared" si="83"/>
        <v>5.6285683967871591E-2</v>
      </c>
      <c r="R1711" s="24">
        <f t="shared" si="84"/>
        <v>-1.5327347933080659</v>
      </c>
      <c r="S1711" s="20"/>
      <c r="T1711" s="7"/>
      <c r="U1711" s="7"/>
      <c r="V1711" s="7"/>
      <c r="W1711" s="7"/>
      <c r="X1711" s="7"/>
      <c r="Y1711" s="7"/>
      <c r="Z1711" s="7"/>
      <c r="AA1711" s="7"/>
    </row>
    <row r="1712" spans="1:27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>
        <v>32710</v>
      </c>
      <c r="P1712" s="1">
        <f t="shared" si="82"/>
        <v>0.53880229592323303</v>
      </c>
      <c r="Q1712" s="25">
        <f t="shared" si="83"/>
        <v>5.4748710681451485E-2</v>
      </c>
      <c r="R1712" s="24">
        <f t="shared" si="84"/>
        <v>-1.5412614269294522</v>
      </c>
      <c r="S1712" s="20"/>
      <c r="T1712" s="7"/>
      <c r="U1712" s="7"/>
      <c r="V1712" s="7"/>
      <c r="W1712" s="7"/>
      <c r="X1712" s="7"/>
      <c r="Y1712" s="7"/>
      <c r="Z1712" s="7"/>
      <c r="AA1712" s="7"/>
    </row>
    <row r="1713" spans="1:27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>
        <v>32711</v>
      </c>
      <c r="P1713" s="1">
        <f t="shared" si="82"/>
        <v>0.53885617852210999</v>
      </c>
      <c r="Q1713" s="25">
        <f t="shared" si="83"/>
        <v>5.3203122661216184E-2</v>
      </c>
      <c r="R1713" s="24">
        <f t="shared" si="84"/>
        <v>-1.5498235734767718</v>
      </c>
      <c r="S1713" s="20"/>
      <c r="T1713" s="7"/>
      <c r="U1713" s="7"/>
      <c r="V1713" s="7"/>
      <c r="W1713" s="7"/>
      <c r="X1713" s="7"/>
      <c r="Y1713" s="7"/>
      <c r="Z1713" s="7"/>
      <c r="AA1713" s="7"/>
    </row>
    <row r="1714" spans="1:27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>
        <v>32712</v>
      </c>
      <c r="P1714" s="1">
        <f t="shared" si="82"/>
        <v>0.53890934586524963</v>
      </c>
      <c r="Q1714" s="25">
        <f t="shared" si="83"/>
        <v>5.1649007218657061E-2</v>
      </c>
      <c r="R1714" s="24">
        <f t="shared" si="84"/>
        <v>-1.5584213270969371</v>
      </c>
      <c r="S1714" s="20"/>
      <c r="T1714" s="7"/>
      <c r="U1714" s="7"/>
      <c r="V1714" s="7"/>
      <c r="W1714" s="7"/>
      <c r="X1714" s="7"/>
      <c r="Y1714" s="7"/>
      <c r="Z1714" s="7"/>
      <c r="AA1714" s="7"/>
    </row>
    <row r="1715" spans="1:27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>
        <v>32713</v>
      </c>
      <c r="P1715" s="1">
        <f t="shared" si="82"/>
        <v>0.53895977139472961</v>
      </c>
      <c r="Q1715" s="25">
        <f t="shared" si="83"/>
        <v>5.0086306146113202E-2</v>
      </c>
      <c r="R1715" s="24">
        <f t="shared" si="84"/>
        <v>-1.5670547837132176</v>
      </c>
      <c r="S1715" s="20"/>
      <c r="T1715" s="7"/>
      <c r="U1715" s="7"/>
      <c r="V1715" s="7"/>
      <c r="W1715" s="7"/>
      <c r="X1715" s="7"/>
      <c r="Y1715" s="7"/>
      <c r="Z1715" s="7"/>
      <c r="AA1715" s="7"/>
    </row>
    <row r="1716" spans="1:27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>
        <v>32714</v>
      </c>
      <c r="P1716" s="1">
        <f t="shared" si="82"/>
        <v>0.53900912404060364</v>
      </c>
      <c r="Q1716" s="25">
        <f t="shared" si="83"/>
        <v>4.8514932132093236E-2</v>
      </c>
      <c r="R1716" s="24">
        <f t="shared" si="84"/>
        <v>-1.575724033919812</v>
      </c>
      <c r="S1716" s="20"/>
      <c r="T1716" s="7"/>
      <c r="U1716" s="7"/>
      <c r="V1716" s="7"/>
      <c r="W1716" s="7"/>
      <c r="X1716" s="7"/>
      <c r="Y1716" s="7"/>
      <c r="Z1716" s="7"/>
      <c r="AA1716" s="7"/>
    </row>
    <row r="1717" spans="1:27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>
        <v>32715</v>
      </c>
      <c r="P1717" s="1">
        <f t="shared" si="82"/>
        <v>0.53905704617500305</v>
      </c>
      <c r="Q1717" s="25">
        <f t="shared" si="83"/>
        <v>4.693482696893625E-2</v>
      </c>
      <c r="R1717" s="24">
        <f t="shared" si="84"/>
        <v>-1.5844291594291349</v>
      </c>
      <c r="S1717" s="20"/>
      <c r="T1717" s="7"/>
      <c r="U1717" s="7"/>
      <c r="V1717" s="7"/>
      <c r="W1717" s="7"/>
      <c r="X1717" s="7"/>
      <c r="Y1717" s="7"/>
      <c r="Z1717" s="7"/>
      <c r="AA1717" s="7"/>
    </row>
    <row r="1718" spans="1:27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>
        <v>32716</v>
      </c>
      <c r="P1718" s="1">
        <f t="shared" si="82"/>
        <v>0.5391031801700592</v>
      </c>
      <c r="Q1718" s="25">
        <f t="shared" si="83"/>
        <v>4.53460197604727E-2</v>
      </c>
      <c r="R1718" s="24">
        <f t="shared" si="84"/>
        <v>-1.5931702668225967</v>
      </c>
      <c r="S1718" s="20"/>
      <c r="T1718" s="7"/>
      <c r="U1718" s="7"/>
      <c r="V1718" s="7"/>
      <c r="W1718" s="7"/>
      <c r="X1718" s="7"/>
      <c r="Y1718" s="7"/>
      <c r="Z1718" s="7"/>
      <c r="AA1718" s="7"/>
    </row>
    <row r="1719" spans="1:27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>
        <v>32717</v>
      </c>
      <c r="P1719" s="1">
        <f t="shared" si="82"/>
        <v>0.53914752602577209</v>
      </c>
      <c r="Q1719" s="25">
        <f t="shared" si="83"/>
        <v>4.3748510506702587E-2</v>
      </c>
      <c r="R1719" s="24">
        <f t="shared" si="84"/>
        <v>-1.6019474342598983</v>
      </c>
      <c r="S1719" s="20"/>
      <c r="T1719" s="7"/>
      <c r="U1719" s="7"/>
      <c r="V1719" s="7"/>
      <c r="W1719" s="7"/>
      <c r="X1719" s="7"/>
      <c r="Y1719" s="7"/>
      <c r="Z1719" s="7"/>
      <c r="AA1719" s="7"/>
    </row>
    <row r="1720" spans="1:27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>
        <v>32718</v>
      </c>
      <c r="P1720" s="1">
        <f t="shared" si="82"/>
        <v>0.53919091820716858</v>
      </c>
      <c r="Q1720" s="25">
        <f t="shared" si="83"/>
        <v>4.214212458464317E-2</v>
      </c>
      <c r="R1720" s="24">
        <f t="shared" si="84"/>
        <v>-1.6107607683224501</v>
      </c>
      <c r="S1720" s="20"/>
      <c r="T1720" s="7"/>
      <c r="U1720" s="7"/>
      <c r="V1720" s="7"/>
      <c r="W1720" s="7"/>
      <c r="X1720" s="7"/>
      <c r="Y1720" s="7"/>
      <c r="Z1720" s="7"/>
      <c r="AA1720" s="7"/>
    </row>
    <row r="1721" spans="1:27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>
        <v>32719</v>
      </c>
      <c r="P1721" s="1">
        <f t="shared" si="82"/>
        <v>0.5392318069934845</v>
      </c>
      <c r="Q1721" s="25">
        <f t="shared" si="83"/>
        <v>4.0527007513446733E-2</v>
      </c>
      <c r="R1721" s="24">
        <f t="shared" si="84"/>
        <v>-1.6196103542753804</v>
      </c>
      <c r="S1721" s="20"/>
      <c r="T1721" s="7"/>
      <c r="U1721" s="7"/>
      <c r="V1721" s="7"/>
      <c r="W1721" s="7"/>
      <c r="X1721" s="7"/>
      <c r="Y1721" s="7"/>
      <c r="Z1721" s="7"/>
      <c r="AA1721" s="7"/>
    </row>
    <row r="1722" spans="1:27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>
        <v>32720</v>
      </c>
      <c r="P1722" s="1">
        <f t="shared" si="82"/>
        <v>0.53927162289619446</v>
      </c>
      <c r="Q1722" s="25">
        <f t="shared" si="83"/>
        <v>3.8902926462469622E-2</v>
      </c>
      <c r="R1722" s="24">
        <f t="shared" si="84"/>
        <v>-1.6284962844892448</v>
      </c>
      <c r="S1722" s="20"/>
      <c r="T1722" s="7"/>
      <c r="U1722" s="7"/>
      <c r="V1722" s="7"/>
      <c r="W1722" s="7"/>
      <c r="X1722" s="7"/>
      <c r="Y1722" s="7"/>
      <c r="Z1722" s="7"/>
      <c r="AA1722" s="7"/>
    </row>
    <row r="1723" spans="1:27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>
        <v>32721</v>
      </c>
      <c r="P1723" s="1">
        <f t="shared" si="82"/>
        <v>0.53930953145027161</v>
      </c>
      <c r="Q1723" s="25">
        <f t="shared" si="83"/>
        <v>3.7269968743203208E-2</v>
      </c>
      <c r="R1723" s="24">
        <f t="shared" si="84"/>
        <v>-1.637418651334599</v>
      </c>
      <c r="S1723" s="20"/>
      <c r="T1723" s="7"/>
      <c r="U1723" s="7"/>
      <c r="V1723" s="7"/>
      <c r="W1723" s="7"/>
      <c r="X1723" s="7"/>
      <c r="Y1723" s="7"/>
      <c r="Z1723" s="7"/>
      <c r="AA1723" s="7"/>
    </row>
    <row r="1724" spans="1:27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>
        <v>32722</v>
      </c>
      <c r="P1724" s="1">
        <f t="shared" si="82"/>
        <v>0.53934589028358459</v>
      </c>
      <c r="Q1724" s="25">
        <f t="shared" si="83"/>
        <v>3.5628105251817033E-2</v>
      </c>
      <c r="R1724" s="24">
        <f t="shared" si="84"/>
        <v>-1.6463775507347123</v>
      </c>
      <c r="S1724" s="20"/>
      <c r="T1724" s="7"/>
      <c r="U1724" s="7"/>
      <c r="V1724" s="7"/>
      <c r="W1724" s="7"/>
      <c r="X1724" s="7"/>
      <c r="Y1724" s="7"/>
      <c r="Z1724" s="7"/>
      <c r="AA1724" s="7"/>
    </row>
    <row r="1725" spans="1:27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>
        <v>32723</v>
      </c>
      <c r="P1725" s="1">
        <f t="shared" si="82"/>
        <v>0.53938141465187073</v>
      </c>
      <c r="Q1725" s="25">
        <f t="shared" si="83"/>
        <v>3.3977161365328357E-2</v>
      </c>
      <c r="R1725" s="24">
        <f t="shared" si="84"/>
        <v>-1.6553730750601403</v>
      </c>
      <c r="S1725" s="20"/>
      <c r="T1725" s="7"/>
      <c r="U1725" s="7"/>
      <c r="V1725" s="7"/>
      <c r="W1725" s="7"/>
      <c r="X1725" s="7"/>
      <c r="Y1725" s="7"/>
      <c r="Z1725" s="7"/>
      <c r="AA1725" s="7"/>
    </row>
    <row r="1726" spans="1:27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>
        <v>32724</v>
      </c>
      <c r="P1726" s="1">
        <f t="shared" si="82"/>
        <v>0.53941431641578674</v>
      </c>
      <c r="Q1726" s="25">
        <f t="shared" si="83"/>
        <v>3.231731170671992E-2</v>
      </c>
      <c r="R1726" s="24">
        <f t="shared" si="84"/>
        <v>-1.6644053113523682</v>
      </c>
      <c r="S1726" s="20"/>
      <c r="T1726" s="7"/>
      <c r="U1726" s="7"/>
      <c r="V1726" s="7"/>
      <c r="W1726" s="7"/>
      <c r="X1726" s="7"/>
      <c r="Y1726" s="7"/>
      <c r="Z1726" s="7"/>
      <c r="AA1726" s="7"/>
    </row>
    <row r="1727" spans="1:27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>
        <v>32725</v>
      </c>
      <c r="P1727" s="1">
        <f t="shared" si="82"/>
        <v>0.5394456684589386</v>
      </c>
      <c r="Q1727" s="25">
        <f t="shared" si="83"/>
        <v>3.0648381653008983E-2</v>
      </c>
      <c r="R1727" s="24">
        <f t="shared" si="84"/>
        <v>-1.6734743608637359</v>
      </c>
      <c r="S1727" s="20"/>
      <c r="T1727" s="7"/>
      <c r="U1727" s="7"/>
      <c r="V1727" s="7"/>
      <c r="W1727" s="7"/>
      <c r="X1727" s="7"/>
      <c r="Y1727" s="7"/>
      <c r="Z1727" s="7"/>
      <c r="AA1727" s="7"/>
    </row>
    <row r="1728" spans="1:27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>
        <v>32726</v>
      </c>
      <c r="P1728" s="1">
        <f t="shared" si="82"/>
        <v>0.53947523236274719</v>
      </c>
      <c r="Q1728" s="25">
        <f t="shared" si="83"/>
        <v>2.8970342100365087E-2</v>
      </c>
      <c r="R1728" s="24">
        <f t="shared" si="84"/>
        <v>-1.6825803070830148</v>
      </c>
      <c r="S1728" s="20"/>
      <c r="T1728" s="7"/>
      <c r="U1728" s="7"/>
      <c r="V1728" s="7"/>
      <c r="W1728" s="7"/>
      <c r="X1728" s="7"/>
      <c r="Y1728" s="7"/>
      <c r="Z1728" s="7"/>
      <c r="AA1728" s="7"/>
    </row>
    <row r="1729" spans="1:27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>
        <v>32727</v>
      </c>
      <c r="P1729" s="1">
        <f t="shared" si="82"/>
        <v>0.53950384259223938</v>
      </c>
      <c r="Q1729" s="25">
        <f t="shared" si="83"/>
        <v>2.7283222152618691E-2</v>
      </c>
      <c r="R1729" s="24">
        <f t="shared" si="84"/>
        <v>-1.691723258367972</v>
      </c>
      <c r="S1729" s="20"/>
      <c r="T1729" s="7"/>
      <c r="U1729" s="7"/>
      <c r="V1729" s="7"/>
      <c r="W1729" s="7"/>
      <c r="X1729" s="7"/>
      <c r="Y1729" s="7"/>
      <c r="Z1729" s="7"/>
      <c r="AA1729" s="7"/>
    </row>
    <row r="1730" spans="1:27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>
        <v>32728</v>
      </c>
      <c r="P1730" s="1">
        <f t="shared" si="82"/>
        <v>0.539529949426651</v>
      </c>
      <c r="Q1730" s="25">
        <f t="shared" si="83"/>
        <v>2.5586905394447967E-2</v>
      </c>
      <c r="R1730" s="24">
        <f t="shared" si="84"/>
        <v>-1.7009032964310222</v>
      </c>
      <c r="S1730" s="20"/>
      <c r="T1730" s="7"/>
      <c r="U1730" s="7"/>
      <c r="V1730" s="7"/>
      <c r="W1730" s="7"/>
      <c r="X1730" s="7"/>
      <c r="Y1730" s="7"/>
      <c r="Z1730" s="7"/>
      <c r="AA1730" s="7"/>
    </row>
    <row r="1731" spans="1:27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>
        <v>32729</v>
      </c>
      <c r="P1731" s="1">
        <f t="shared" si="82"/>
        <v>0.53955450654029846</v>
      </c>
      <c r="Q1731" s="25">
        <f t="shared" si="83"/>
        <v>2.3881362722022459E-2</v>
      </c>
      <c r="R1731" s="24">
        <f t="shared" si="84"/>
        <v>-1.7101205207481485</v>
      </c>
      <c r="S1731" s="20"/>
      <c r="T1731" s="7"/>
      <c r="U1731" s="7"/>
      <c r="V1731" s="7"/>
      <c r="W1731" s="7"/>
      <c r="X1731" s="7"/>
      <c r="Y1731" s="7"/>
      <c r="Z1731" s="7"/>
      <c r="AA1731" s="7"/>
    </row>
    <row r="1732" spans="1:27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>
        <v>32730</v>
      </c>
      <c r="P1732" s="1">
        <f t="shared" si="82"/>
        <v>0.53957787156105042</v>
      </c>
      <c r="Q1732" s="25">
        <f t="shared" si="83"/>
        <v>2.2166623239172623E-2</v>
      </c>
      <c r="R1732" s="24">
        <f t="shared" si="84"/>
        <v>-1.719375016584479</v>
      </c>
      <c r="S1732" s="20"/>
      <c r="T1732" s="7"/>
      <c r="U1732" s="7"/>
      <c r="V1732" s="7"/>
      <c r="W1732" s="7"/>
      <c r="X1732" s="7"/>
      <c r="Y1732" s="7"/>
      <c r="Z1732" s="7"/>
      <c r="AA1732" s="7"/>
    </row>
    <row r="1733" spans="1:27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>
        <v>32731</v>
      </c>
      <c r="P1733" s="1">
        <f t="shared" si="82"/>
        <v>0.5395984947681427</v>
      </c>
      <c r="Q1733" s="25">
        <f t="shared" si="83"/>
        <v>2.0442599634407088E-2</v>
      </c>
      <c r="R1733" s="24">
        <f t="shared" si="84"/>
        <v>-1.7286668887450674</v>
      </c>
      <c r="S1733" s="20"/>
      <c r="T1733" s="7"/>
      <c r="U1733" s="7"/>
      <c r="V1733" s="7"/>
      <c r="W1733" s="7"/>
      <c r="X1733" s="7"/>
      <c r="Y1733" s="7"/>
      <c r="Z1733" s="7"/>
      <c r="AA1733" s="7"/>
    </row>
    <row r="1734" spans="1:27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>
        <v>32732</v>
      </c>
      <c r="P1734" s="1">
        <f t="shared" si="82"/>
        <v>0.53961852192878723</v>
      </c>
      <c r="Q1734" s="25">
        <f t="shared" si="83"/>
        <v>1.8709321011556312E-2</v>
      </c>
      <c r="R1734" s="24">
        <f t="shared" si="84"/>
        <v>-1.737996220718685</v>
      </c>
      <c r="S1734" s="20"/>
      <c r="T1734" s="7"/>
      <c r="U1734" s="7"/>
      <c r="V1734" s="7"/>
      <c r="W1734" s="7"/>
      <c r="X1734" s="7"/>
      <c r="Y1734" s="7"/>
      <c r="Z1734" s="7"/>
      <c r="AA1734" s="7"/>
    </row>
    <row r="1735" spans="1:27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>
        <v>32733</v>
      </c>
      <c r="P1735" s="1">
        <f t="shared" si="82"/>
        <v>0.53963640332221985</v>
      </c>
      <c r="Q1735" s="25">
        <f t="shared" si="83"/>
        <v>1.6966612747637555E-2</v>
      </c>
      <c r="R1735" s="24">
        <f t="shared" si="84"/>
        <v>-1.7473631137576717</v>
      </c>
      <c r="S1735" s="20"/>
      <c r="T1735" s="7"/>
      <c r="U1735" s="7"/>
      <c r="V1735" s="7"/>
      <c r="W1735" s="7"/>
      <c r="X1735" s="7"/>
      <c r="Y1735" s="7"/>
      <c r="Z1735" s="7"/>
      <c r="AA1735" s="7"/>
    </row>
    <row r="1736" spans="1:27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>
        <v>32734</v>
      </c>
      <c r="P1736" s="1">
        <f t="shared" si="82"/>
        <v>0.53965273499488831</v>
      </c>
      <c r="Q1736" s="25">
        <f t="shared" si="83"/>
        <v>1.5214474842650816E-2</v>
      </c>
      <c r="R1736" s="24">
        <f t="shared" si="84"/>
        <v>-1.7567676655616538</v>
      </c>
      <c r="S1736" s="20"/>
      <c r="T1736" s="7"/>
      <c r="U1736" s="7"/>
      <c r="V1736" s="7"/>
      <c r="W1736" s="7"/>
      <c r="X1736" s="7"/>
      <c r="Y1736" s="7"/>
      <c r="Z1736" s="7"/>
      <c r="AA1736" s="7"/>
    </row>
    <row r="1737" spans="1:27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>
        <v>32735</v>
      </c>
      <c r="P1737" s="1">
        <f t="shared" si="82"/>
        <v>0.5396665632724762</v>
      </c>
      <c r="Q1737" s="25">
        <f t="shared" si="83"/>
        <v>1.3453111023409292E-2</v>
      </c>
      <c r="R1737" s="24">
        <f t="shared" si="84"/>
        <v>-1.766209954290332</v>
      </c>
      <c r="S1737" s="20"/>
      <c r="T1737" s="7"/>
      <c r="U1737" s="7"/>
      <c r="V1737" s="7"/>
      <c r="W1737" s="7"/>
      <c r="X1737" s="7"/>
      <c r="Y1737" s="7"/>
      <c r="Z1737" s="7"/>
      <c r="AA1737" s="7"/>
    </row>
    <row r="1738" spans="1:27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>
        <v>32736</v>
      </c>
      <c r="P1738" s="1">
        <f t="shared" ref="P1738:P1801" si="85" xml:space="preserve"> -1.4681315616E-19*$O1738^6 + 2.80493263066289E-14*$O1738^5 - 2.23271907955907E-09*$O1738^4 + 0.0000947783879077569*$O1738^3 - 2.26293121558813*$O1738^2 + 28813.4861268598*$O1738 - 152852350.445896</f>
        <v>0.53967967629432678</v>
      </c>
      <c r="Q1738" s="25">
        <f t="shared" ref="Q1738:Q1801" si="86" xml:space="preserve"> (6*-1.4681315616E-19*$O1738^5 + 5*2.80493263066289E-14*$O1738^4 - 4*2.23271907955907E-09*$O1738^3 + 3*0.0000947783879077569*$O1738^2 - 2*2.26293121558813*$O1738^1 + 28813.4861268598)*1000</f>
        <v>1.1682142940117046E-2</v>
      </c>
      <c r="R1738" s="24">
        <f t="shared" ref="R1738:R1801" si="87" xml:space="preserve"> (5*6*-1.4681315616E-19*$O1738^4 + 4*5*2.80493263066289E-14*$O1738^3 - 3*4*2.23271907955907E-09*$O1738^2 + 2*3*0.0000947783879077569*$O1738^1 - 2*2.26293121558813)*1000*1000</f>
        <v>-1.7756900936305442</v>
      </c>
      <c r="S1738" s="20"/>
      <c r="T1738" s="7"/>
      <c r="U1738" s="7"/>
      <c r="V1738" s="7"/>
      <c r="W1738" s="7"/>
      <c r="X1738" s="7"/>
      <c r="Y1738" s="7"/>
      <c r="Z1738" s="7"/>
      <c r="AA1738" s="7"/>
    </row>
    <row r="1739" spans="1:27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>
        <v>32737</v>
      </c>
      <c r="P1739" s="1">
        <f t="shared" si="85"/>
        <v>0.539690762758255</v>
      </c>
      <c r="Q1739" s="25">
        <f t="shared" si="86"/>
        <v>9.9017161119263619E-3</v>
      </c>
      <c r="R1739" s="24">
        <f t="shared" si="87"/>
        <v>-1.7852081617419913</v>
      </c>
      <c r="S1739" s="20"/>
      <c r="T1739" s="7"/>
      <c r="U1739" s="7"/>
      <c r="V1739" s="7"/>
      <c r="W1739" s="7"/>
      <c r="X1739" s="7"/>
      <c r="Y1739" s="7"/>
      <c r="Z1739" s="7"/>
      <c r="AA1739" s="7"/>
    </row>
    <row r="1740" spans="1:27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>
        <v>32738</v>
      </c>
      <c r="P1740" s="1">
        <f t="shared" si="85"/>
        <v>0.53969958424568176</v>
      </c>
      <c r="Q1740" s="25">
        <f t="shared" si="86"/>
        <v>8.1116559158544987E-3</v>
      </c>
      <c r="R1740" s="24">
        <f t="shared" si="87"/>
        <v>-1.7947642616533699</v>
      </c>
      <c r="S1740" s="20"/>
      <c r="T1740" s="7"/>
      <c r="U1740" s="7"/>
      <c r="V1740" s="7"/>
      <c r="W1740" s="7"/>
      <c r="X1740" s="7"/>
      <c r="Y1740" s="7"/>
      <c r="Z1740" s="7"/>
      <c r="AA1740" s="7"/>
    </row>
    <row r="1741" spans="1:27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>
        <v>32739</v>
      </c>
      <c r="P1741" s="1">
        <f t="shared" si="85"/>
        <v>0.53970673680305481</v>
      </c>
      <c r="Q1741" s="25">
        <f t="shared" si="86"/>
        <v>6.3121660787146538E-3</v>
      </c>
      <c r="R1741" s="24">
        <f t="shared" si="87"/>
        <v>-1.8043584857352357</v>
      </c>
      <c r="S1741" s="20"/>
      <c r="T1741" s="7"/>
      <c r="U1741" s="7"/>
      <c r="V1741" s="7"/>
      <c r="W1741" s="7"/>
      <c r="X1741" s="7"/>
      <c r="Y1741" s="7"/>
      <c r="Z1741" s="7"/>
      <c r="AA1741" s="7"/>
    </row>
    <row r="1742" spans="1:27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>
        <v>32740</v>
      </c>
      <c r="P1742" s="1">
        <f t="shared" si="85"/>
        <v>0.53971162438392639</v>
      </c>
      <c r="Q1742" s="25">
        <f t="shared" si="86"/>
        <v>4.5029846660327166E-3</v>
      </c>
      <c r="R1742" s="24">
        <f t="shared" si="87"/>
        <v>-1.8139909299108581</v>
      </c>
      <c r="S1742" s="20"/>
      <c r="T1742" s="7"/>
      <c r="U1742" s="7"/>
      <c r="V1742" s="7"/>
      <c r="W1742" s="7"/>
      <c r="X1742" s="7"/>
      <c r="Y1742" s="7"/>
      <c r="Z1742" s="7"/>
      <c r="AA1742" s="7"/>
    </row>
    <row r="1743" spans="1:27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>
        <v>32741</v>
      </c>
      <c r="P1743" s="1">
        <f t="shared" si="85"/>
        <v>0.53971543908119202</v>
      </c>
      <c r="Q1743" s="25">
        <f t="shared" si="86"/>
        <v>2.6841407816391438E-3</v>
      </c>
      <c r="R1743" s="24">
        <f t="shared" si="87"/>
        <v>-1.8236616883271495</v>
      </c>
      <c r="S1743" s="20"/>
      <c r="T1743" s="7"/>
      <c r="U1743" s="7"/>
      <c r="V1743" s="7"/>
      <c r="W1743" s="7"/>
      <c r="X1743" s="7"/>
      <c r="Y1743" s="7"/>
      <c r="Z1743" s="7"/>
      <c r="AA1743" s="7"/>
    </row>
    <row r="1744" spans="1:27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>
        <v>32742</v>
      </c>
      <c r="P1744" s="1">
        <f t="shared" si="85"/>
        <v>0.53971782326698303</v>
      </c>
      <c r="Q1744" s="25">
        <f t="shared" si="86"/>
        <v>8.5560532170347869E-4</v>
      </c>
      <c r="R1744" s="24">
        <f t="shared" si="87"/>
        <v>-1.8333708515783087</v>
      </c>
      <c r="S1744" s="20"/>
      <c r="T1744" s="7"/>
      <c r="U1744" s="7"/>
      <c r="V1744" s="7"/>
      <c r="W1744" s="7"/>
      <c r="X1744" s="7"/>
      <c r="Y1744" s="7"/>
      <c r="Z1744" s="7"/>
      <c r="AA1744" s="7"/>
    </row>
    <row r="1745" spans="1:27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>
        <v>32743</v>
      </c>
      <c r="P1745" s="1">
        <f t="shared" si="85"/>
        <v>0.53971698880195618</v>
      </c>
      <c r="Q1745" s="25">
        <f t="shared" si="86"/>
        <v>-9.8265081760473549E-4</v>
      </c>
      <c r="R1745" s="24">
        <f t="shared" si="87"/>
        <v>-1.843118528022103</v>
      </c>
      <c r="S1745" s="20"/>
      <c r="T1745" s="7"/>
      <c r="U1745" s="7"/>
      <c r="V1745" s="7"/>
      <c r="W1745" s="7"/>
      <c r="X1745" s="7"/>
      <c r="Y1745" s="7"/>
      <c r="Z1745" s="7"/>
      <c r="AA1745" s="7"/>
    </row>
    <row r="1746" spans="1:27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>
        <v>32744</v>
      </c>
      <c r="P1746" s="1">
        <f t="shared" si="85"/>
        <v>0.53971531987190247</v>
      </c>
      <c r="Q1746" s="25">
        <f t="shared" si="86"/>
        <v>-2.830598532455042E-3</v>
      </c>
      <c r="R1746" s="24">
        <f t="shared" si="87"/>
        <v>-1.8529047993709469</v>
      </c>
      <c r="S1746" s="20"/>
      <c r="T1746" s="7"/>
      <c r="U1746" s="7"/>
      <c r="V1746" s="7"/>
      <c r="W1746" s="7"/>
      <c r="X1746" s="7"/>
      <c r="Y1746" s="7"/>
      <c r="Z1746" s="7"/>
      <c r="AA1746" s="7"/>
    </row>
    <row r="1747" spans="1:27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>
        <v>32745</v>
      </c>
      <c r="P1747" s="1">
        <f t="shared" si="85"/>
        <v>0.53971150517463684</v>
      </c>
      <c r="Q1747" s="25">
        <f t="shared" si="86"/>
        <v>-4.6883833419997245E-3</v>
      </c>
      <c r="R1747" s="24">
        <f t="shared" si="87"/>
        <v>-1.8627297668771803</v>
      </c>
      <c r="S1747" s="20"/>
      <c r="T1747" s="7"/>
      <c r="U1747" s="7"/>
      <c r="V1747" s="7"/>
      <c r="W1747" s="7"/>
      <c r="X1747" s="7"/>
      <c r="Y1747" s="7"/>
      <c r="Z1747" s="7"/>
      <c r="AA1747" s="7"/>
    </row>
    <row r="1748" spans="1:27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>
        <v>32746</v>
      </c>
      <c r="P1748" s="1">
        <f t="shared" si="85"/>
        <v>0.53970566391944885</v>
      </c>
      <c r="Q1748" s="25">
        <f t="shared" si="86"/>
        <v>-6.5561507653910667E-3</v>
      </c>
      <c r="R1748" s="24">
        <f t="shared" si="87"/>
        <v>-1.8725935229113588</v>
      </c>
      <c r="S1748" s="20"/>
      <c r="T1748" s="7"/>
      <c r="U1748" s="7"/>
      <c r="V1748" s="7"/>
      <c r="W1748" s="7"/>
      <c r="X1748" s="7"/>
      <c r="Y1748" s="7"/>
      <c r="Z1748" s="7"/>
      <c r="AA1748" s="7"/>
    </row>
    <row r="1749" spans="1:27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>
        <v>32747</v>
      </c>
      <c r="P1749" s="1">
        <f t="shared" si="85"/>
        <v>0.53969851136207581</v>
      </c>
      <c r="Q1749" s="25">
        <f t="shared" si="86"/>
        <v>-8.4336679719854146E-3</v>
      </c>
      <c r="R1749" s="24">
        <f t="shared" si="87"/>
        <v>-1.8824961651731087</v>
      </c>
      <c r="S1749" s="20"/>
      <c r="T1749" s="7"/>
      <c r="U1749" s="7"/>
      <c r="V1749" s="7"/>
      <c r="W1749" s="7"/>
      <c r="X1749" s="7"/>
      <c r="Y1749" s="7"/>
      <c r="Z1749" s="7"/>
      <c r="AA1749" s="7"/>
    </row>
    <row r="1750" spans="1:27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>
        <v>32748</v>
      </c>
      <c r="P1750" s="1">
        <f t="shared" si="85"/>
        <v>0.53968873620033264</v>
      </c>
      <c r="Q1750" s="25">
        <f t="shared" si="86"/>
        <v>-1.0321080480935052E-2</v>
      </c>
      <c r="R1750" s="24">
        <f t="shared" si="87"/>
        <v>-1.8924377860329855</v>
      </c>
      <c r="S1750" s="20"/>
      <c r="T1750" s="7"/>
      <c r="U1750" s="7"/>
      <c r="V1750" s="7"/>
      <c r="W1750" s="7"/>
      <c r="X1750" s="7"/>
      <c r="Y1750" s="7"/>
      <c r="Z1750" s="7"/>
      <c r="AA1750" s="7"/>
    </row>
    <row r="1751" spans="1:27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>
        <v>32749</v>
      </c>
      <c r="P1751" s="1">
        <f t="shared" si="85"/>
        <v>0.53967788815498352</v>
      </c>
      <c r="Q1751" s="25">
        <f t="shared" si="86"/>
        <v>-1.2218533811392263E-2</v>
      </c>
      <c r="R1751" s="24">
        <f t="shared" si="87"/>
        <v>-1.9024184849669723</v>
      </c>
      <c r="S1751" s="20"/>
      <c r="T1751" s="7"/>
      <c r="U1751" s="7"/>
      <c r="V1751" s="7"/>
      <c r="W1751" s="7"/>
      <c r="X1751" s="7"/>
      <c r="Y1751" s="7"/>
      <c r="Z1751" s="7"/>
      <c r="AA1751" s="7"/>
    </row>
    <row r="1752" spans="1:27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>
        <v>32750</v>
      </c>
      <c r="P1752" s="1">
        <f t="shared" si="85"/>
        <v>0.53966477513313293</v>
      </c>
      <c r="Q1752" s="25">
        <f t="shared" si="86"/>
        <v>-1.4125969755696133E-2</v>
      </c>
      <c r="R1752" s="24">
        <f t="shared" si="87"/>
        <v>-1.9124383614510521</v>
      </c>
      <c r="S1752" s="20"/>
      <c r="T1752" s="7"/>
      <c r="U1752" s="7"/>
      <c r="V1752" s="7"/>
      <c r="W1752" s="7"/>
      <c r="X1752" s="7"/>
      <c r="Y1752" s="7"/>
      <c r="Z1752" s="7"/>
      <c r="AA1752" s="7"/>
    </row>
    <row r="1753" spans="1:27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>
        <v>32751</v>
      </c>
      <c r="P1753" s="1">
        <f t="shared" si="85"/>
        <v>0.53964975476264954</v>
      </c>
      <c r="Q1753" s="25">
        <f t="shared" si="86"/>
        <v>-1.6043417417677119E-2</v>
      </c>
      <c r="R1753" s="24">
        <f t="shared" si="87"/>
        <v>-1.9224975025267099</v>
      </c>
      <c r="S1753" s="20"/>
      <c r="T1753" s="7"/>
      <c r="U1753" s="7"/>
      <c r="V1753" s="7"/>
      <c r="W1753" s="7"/>
      <c r="X1753" s="7"/>
      <c r="Y1753" s="7"/>
      <c r="Z1753" s="7"/>
      <c r="AA1753" s="7"/>
    </row>
    <row r="1754" spans="1:27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>
        <v>32752</v>
      </c>
      <c r="P1754" s="1">
        <f t="shared" si="85"/>
        <v>0.53963199257850647</v>
      </c>
      <c r="Q1754" s="25">
        <f t="shared" si="86"/>
        <v>-1.7970935004996136E-2</v>
      </c>
      <c r="R1754" s="24">
        <f t="shared" si="87"/>
        <v>-1.9325960058935721</v>
      </c>
      <c r="S1754" s="20"/>
      <c r="T1754" s="7"/>
      <c r="U1754" s="7"/>
      <c r="V1754" s="7"/>
      <c r="W1754" s="7"/>
      <c r="X1754" s="7"/>
      <c r="Y1754" s="7"/>
      <c r="Z1754" s="7"/>
      <c r="AA1754" s="7"/>
    </row>
    <row r="1755" spans="1:27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>
        <v>32753</v>
      </c>
      <c r="P1755" s="1">
        <f t="shared" si="85"/>
        <v>0.53961339592933655</v>
      </c>
      <c r="Q1755" s="25">
        <f t="shared" si="86"/>
        <v>-1.9908609829144552E-2</v>
      </c>
      <c r="R1755" s="24">
        <f t="shared" si="87"/>
        <v>-1.942733976356692</v>
      </c>
      <c r="S1755" s="20"/>
      <c r="T1755" s="7"/>
      <c r="U1755" s="7"/>
      <c r="V1755" s="7"/>
      <c r="W1755" s="7"/>
      <c r="X1755" s="7"/>
      <c r="Y1755" s="7"/>
      <c r="Z1755" s="7"/>
      <c r="AA1755" s="7"/>
    </row>
    <row r="1756" spans="1:27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>
        <v>32754</v>
      </c>
      <c r="P1756" s="1">
        <f t="shared" si="85"/>
        <v>0.53959336876869202</v>
      </c>
      <c r="Q1756" s="25">
        <f t="shared" si="86"/>
        <v>-2.1856470993952826E-2</v>
      </c>
      <c r="R1756" s="24">
        <f t="shared" si="87"/>
        <v>-1.952911499181198</v>
      </c>
      <c r="S1756" s="20"/>
      <c r="T1756" s="7"/>
      <c r="U1756" s="7"/>
      <c r="V1756" s="7"/>
      <c r="W1756" s="7"/>
      <c r="X1756" s="7"/>
      <c r="Y1756" s="7"/>
      <c r="Z1756" s="7"/>
      <c r="AA1756" s="7"/>
    </row>
    <row r="1757" spans="1:27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>
        <v>32755</v>
      </c>
      <c r="P1757" s="1">
        <f t="shared" si="85"/>
        <v>0.53956988453865051</v>
      </c>
      <c r="Q1757" s="25">
        <f t="shared" si="86"/>
        <v>-2.3814402084099129E-2</v>
      </c>
      <c r="R1757" s="24">
        <f t="shared" si="87"/>
        <v>-1.9631286738430731</v>
      </c>
      <c r="S1757" s="20"/>
      <c r="T1757" s="7"/>
      <c r="U1757" s="7"/>
      <c r="V1757" s="7"/>
      <c r="W1757" s="7"/>
      <c r="X1757" s="7"/>
      <c r="Y1757" s="7"/>
      <c r="Z1757" s="7"/>
      <c r="AA1757" s="7"/>
    </row>
    <row r="1758" spans="1:27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>
        <v>32756</v>
      </c>
      <c r="P1758" s="1">
        <f t="shared" si="85"/>
        <v>0.53954485058784485</v>
      </c>
      <c r="Q1758" s="25">
        <f t="shared" si="86"/>
        <v>-2.5782694137888029E-2</v>
      </c>
      <c r="R1758" s="24">
        <f t="shared" si="87"/>
        <v>-1.9733855980419435</v>
      </c>
      <c r="S1758" s="20"/>
      <c r="T1758" s="7"/>
      <c r="U1758" s="7"/>
      <c r="V1758" s="7"/>
      <c r="W1758" s="7"/>
      <c r="X1758" s="7"/>
      <c r="Y1758" s="7"/>
      <c r="Z1758" s="7"/>
      <c r="AA1758" s="7"/>
    </row>
    <row r="1759" spans="1:27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>
        <v>32757</v>
      </c>
      <c r="P1759" s="1">
        <f t="shared" si="85"/>
        <v>0.53951814770698547</v>
      </c>
      <c r="Q1759" s="25">
        <f t="shared" si="86"/>
        <v>-2.77612307399977E-2</v>
      </c>
      <c r="R1759" s="24">
        <f t="shared" si="87"/>
        <v>-1.9836823694774353</v>
      </c>
      <c r="S1759" s="20"/>
      <c r="T1759" s="7"/>
      <c r="U1759" s="7"/>
      <c r="V1759" s="7"/>
      <c r="W1759" s="7"/>
      <c r="X1759" s="7"/>
      <c r="Y1759" s="7"/>
      <c r="Z1759" s="7"/>
      <c r="AA1759" s="7"/>
    </row>
    <row r="1760" spans="1:27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>
        <v>32758</v>
      </c>
      <c r="P1760" s="1">
        <f t="shared" si="85"/>
        <v>0.53948917984962463</v>
      </c>
      <c r="Q1760" s="25">
        <f t="shared" si="86"/>
        <v>-2.9750070098089054E-2</v>
      </c>
      <c r="R1760" s="24">
        <f t="shared" si="87"/>
        <v>-1.994019082296461</v>
      </c>
      <c r="S1760" s="20"/>
      <c r="T1760" s="7"/>
      <c r="U1760" s="7"/>
      <c r="V1760" s="7"/>
      <c r="W1760" s="7"/>
      <c r="X1760" s="7"/>
      <c r="Y1760" s="7"/>
      <c r="Z1760" s="7"/>
      <c r="AA1760" s="7"/>
    </row>
    <row r="1761" spans="1:27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>
        <v>32759</v>
      </c>
      <c r="P1761" s="1">
        <f t="shared" si="85"/>
        <v>0.53945913910865784</v>
      </c>
      <c r="Q1761" s="25">
        <f t="shared" si="86"/>
        <v>-3.1749299523653463E-2</v>
      </c>
      <c r="R1761" s="24">
        <f t="shared" si="87"/>
        <v>-2.0043958359750036</v>
      </c>
      <c r="S1761" s="20"/>
      <c r="T1761" s="7"/>
      <c r="U1761" s="7"/>
      <c r="V1761" s="7"/>
      <c r="W1761" s="7"/>
      <c r="X1761" s="7"/>
      <c r="Y1761" s="7"/>
      <c r="Z1761" s="7"/>
      <c r="AA1761" s="7"/>
    </row>
    <row r="1762" spans="1:27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>
        <v>32760</v>
      </c>
      <c r="P1762" s="1">
        <f t="shared" si="85"/>
        <v>0.53942576050758362</v>
      </c>
      <c r="Q1762" s="25">
        <f t="shared" si="86"/>
        <v>-3.3758860809030011E-2</v>
      </c>
      <c r="R1762" s="24">
        <f t="shared" si="87"/>
        <v>-2.014812721107262</v>
      </c>
      <c r="S1762" s="20"/>
      <c r="T1762" s="7"/>
      <c r="U1762" s="7"/>
      <c r="V1762" s="7"/>
      <c r="W1762" s="7"/>
      <c r="X1762" s="7"/>
      <c r="Y1762" s="7"/>
      <c r="Z1762" s="7"/>
      <c r="AA1762" s="7"/>
    </row>
    <row r="1763" spans="1:27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>
        <v>32761</v>
      </c>
      <c r="P1763" s="1">
        <f t="shared" si="85"/>
        <v>0.53939083218574524</v>
      </c>
      <c r="Q1763" s="25">
        <f t="shared" si="86"/>
        <v>-3.5778928577201441E-2</v>
      </c>
      <c r="R1763" s="24">
        <f t="shared" si="87"/>
        <v>-2.0252698424982896</v>
      </c>
      <c r="S1763" s="20"/>
      <c r="T1763" s="7"/>
      <c r="U1763" s="7"/>
      <c r="V1763" s="7"/>
      <c r="W1763" s="7"/>
      <c r="X1763" s="7"/>
      <c r="Y1763" s="7"/>
      <c r="Z1763" s="7"/>
      <c r="AA1763" s="7"/>
    </row>
    <row r="1764" spans="1:27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>
        <v>32762</v>
      </c>
      <c r="P1764" s="1">
        <f t="shared" si="85"/>
        <v>0.5393548309803009</v>
      </c>
      <c r="Q1764" s="25">
        <f t="shared" si="86"/>
        <v>-3.7809473724337295E-2</v>
      </c>
      <c r="R1764" s="24">
        <f t="shared" si="87"/>
        <v>-2.0357672978477126</v>
      </c>
      <c r="S1764" s="20"/>
      <c r="T1764" s="7"/>
      <c r="U1764" s="7"/>
      <c r="V1764" s="7"/>
      <c r="W1764" s="7"/>
      <c r="X1764" s="7"/>
      <c r="Y1764" s="7"/>
      <c r="Z1764" s="7"/>
      <c r="AA1764" s="7"/>
    </row>
    <row r="1765" spans="1:27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>
        <v>32763</v>
      </c>
      <c r="P1765" s="1">
        <f t="shared" si="85"/>
        <v>0.53931596875190735</v>
      </c>
      <c r="Q1765" s="25">
        <f t="shared" si="86"/>
        <v>-3.9850496250437573E-2</v>
      </c>
      <c r="R1765" s="24">
        <f t="shared" si="87"/>
        <v>-2.046305175973373</v>
      </c>
      <c r="S1765" s="20"/>
      <c r="T1765" s="7"/>
      <c r="U1765" s="7"/>
      <c r="V1765" s="7"/>
      <c r="W1765" s="7"/>
      <c r="X1765" s="7"/>
      <c r="Y1765" s="7"/>
      <c r="Z1765" s="7"/>
      <c r="AA1765" s="7"/>
    </row>
    <row r="1766" spans="1:27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>
        <v>32764</v>
      </c>
      <c r="P1766" s="1">
        <f t="shared" si="85"/>
        <v>0.53927484154701233</v>
      </c>
      <c r="Q1766" s="25">
        <f t="shared" si="86"/>
        <v>-4.1902054363163188E-2</v>
      </c>
      <c r="R1766" s="24">
        <f t="shared" si="87"/>
        <v>-2.0568835799039675</v>
      </c>
      <c r="S1766" s="20"/>
      <c r="T1766" s="7"/>
      <c r="U1766" s="7"/>
      <c r="V1766" s="7"/>
      <c r="W1766" s="7"/>
      <c r="X1766" s="7"/>
      <c r="Y1766" s="7"/>
      <c r="Z1766" s="7"/>
      <c r="AA1766" s="7"/>
    </row>
    <row r="1767" spans="1:27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>
        <v>32765</v>
      </c>
      <c r="P1767" s="1">
        <f t="shared" si="85"/>
        <v>0.53923168778419495</v>
      </c>
      <c r="Q1767" s="25">
        <f t="shared" si="86"/>
        <v>-4.3964235374005511E-2</v>
      </c>
      <c r="R1767" s="24">
        <f t="shared" si="87"/>
        <v>-2.0675026055627654</v>
      </c>
      <c r="S1767" s="20"/>
      <c r="T1767" s="7"/>
      <c r="U1767" s="7"/>
      <c r="V1767" s="7"/>
      <c r="W1767" s="7"/>
      <c r="X1767" s="7"/>
      <c r="Y1767" s="7"/>
      <c r="Z1767" s="7"/>
      <c r="AA1767" s="7"/>
    </row>
    <row r="1768" spans="1:27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>
        <v>32766</v>
      </c>
      <c r="P1768" s="1">
        <f t="shared" si="85"/>
        <v>0.53918686509132385</v>
      </c>
      <c r="Q1768" s="25">
        <f t="shared" si="86"/>
        <v>-4.6037126594455913E-2</v>
      </c>
      <c r="R1768" s="24">
        <f t="shared" si="87"/>
        <v>-2.0781623524257498</v>
      </c>
      <c r="S1768" s="20"/>
      <c r="T1768" s="7"/>
      <c r="U1768" s="7"/>
      <c r="V1768" s="7"/>
      <c r="W1768" s="7"/>
      <c r="X1768" s="7"/>
      <c r="Y1768" s="7"/>
      <c r="Z1768" s="7"/>
      <c r="AA1768" s="7"/>
    </row>
    <row r="1769" spans="1:27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>
        <v>32767</v>
      </c>
      <c r="P1769" s="1">
        <f t="shared" si="85"/>
        <v>0.53913977742195129</v>
      </c>
      <c r="Q1769" s="25">
        <f t="shared" si="86"/>
        <v>-4.8120553401531652E-2</v>
      </c>
      <c r="R1769" s="24">
        <f t="shared" si="87"/>
        <v>-2.0888629128634761</v>
      </c>
      <c r="S1769" s="20"/>
      <c r="T1769" s="7"/>
      <c r="U1769" s="7"/>
      <c r="V1769" s="7"/>
      <c r="W1769" s="7"/>
      <c r="X1769" s="7"/>
      <c r="Y1769" s="7"/>
      <c r="Z1769" s="7"/>
      <c r="AA1769" s="7"/>
    </row>
    <row r="1770" spans="1:27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>
        <v>32768</v>
      </c>
      <c r="P1770" s="1">
        <f t="shared" si="85"/>
        <v>0.53909066319465637</v>
      </c>
      <c r="Q1770" s="25">
        <f t="shared" si="86"/>
        <v>-5.0214835937367752E-2</v>
      </c>
      <c r="R1770" s="24">
        <f t="shared" si="87"/>
        <v>-2.0996043899046413</v>
      </c>
      <c r="S1770" s="20"/>
      <c r="T1770" s="7"/>
      <c r="U1770" s="7"/>
      <c r="V1770" s="7"/>
      <c r="W1770" s="7"/>
      <c r="X1770" s="7"/>
      <c r="Y1770" s="7"/>
      <c r="Z1770" s="7"/>
      <c r="AA1770" s="7"/>
    </row>
    <row r="1771" spans="1:27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>
        <v>32769</v>
      </c>
      <c r="P1771" s="1">
        <f t="shared" si="85"/>
        <v>0.53903964161872864</v>
      </c>
      <c r="Q1771" s="25">
        <f t="shared" si="86"/>
        <v>-5.2319828682811931E-2</v>
      </c>
      <c r="R1771" s="24">
        <f t="shared" si="87"/>
        <v>-2.1103868812488713</v>
      </c>
      <c r="S1771" s="20"/>
      <c r="T1771" s="7"/>
      <c r="U1771" s="7"/>
      <c r="V1771" s="7"/>
      <c r="W1771" s="7"/>
      <c r="X1771" s="7"/>
      <c r="Y1771" s="7"/>
      <c r="Z1771" s="7"/>
      <c r="AA1771" s="7"/>
    </row>
    <row r="1772" spans="1:27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>
        <v>32770</v>
      </c>
      <c r="P1772" s="1">
        <f t="shared" si="85"/>
        <v>0.53898587822914124</v>
      </c>
      <c r="Q1772" s="25">
        <f t="shared" si="86"/>
        <v>-5.4435589845525101E-2</v>
      </c>
      <c r="R1772" s="24">
        <f t="shared" si="87"/>
        <v>-2.1212104774903651</v>
      </c>
      <c r="S1772" s="20"/>
      <c r="T1772" s="7"/>
      <c r="U1772" s="7"/>
      <c r="V1772" s="7"/>
      <c r="W1772" s="7"/>
      <c r="X1772" s="7"/>
      <c r="Y1772" s="7"/>
      <c r="Z1772" s="7"/>
      <c r="AA1772" s="7"/>
    </row>
    <row r="1773" spans="1:27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>
        <v>32771</v>
      </c>
      <c r="P1773" s="1">
        <f t="shared" si="85"/>
        <v>0.53893056511878967</v>
      </c>
      <c r="Q1773" s="25">
        <f t="shared" si="86"/>
        <v>-5.6562235840829089E-2</v>
      </c>
      <c r="R1773" s="24">
        <f t="shared" si="87"/>
        <v>-2.1320752869868898</v>
      </c>
      <c r="S1773" s="20"/>
      <c r="T1773" s="7"/>
      <c r="U1773" s="7"/>
      <c r="V1773" s="7"/>
      <c r="W1773" s="7"/>
      <c r="X1773" s="7"/>
      <c r="Y1773" s="7"/>
      <c r="Z1773" s="7"/>
      <c r="AA1773" s="7"/>
    </row>
    <row r="1774" spans="1:27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>
        <v>32772</v>
      </c>
      <c r="P1774" s="1">
        <f t="shared" si="85"/>
        <v>0.5388731062412262</v>
      </c>
      <c r="Q1774" s="25">
        <f t="shared" si="86"/>
        <v>-5.8699795772554353E-2</v>
      </c>
      <c r="R1774" s="24">
        <f t="shared" si="87"/>
        <v>-2.1429814003326442</v>
      </c>
      <c r="S1774" s="20"/>
      <c r="T1774" s="7"/>
      <c r="U1774" s="7"/>
      <c r="V1774" s="7"/>
      <c r="W1774" s="7"/>
      <c r="X1774" s="7"/>
      <c r="Y1774" s="7"/>
      <c r="Z1774" s="7"/>
      <c r="AA1774" s="7"/>
    </row>
    <row r="1775" spans="1:27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>
        <v>32773</v>
      </c>
      <c r="P1775" s="1">
        <f t="shared" si="85"/>
        <v>0.53881314396858215</v>
      </c>
      <c r="Q1775" s="25">
        <f t="shared" si="86"/>
        <v>-6.0848269640700892E-2</v>
      </c>
      <c r="R1775" s="24">
        <f t="shared" si="87"/>
        <v>-2.1539289170036113</v>
      </c>
      <c r="S1775" s="20"/>
      <c r="T1775" s="7"/>
      <c r="U1775" s="7"/>
      <c r="V1775" s="7"/>
      <c r="W1775" s="7"/>
      <c r="X1775" s="7"/>
      <c r="Y1775" s="7"/>
      <c r="Z1775" s="7"/>
      <c r="AA1775" s="7"/>
    </row>
    <row r="1776" spans="1:27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>
        <v>32774</v>
      </c>
      <c r="P1776" s="1">
        <f t="shared" si="85"/>
        <v>0.53875139355659485</v>
      </c>
      <c r="Q1776" s="25">
        <f t="shared" si="86"/>
        <v>-6.3007628341438249E-2</v>
      </c>
      <c r="R1776" s="24">
        <f t="shared" si="87"/>
        <v>-2.1649179400284879</v>
      </c>
      <c r="S1776" s="20"/>
      <c r="T1776" s="7"/>
      <c r="U1776" s="7"/>
      <c r="V1776" s="7"/>
      <c r="W1776" s="7"/>
      <c r="X1776" s="7"/>
      <c r="Y1776" s="7"/>
      <c r="Z1776" s="7"/>
      <c r="AA1776" s="7"/>
    </row>
    <row r="1777" spans="1:27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>
        <v>32775</v>
      </c>
      <c r="P1777" s="1">
        <f t="shared" si="85"/>
        <v>0.53868773579597473</v>
      </c>
      <c r="Q1777" s="25">
        <f t="shared" si="86"/>
        <v>-6.5178046497749165E-2</v>
      </c>
      <c r="R1777" s="24">
        <f t="shared" si="87"/>
        <v>-2.1759485653305433</v>
      </c>
      <c r="S1777" s="20"/>
      <c r="T1777" s="7"/>
      <c r="U1777" s="7"/>
      <c r="V1777" s="7"/>
      <c r="W1777" s="7"/>
      <c r="X1777" s="7"/>
      <c r="Y1777" s="7"/>
      <c r="Z1777" s="7"/>
      <c r="AA1777" s="7"/>
    </row>
    <row r="1778" spans="1:27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>
        <v>32776</v>
      </c>
      <c r="P1778" s="1">
        <f t="shared" si="85"/>
        <v>0.53862038254737854</v>
      </c>
      <c r="Q1778" s="25">
        <f t="shared" si="86"/>
        <v>-6.7359553213464096E-2</v>
      </c>
      <c r="R1778" s="24">
        <f t="shared" si="87"/>
        <v>-2.1870208888330467</v>
      </c>
      <c r="S1778" s="20"/>
      <c r="T1778" s="7"/>
      <c r="U1778" s="7"/>
      <c r="V1778" s="7"/>
      <c r="W1778" s="7"/>
      <c r="X1778" s="7"/>
      <c r="Y1778" s="7"/>
      <c r="Z1778" s="7"/>
      <c r="AA1778" s="7"/>
    </row>
    <row r="1779" spans="1:27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>
        <v>32777</v>
      </c>
      <c r="P1779" s="1">
        <f t="shared" si="85"/>
        <v>0.53855243325233459</v>
      </c>
      <c r="Q1779" s="25">
        <f t="shared" si="86"/>
        <v>-6.95521775924135E-2</v>
      </c>
      <c r="R1779" s="24">
        <f t="shared" si="87"/>
        <v>-2.1981350064592675</v>
      </c>
      <c r="S1779" s="20"/>
      <c r="T1779" s="7"/>
      <c r="U1779" s="7"/>
      <c r="V1779" s="7"/>
      <c r="W1779" s="7"/>
      <c r="X1779" s="7"/>
      <c r="Y1779" s="7"/>
      <c r="Z1779" s="7"/>
      <c r="AA1779" s="7"/>
    </row>
    <row r="1780" spans="1:27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>
        <v>32778</v>
      </c>
      <c r="P1780" s="1">
        <f t="shared" si="85"/>
        <v>0.53848162293434143</v>
      </c>
      <c r="Q1780" s="25">
        <f t="shared" si="86"/>
        <v>-7.1755803219275549E-2</v>
      </c>
      <c r="R1780" s="24">
        <f t="shared" si="87"/>
        <v>-2.2092910247906161</v>
      </c>
      <c r="S1780" s="20"/>
      <c r="T1780" s="7"/>
      <c r="U1780" s="7"/>
      <c r="V1780" s="7"/>
      <c r="W1780" s="7"/>
      <c r="X1780" s="7"/>
      <c r="Y1780" s="7"/>
      <c r="Z1780" s="7"/>
      <c r="AA1780" s="7"/>
    </row>
    <row r="1781" spans="1:27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>
        <v>32779</v>
      </c>
      <c r="P1781" s="1">
        <f t="shared" si="85"/>
        <v>0.5384087860584259</v>
      </c>
      <c r="Q1781" s="25">
        <f t="shared" si="86"/>
        <v>-7.3970750236185268E-2</v>
      </c>
      <c r="R1781" s="24">
        <f t="shared" si="87"/>
        <v>-2.2204890361976481</v>
      </c>
      <c r="S1781" s="20"/>
      <c r="T1781" s="7"/>
      <c r="U1781" s="7"/>
      <c r="V1781" s="7"/>
      <c r="W1781" s="7"/>
      <c r="X1781" s="7"/>
      <c r="Y1781" s="7"/>
      <c r="Z1781" s="7"/>
      <c r="AA1781" s="7"/>
    </row>
    <row r="1782" spans="1:27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>
        <v>32780</v>
      </c>
      <c r="P1782" s="1">
        <f t="shared" si="85"/>
        <v>0.53833368420600891</v>
      </c>
      <c r="Q1782" s="25">
        <f t="shared" si="86"/>
        <v>-7.6196873123990372E-2</v>
      </c>
      <c r="R1782" s="24">
        <f t="shared" si="87"/>
        <v>-2.2317291454854171</v>
      </c>
      <c r="S1782" s="20"/>
      <c r="T1782" s="7"/>
      <c r="U1782" s="7"/>
      <c r="V1782" s="7"/>
      <c r="W1782" s="7"/>
      <c r="X1782" s="7"/>
      <c r="Y1782" s="7"/>
      <c r="Z1782" s="7"/>
      <c r="AA1782" s="7"/>
    </row>
    <row r="1783" spans="1:27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>
        <v>32781</v>
      </c>
      <c r="P1783" s="1">
        <f t="shared" si="85"/>
        <v>0.5382561981678009</v>
      </c>
      <c r="Q1783" s="25">
        <f t="shared" si="86"/>
        <v>-7.8434200986521319E-2</v>
      </c>
      <c r="R1783" s="24">
        <f t="shared" si="87"/>
        <v>-2.2430114503535492</v>
      </c>
      <c r="S1783" s="20"/>
      <c r="T1783" s="7"/>
      <c r="U1783" s="7"/>
      <c r="V1783" s="7"/>
      <c r="W1783" s="7"/>
      <c r="X1783" s="7"/>
      <c r="Y1783" s="7"/>
      <c r="Z1783" s="7"/>
      <c r="AA1783" s="7"/>
    </row>
    <row r="1784" spans="1:27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>
        <v>32782</v>
      </c>
      <c r="P1784" s="1">
        <f t="shared" si="85"/>
        <v>0.53817716240882874</v>
      </c>
      <c r="Q1784" s="25">
        <f t="shared" si="86"/>
        <v>-8.0682908446760848E-2</v>
      </c>
      <c r="R1784" s="24">
        <f t="shared" si="87"/>
        <v>-2.2543360467253137</v>
      </c>
      <c r="S1784" s="20"/>
      <c r="T1784" s="7"/>
      <c r="U1784" s="7"/>
      <c r="V1784" s="7"/>
      <c r="W1784" s="7"/>
      <c r="X1784" s="7"/>
      <c r="Y1784" s="7"/>
      <c r="Z1784" s="7"/>
      <c r="AA1784" s="7"/>
    </row>
    <row r="1785" spans="1:27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>
        <v>32783</v>
      </c>
      <c r="P1785" s="1">
        <f t="shared" si="85"/>
        <v>0.5380953848361969</v>
      </c>
      <c r="Q1785" s="25">
        <f t="shared" si="86"/>
        <v>-8.294290819321759E-2</v>
      </c>
      <c r="R1785" s="24">
        <f t="shared" si="87"/>
        <v>-2.2657030340766937</v>
      </c>
      <c r="S1785" s="20"/>
      <c r="T1785" s="7"/>
      <c r="U1785" s="7"/>
      <c r="V1785" s="7"/>
      <c r="W1785" s="7"/>
      <c r="X1785" s="7"/>
      <c r="Y1785" s="7"/>
      <c r="Z1785" s="7"/>
      <c r="AA1785" s="7"/>
    </row>
    <row r="1786" spans="1:27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>
        <v>32784</v>
      </c>
      <c r="P1786" s="1">
        <f t="shared" si="85"/>
        <v>0.53801122307777405</v>
      </c>
      <c r="Q1786" s="25">
        <f t="shared" si="86"/>
        <v>-8.5214229329722002E-2</v>
      </c>
      <c r="R1786" s="24">
        <f t="shared" si="87"/>
        <v>-2.2771125154363858</v>
      </c>
      <c r="S1786" s="20"/>
      <c r="T1786" s="7"/>
      <c r="U1786" s="7"/>
      <c r="V1786" s="7"/>
      <c r="W1786" s="7"/>
      <c r="X1786" s="7"/>
      <c r="Y1786" s="7"/>
      <c r="Z1786" s="7"/>
      <c r="AA1786" s="7"/>
    </row>
    <row r="1787" spans="1:27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>
        <v>32785</v>
      </c>
      <c r="P1787" s="1">
        <f t="shared" si="85"/>
        <v>0.53792455792427063</v>
      </c>
      <c r="Q1787" s="25">
        <f t="shared" si="86"/>
        <v>-8.7497104686917737E-2</v>
      </c>
      <c r="R1787" s="24">
        <f t="shared" si="87"/>
        <v>-2.2885645885040162</v>
      </c>
      <c r="S1787" s="20"/>
      <c r="T1787" s="7"/>
      <c r="U1787" s="7"/>
      <c r="V1787" s="7"/>
      <c r="W1787" s="7"/>
      <c r="X1787" s="7"/>
      <c r="Y1787" s="7"/>
      <c r="Z1787" s="7"/>
      <c r="AA1787" s="7"/>
    </row>
    <row r="1788" spans="1:27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>
        <v>32786</v>
      </c>
      <c r="P1788" s="1">
        <f t="shared" si="85"/>
        <v>0.53783586621284485</v>
      </c>
      <c r="Q1788" s="25">
        <f t="shared" si="86"/>
        <v>-8.9791446953313425E-2</v>
      </c>
      <c r="R1788" s="24">
        <f t="shared" si="87"/>
        <v>-2.3000593527555679</v>
      </c>
      <c r="S1788" s="20"/>
      <c r="T1788" s="7"/>
      <c r="U1788" s="7"/>
      <c r="V1788" s="7"/>
      <c r="W1788" s="7"/>
      <c r="X1788" s="7"/>
      <c r="Y1788" s="7"/>
      <c r="Z1788" s="7"/>
      <c r="AA1788" s="7"/>
    </row>
    <row r="1789" spans="1:27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>
        <v>32787</v>
      </c>
      <c r="P1789" s="1">
        <f t="shared" si="85"/>
        <v>0.53774550557136536</v>
      </c>
      <c r="Q1789" s="25">
        <f t="shared" si="86"/>
        <v>-9.2097256128909066E-2</v>
      </c>
      <c r="R1789" s="24">
        <f t="shared" si="87"/>
        <v>-2.311596907667024</v>
      </c>
      <c r="S1789" s="20"/>
      <c r="T1789" s="7"/>
      <c r="U1789" s="7"/>
      <c r="V1789" s="7"/>
      <c r="W1789" s="7"/>
      <c r="X1789" s="7"/>
      <c r="Y1789" s="7"/>
      <c r="Z1789" s="7"/>
      <c r="AA1789" s="7"/>
    </row>
    <row r="1790" spans="1:27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>
        <v>32788</v>
      </c>
      <c r="P1790" s="1">
        <f t="shared" si="85"/>
        <v>0.53765121102333069</v>
      </c>
      <c r="Q1790" s="25">
        <f t="shared" si="86"/>
        <v>-9.4414677732856944E-2</v>
      </c>
      <c r="R1790" s="24">
        <f t="shared" si="87"/>
        <v>-2.3231773509380105</v>
      </c>
      <c r="S1790" s="20"/>
      <c r="T1790" s="7"/>
      <c r="U1790" s="7"/>
      <c r="V1790" s="7"/>
      <c r="W1790" s="7"/>
      <c r="X1790" s="7"/>
      <c r="Y1790" s="7"/>
      <c r="Z1790" s="7"/>
      <c r="AA1790" s="7"/>
    </row>
    <row r="1791" spans="1:27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>
        <v>32789</v>
      </c>
      <c r="P1791" s="1">
        <f t="shared" si="85"/>
        <v>0.53755584359169006</v>
      </c>
      <c r="Q1791" s="25">
        <f t="shared" si="86"/>
        <v>-9.6743595349835232E-2</v>
      </c>
      <c r="R1791" s="24">
        <f t="shared" si="87"/>
        <v>-2.3348007820445105</v>
      </c>
      <c r="S1791" s="20"/>
      <c r="T1791" s="7"/>
      <c r="U1791" s="7"/>
      <c r="V1791" s="7"/>
      <c r="W1791" s="7"/>
      <c r="X1791" s="7"/>
      <c r="Y1791" s="7"/>
      <c r="Z1791" s="7"/>
      <c r="AA1791" s="7"/>
    </row>
    <row r="1792" spans="1:27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>
        <v>32790</v>
      </c>
      <c r="P1792" s="1">
        <f t="shared" si="85"/>
        <v>0.53745856881141663</v>
      </c>
      <c r="Q1792" s="25">
        <f t="shared" si="86"/>
        <v>-9.9084300018148497E-2</v>
      </c>
      <c r="R1792" s="24">
        <f t="shared" si="87"/>
        <v>-2.3464673075679343</v>
      </c>
      <c r="S1792" s="20"/>
      <c r="T1792" s="7"/>
      <c r="U1792" s="7"/>
      <c r="V1792" s="7"/>
      <c r="W1792" s="7"/>
      <c r="X1792" s="7"/>
      <c r="Y1792" s="7"/>
      <c r="Z1792" s="7"/>
      <c r="AA1792" s="7"/>
    </row>
    <row r="1793" spans="1:27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>
        <v>32791</v>
      </c>
      <c r="P1793" s="1">
        <f t="shared" si="85"/>
        <v>0.53735831379890442</v>
      </c>
      <c r="Q1793" s="25">
        <f t="shared" si="86"/>
        <v>-0.10143658801098354</v>
      </c>
      <c r="R1793" s="24">
        <f t="shared" si="87"/>
        <v>-2.3581770234315513</v>
      </c>
      <c r="S1793" s="20"/>
      <c r="T1793" s="7"/>
      <c r="U1793" s="7"/>
      <c r="V1793" s="7"/>
      <c r="W1793" s="7"/>
      <c r="X1793" s="7"/>
      <c r="Y1793" s="7"/>
      <c r="Z1793" s="7"/>
      <c r="AA1793" s="7"/>
    </row>
    <row r="1794" spans="1:27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>
        <v>32792</v>
      </c>
      <c r="P1794" s="1">
        <f t="shared" si="85"/>
        <v>0.53725531697273254</v>
      </c>
      <c r="Q1794" s="25">
        <f t="shared" si="86"/>
        <v>-0.10380063395132311</v>
      </c>
      <c r="R1794" s="24">
        <f t="shared" si="87"/>
        <v>-2.3699300308877014</v>
      </c>
      <c r="S1794" s="20"/>
      <c r="T1794" s="7"/>
      <c r="U1794" s="7"/>
      <c r="V1794" s="7"/>
      <c r="W1794" s="7"/>
      <c r="X1794" s="7"/>
      <c r="Y1794" s="7"/>
      <c r="Z1794" s="7"/>
      <c r="AA1794" s="7"/>
    </row>
    <row r="1795" spans="1:27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>
        <v>32793</v>
      </c>
      <c r="P1795" s="1">
        <f t="shared" si="85"/>
        <v>0.53715041279792786</v>
      </c>
      <c r="Q1795" s="25">
        <f t="shared" si="86"/>
        <v>-0.10617643783916719</v>
      </c>
      <c r="R1795" s="24">
        <f t="shared" si="87"/>
        <v>-2.3817264276360106</v>
      </c>
      <c r="S1795" s="20"/>
      <c r="T1795" s="7"/>
      <c r="U1795" s="7"/>
      <c r="V1795" s="7"/>
      <c r="W1795" s="7"/>
      <c r="X1795" s="7"/>
      <c r="Y1795" s="7"/>
      <c r="Z1795" s="7"/>
      <c r="AA1795" s="7"/>
    </row>
    <row r="1796" spans="1:27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>
        <v>32794</v>
      </c>
      <c r="P1796" s="1">
        <f t="shared" si="85"/>
        <v>0.5370430052280426</v>
      </c>
      <c r="Q1796" s="25">
        <f t="shared" si="86"/>
        <v>-0.10856408698600717</v>
      </c>
      <c r="R1796" s="24">
        <f t="shared" si="87"/>
        <v>-2.3935663149288189</v>
      </c>
      <c r="S1796" s="20"/>
      <c r="T1796" s="7"/>
      <c r="U1796" s="7"/>
      <c r="V1796" s="7"/>
      <c r="W1796" s="7"/>
      <c r="X1796" s="7"/>
      <c r="Y1796" s="7"/>
      <c r="Z1796" s="7"/>
      <c r="AA1796" s="7"/>
    </row>
    <row r="1797" spans="1:27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>
        <v>32795</v>
      </c>
      <c r="P1797" s="1">
        <f t="shared" si="85"/>
        <v>0.53693333268165588</v>
      </c>
      <c r="Q1797" s="25">
        <f t="shared" si="86"/>
        <v>-0.11096358139184304</v>
      </c>
      <c r="R1797" s="24">
        <f t="shared" si="87"/>
        <v>-2.405449794018466</v>
      </c>
      <c r="S1797" s="20"/>
      <c r="T1797" s="7"/>
      <c r="U1797" s="7"/>
      <c r="V1797" s="7"/>
      <c r="W1797" s="7"/>
      <c r="X1797" s="7"/>
      <c r="Y1797" s="7"/>
      <c r="Z1797" s="7"/>
      <c r="AA1797" s="7"/>
    </row>
    <row r="1798" spans="1:27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>
        <v>32796</v>
      </c>
      <c r="P1798" s="1">
        <f t="shared" si="85"/>
        <v>0.53682103753089905</v>
      </c>
      <c r="Q1798" s="25">
        <f t="shared" si="86"/>
        <v>-0.11337503747199662</v>
      </c>
      <c r="R1798" s="24">
        <f t="shared" si="87"/>
        <v>-2.4173769661572919</v>
      </c>
      <c r="S1798" s="20"/>
      <c r="T1798" s="7"/>
      <c r="U1798" s="7"/>
      <c r="V1798" s="7"/>
      <c r="W1798" s="7"/>
      <c r="X1798" s="7"/>
      <c r="Y1798" s="7"/>
      <c r="Z1798" s="7"/>
      <c r="AA1798" s="7"/>
    </row>
    <row r="1799" spans="1:27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>
        <v>32797</v>
      </c>
      <c r="P1799" s="1">
        <f t="shared" si="85"/>
        <v>0.53670695424079895</v>
      </c>
      <c r="Q1799" s="25">
        <f t="shared" si="86"/>
        <v>-0.1157983388111461</v>
      </c>
      <c r="R1799" s="24">
        <f t="shared" si="87"/>
        <v>-2.4293479290449227</v>
      </c>
      <c r="S1799" s="20"/>
      <c r="T1799" s="7"/>
      <c r="U1799" s="7"/>
      <c r="V1799" s="7"/>
      <c r="W1799" s="7"/>
      <c r="X1799" s="7"/>
      <c r="Y1799" s="7"/>
      <c r="Z1799" s="7"/>
      <c r="AA1799" s="7"/>
    </row>
    <row r="1800" spans="1:27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>
        <v>32798</v>
      </c>
      <c r="P1800" s="1">
        <f t="shared" si="85"/>
        <v>0.53658941388130188</v>
      </c>
      <c r="Q1800" s="25">
        <f t="shared" si="86"/>
        <v>-0.11823371823993511</v>
      </c>
      <c r="R1800" s="24">
        <f t="shared" si="87"/>
        <v>-2.4413627874864119</v>
      </c>
      <c r="S1800" s="20"/>
      <c r="T1800" s="7"/>
      <c r="U1800" s="7"/>
      <c r="V1800" s="7"/>
      <c r="W1800" s="7"/>
      <c r="X1800" s="7"/>
      <c r="Y1800" s="7"/>
      <c r="Z1800" s="7"/>
      <c r="AA1800" s="7"/>
    </row>
    <row r="1801" spans="1:27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>
        <v>32799</v>
      </c>
      <c r="P1801" s="1">
        <f t="shared" si="85"/>
        <v>0.5364697277545929</v>
      </c>
      <c r="Q1801" s="25">
        <f t="shared" si="86"/>
        <v>-0.1206810302392114</v>
      </c>
      <c r="R1801" s="24">
        <f t="shared" si="87"/>
        <v>-2.453421646286813</v>
      </c>
      <c r="S1801" s="20"/>
      <c r="T1801" s="7"/>
      <c r="U1801" s="7"/>
      <c r="V1801" s="7"/>
      <c r="W1801" s="7"/>
      <c r="X1801" s="7"/>
      <c r="Y1801" s="7"/>
      <c r="Z1801" s="7"/>
      <c r="AA1801" s="7"/>
    </row>
    <row r="1802" spans="1:27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>
        <v>32800</v>
      </c>
      <c r="P1802" s="1">
        <f t="shared" ref="P1802:P1865" si="88" xml:space="preserve"> -1.4681315616E-19*$O1802^6 + 2.80493263066289E-14*$O1802^5 - 2.23271907955907E-09*$O1802^4 + 0.0000947783879077569*$O1802^3 - 2.26293121558813*$O1802^2 + 28813.4861268598*$O1802 - 152852350.445896</f>
        <v>0.53634777665138245</v>
      </c>
      <c r="Q1802" s="25">
        <f t="shared" ref="Q1802:Q1865" si="89" xml:space="preserve"> (6*-1.4681315616E-19*$O1802^5 + 5*2.80493263066289E-14*$O1802^4 - 4*2.23271907955907E-09*$O1802^3 + 3*0.0000947783879077569*$O1802^2 - 2*2.26293121558813*$O1802^1 + 28813.4861268598)*1000</f>
        <v>-0.1231405658472795</v>
      </c>
      <c r="R1802" s="24">
        <f t="shared" ref="R1802:R1865" si="90" xml:space="preserve"> (5*6*-1.4681315616E-19*$O1802^4 + 4*5*2.80493263066289E-14*$O1802^3 - 3*4*2.23271907955907E-09*$O1802^2 + 2*3*0.0000947783879077569*$O1802^1 - 2*2.26293121558813)*1000*1000</f>
        <v>-2.4655245942639681</v>
      </c>
      <c r="S1802" s="20"/>
      <c r="T1802" s="7"/>
      <c r="U1802" s="7"/>
      <c r="V1802" s="7"/>
      <c r="W1802" s="7"/>
      <c r="X1802" s="7"/>
      <c r="Y1802" s="7"/>
      <c r="Z1802" s="7"/>
      <c r="AA1802" s="7"/>
    </row>
    <row r="1803" spans="1:27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>
        <v>32801</v>
      </c>
      <c r="P1803" s="1">
        <f t="shared" si="88"/>
        <v>0.53622403740882874</v>
      </c>
      <c r="Q1803" s="25">
        <f t="shared" si="89"/>
        <v>-0.12561212133732624</v>
      </c>
      <c r="R1803" s="24">
        <f t="shared" si="90"/>
        <v>-2.4776717451047148</v>
      </c>
      <c r="S1803" s="20"/>
      <c r="T1803" s="7"/>
      <c r="U1803" s="7"/>
      <c r="V1803" s="7"/>
      <c r="W1803" s="7"/>
      <c r="X1803" s="7"/>
      <c r="Y1803" s="7"/>
      <c r="Z1803" s="7"/>
      <c r="AA1803" s="7"/>
    </row>
    <row r="1804" spans="1:27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>
        <v>32802</v>
      </c>
      <c r="P1804" s="1">
        <f t="shared" si="88"/>
        <v>0.53609743714332581</v>
      </c>
      <c r="Q1804" s="25">
        <f t="shared" si="89"/>
        <v>-0.12809595864382572</v>
      </c>
      <c r="R1804" s="24">
        <f t="shared" si="90"/>
        <v>-2.4898631894032519</v>
      </c>
      <c r="S1804" s="20"/>
      <c r="T1804" s="7"/>
      <c r="U1804" s="7"/>
      <c r="V1804" s="7"/>
      <c r="W1804" s="7"/>
      <c r="X1804" s="7"/>
      <c r="Y1804" s="7"/>
      <c r="Z1804" s="7"/>
      <c r="AA1804" s="7"/>
    </row>
    <row r="1805" spans="1:27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>
        <v>32803</v>
      </c>
      <c r="P1805" s="1">
        <f t="shared" si="88"/>
        <v>0.5359673798084259</v>
      </c>
      <c r="Q1805" s="25">
        <f t="shared" si="89"/>
        <v>-0.13059196135145612</v>
      </c>
      <c r="R1805" s="24">
        <f t="shared" si="90"/>
        <v>-2.5020990372937035</v>
      </c>
      <c r="S1805" s="20"/>
      <c r="T1805" s="7"/>
      <c r="U1805" s="7"/>
      <c r="V1805" s="7"/>
      <c r="W1805" s="7"/>
      <c r="X1805" s="7"/>
      <c r="Y1805" s="7"/>
      <c r="Z1805" s="7"/>
      <c r="AA1805" s="7"/>
    </row>
    <row r="1806" spans="1:27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>
        <v>32804</v>
      </c>
      <c r="P1806" s="1">
        <f t="shared" si="88"/>
        <v>0.53583553433418274</v>
      </c>
      <c r="Q1806" s="25">
        <f t="shared" si="89"/>
        <v>-0.13310010035638697</v>
      </c>
      <c r="R1806" s="24">
        <f t="shared" si="90"/>
        <v>-2.514379384699339</v>
      </c>
      <c r="S1806" s="20"/>
      <c r="T1806" s="7"/>
      <c r="U1806" s="7"/>
      <c r="V1806" s="7"/>
      <c r="W1806" s="7"/>
      <c r="X1806" s="7"/>
      <c r="Y1806" s="7"/>
      <c r="Z1806" s="7"/>
      <c r="AA1806" s="7"/>
    </row>
    <row r="1807" spans="1:27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>
        <v>32805</v>
      </c>
      <c r="P1807" s="1">
        <f t="shared" si="88"/>
        <v>0.53570154309272766</v>
      </c>
      <c r="Q1807" s="25">
        <f t="shared" si="89"/>
        <v>-0.13562069580075331</v>
      </c>
      <c r="R1807" s="24">
        <f t="shared" si="90"/>
        <v>-2.5267043346488549</v>
      </c>
      <c r="S1807" s="20"/>
      <c r="T1807" s="7"/>
      <c r="U1807" s="7"/>
      <c r="V1807" s="7"/>
      <c r="W1807" s="7"/>
      <c r="X1807" s="7"/>
      <c r="Y1807" s="7"/>
      <c r="Z1807" s="7"/>
      <c r="AA1807" s="7"/>
    </row>
    <row r="1808" spans="1:27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>
        <v>32806</v>
      </c>
      <c r="P1808" s="1">
        <f t="shared" si="88"/>
        <v>0.53556457161903381</v>
      </c>
      <c r="Q1808" s="25">
        <f t="shared" si="89"/>
        <v>-0.13815357306157239</v>
      </c>
      <c r="R1808" s="24">
        <f t="shared" si="90"/>
        <v>-2.5390739919473049</v>
      </c>
      <c r="S1808" s="20"/>
      <c r="T1808" s="7"/>
      <c r="U1808" s="7"/>
      <c r="V1808" s="7"/>
      <c r="W1808" s="7"/>
      <c r="X1808" s="7"/>
      <c r="Y1808" s="7"/>
      <c r="Z1808" s="7"/>
      <c r="AA1808" s="7"/>
    </row>
    <row r="1809" spans="1:27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>
        <v>32807</v>
      </c>
      <c r="P1809" s="1">
        <f t="shared" si="88"/>
        <v>0.5354246199131012</v>
      </c>
      <c r="Q1809" s="25">
        <f t="shared" si="89"/>
        <v>-0.14069887765799649</v>
      </c>
      <c r="R1809" s="24">
        <f t="shared" si="90"/>
        <v>-2.5514884525179582</v>
      </c>
      <c r="S1809" s="20"/>
      <c r="T1809" s="7"/>
      <c r="U1809" s="7"/>
      <c r="V1809" s="7"/>
      <c r="W1809" s="7"/>
      <c r="X1809" s="7"/>
      <c r="Y1809" s="7"/>
      <c r="Z1809" s="7"/>
      <c r="AA1809" s="7"/>
    </row>
    <row r="1810" spans="1:27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>
        <v>32808</v>
      </c>
      <c r="P1810" s="1">
        <f t="shared" si="88"/>
        <v>0.53528299927711487</v>
      </c>
      <c r="Q1810" s="25">
        <f t="shared" si="89"/>
        <v>-0.14325658048619516</v>
      </c>
      <c r="R1810" s="24">
        <f t="shared" si="90"/>
        <v>-2.5639478264949389</v>
      </c>
      <c r="S1810" s="20"/>
      <c r="T1810" s="7"/>
      <c r="U1810" s="7"/>
      <c r="V1810" s="7"/>
      <c r="W1810" s="7"/>
      <c r="X1810" s="7"/>
      <c r="Y1810" s="7"/>
      <c r="Z1810" s="7"/>
      <c r="AA1810" s="7"/>
    </row>
    <row r="1811" spans="1:27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>
        <v>32809</v>
      </c>
      <c r="P1811" s="1">
        <f t="shared" si="88"/>
        <v>0.53513815999031067</v>
      </c>
      <c r="Q1811" s="25">
        <f t="shared" si="89"/>
        <v>-0.14582676885765977</v>
      </c>
      <c r="R1811" s="24">
        <f t="shared" si="90"/>
        <v>-2.5764522098015163</v>
      </c>
      <c r="S1811" s="20"/>
      <c r="T1811" s="7"/>
      <c r="U1811" s="7"/>
      <c r="V1811" s="7"/>
      <c r="W1811" s="7"/>
      <c r="X1811" s="7"/>
      <c r="Y1811" s="7"/>
      <c r="Z1811" s="7"/>
      <c r="AA1811" s="7"/>
    </row>
    <row r="1812" spans="1:27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>
        <v>32810</v>
      </c>
      <c r="P1812" s="1">
        <f t="shared" si="88"/>
        <v>0.53499177098274231</v>
      </c>
      <c r="Q1812" s="25">
        <f t="shared" si="89"/>
        <v>-0.14840950098005123</v>
      </c>
      <c r="R1812" s="24">
        <f t="shared" si="90"/>
        <v>-2.5890017019136735</v>
      </c>
      <c r="S1812" s="20"/>
      <c r="T1812" s="7"/>
      <c r="U1812" s="7"/>
      <c r="V1812" s="7"/>
      <c r="W1812" s="7"/>
      <c r="X1812" s="7"/>
      <c r="Y1812" s="7"/>
      <c r="Z1812" s="7"/>
      <c r="AA1812" s="7"/>
    </row>
    <row r="1813" spans="1:27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>
        <v>32811</v>
      </c>
      <c r="P1813" s="1">
        <f t="shared" si="88"/>
        <v>0.53484132885932922</v>
      </c>
      <c r="Q1813" s="25">
        <f t="shared" si="89"/>
        <v>-0.15100474774953909</v>
      </c>
      <c r="R1813" s="24">
        <f t="shared" si="90"/>
        <v>-2.6015964094128208</v>
      </c>
      <c r="S1813" s="20"/>
      <c r="T1813" s="7"/>
      <c r="U1813" s="7"/>
      <c r="V1813" s="7"/>
      <c r="W1813" s="7"/>
      <c r="X1813" s="7"/>
      <c r="Y1813" s="7"/>
      <c r="Z1813" s="7"/>
      <c r="AA1813" s="7"/>
    </row>
    <row r="1814" spans="1:27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>
        <v>32812</v>
      </c>
      <c r="P1814" s="1">
        <f t="shared" si="88"/>
        <v>0.53469005227088928</v>
      </c>
      <c r="Q1814" s="25">
        <f t="shared" si="89"/>
        <v>-0.15361265468527563</v>
      </c>
      <c r="R1814" s="24">
        <f t="shared" si="90"/>
        <v>-2.6142364317749411</v>
      </c>
      <c r="S1814" s="20"/>
      <c r="T1814" s="7"/>
      <c r="U1814" s="7"/>
      <c r="V1814" s="7"/>
      <c r="W1814" s="7"/>
      <c r="X1814" s="7"/>
      <c r="Y1814" s="7"/>
      <c r="Z1814" s="7"/>
      <c r="AA1814" s="7"/>
    </row>
    <row r="1815" spans="1:27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>
        <v>32813</v>
      </c>
      <c r="P1815" s="1">
        <f t="shared" si="88"/>
        <v>0.53453460335731506</v>
      </c>
      <c r="Q1815" s="25">
        <f t="shared" si="89"/>
        <v>-0.15623330909875222</v>
      </c>
      <c r="R1815" s="24">
        <f t="shared" si="90"/>
        <v>-2.626921875581445</v>
      </c>
      <c r="S1815" s="20"/>
      <c r="T1815" s="7"/>
      <c r="U1815" s="7"/>
      <c r="V1815" s="7"/>
      <c r="W1815" s="7"/>
      <c r="X1815" s="7"/>
      <c r="Y1815" s="7"/>
      <c r="Z1815" s="7"/>
      <c r="AA1815" s="7"/>
    </row>
    <row r="1816" spans="1:27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>
        <v>32814</v>
      </c>
      <c r="P1816" s="1">
        <f t="shared" si="88"/>
        <v>0.53437700867652893</v>
      </c>
      <c r="Q1816" s="25">
        <f t="shared" si="89"/>
        <v>-0.15886656547081657</v>
      </c>
      <c r="R1816" s="24">
        <f t="shared" si="90"/>
        <v>-2.6396528438610289</v>
      </c>
      <c r="S1816" s="20"/>
      <c r="T1816" s="7"/>
      <c r="U1816" s="7"/>
      <c r="V1816" s="7"/>
      <c r="W1816" s="7"/>
      <c r="X1816" s="7"/>
      <c r="Y1816" s="7"/>
      <c r="Z1816" s="7"/>
      <c r="AA1816" s="7"/>
    </row>
    <row r="1817" spans="1:27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>
        <v>32815</v>
      </c>
      <c r="P1817" s="1">
        <f t="shared" si="88"/>
        <v>0.53421691060066223</v>
      </c>
      <c r="Q1817" s="25">
        <f t="shared" si="89"/>
        <v>-0.16151265663211234</v>
      </c>
      <c r="R1817" s="24">
        <f t="shared" si="90"/>
        <v>-2.6524294343133192</v>
      </c>
      <c r="S1817" s="20"/>
      <c r="T1817" s="7"/>
      <c r="U1817" s="7"/>
      <c r="V1817" s="7"/>
      <c r="W1817" s="7"/>
      <c r="X1817" s="7"/>
      <c r="Y1817" s="7"/>
      <c r="Z1817" s="7"/>
      <c r="AA1817" s="7"/>
    </row>
    <row r="1818" spans="1:27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>
        <v>32816</v>
      </c>
      <c r="P1818" s="1">
        <f t="shared" si="88"/>
        <v>0.53405383229255676</v>
      </c>
      <c r="Q1818" s="25">
        <f t="shared" si="89"/>
        <v>-0.16417140795965679</v>
      </c>
      <c r="R1818" s="24">
        <f t="shared" si="90"/>
        <v>-2.6652517570724399</v>
      </c>
      <c r="S1818" s="20"/>
      <c r="T1818" s="7"/>
      <c r="U1818" s="7"/>
      <c r="V1818" s="7"/>
      <c r="W1818" s="7"/>
      <c r="X1818" s="7"/>
      <c r="Y1818" s="7"/>
      <c r="Z1818" s="7"/>
      <c r="AA1818" s="7"/>
    </row>
    <row r="1819" spans="1:27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>
        <v>32817</v>
      </c>
      <c r="P1819" s="1">
        <f t="shared" si="88"/>
        <v>0.53388836979866028</v>
      </c>
      <c r="Q1819" s="25">
        <f t="shared" si="89"/>
        <v>-0.16684308138792403</v>
      </c>
      <c r="R1819" s="24">
        <f t="shared" si="90"/>
        <v>-2.6781199080616602</v>
      </c>
      <c r="S1819" s="20"/>
      <c r="T1819" s="7"/>
      <c r="U1819" s="7"/>
      <c r="V1819" s="7"/>
      <c r="W1819" s="7"/>
      <c r="X1819" s="7"/>
      <c r="Y1819" s="7"/>
      <c r="Z1819" s="7"/>
      <c r="AA1819" s="7"/>
    </row>
    <row r="1820" spans="1:27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>
        <v>32818</v>
      </c>
      <c r="P1820" s="1">
        <f t="shared" si="88"/>
        <v>0.53372064232826233</v>
      </c>
      <c r="Q1820" s="25">
        <f t="shared" si="89"/>
        <v>-0.16952767691691406</v>
      </c>
      <c r="R1820" s="24">
        <f t="shared" si="90"/>
        <v>-2.6910339903096769</v>
      </c>
      <c r="S1820" s="20"/>
      <c r="T1820" s="7"/>
      <c r="U1820" s="7"/>
      <c r="V1820" s="7"/>
      <c r="W1820" s="7"/>
      <c r="X1820" s="7"/>
      <c r="Y1820" s="7"/>
      <c r="Z1820" s="7"/>
      <c r="AA1820" s="7"/>
    </row>
    <row r="1821" spans="1:27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>
        <v>32819</v>
      </c>
      <c r="P1821" s="1">
        <f t="shared" si="88"/>
        <v>0.5335489809513092</v>
      </c>
      <c r="Q1821" s="25">
        <f t="shared" si="89"/>
        <v>-0.17222519454662688</v>
      </c>
      <c r="R1821" s="24">
        <f t="shared" si="90"/>
        <v>-2.7039941086215435</v>
      </c>
      <c r="S1821" s="20"/>
      <c r="T1821" s="7"/>
      <c r="U1821" s="7"/>
      <c r="V1821" s="7"/>
      <c r="W1821" s="7"/>
      <c r="X1821" s="7"/>
      <c r="Y1821" s="7"/>
      <c r="Z1821" s="7"/>
      <c r="AA1821" s="7"/>
    </row>
    <row r="1822" spans="1:27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>
        <v>32820</v>
      </c>
      <c r="P1822" s="1">
        <f t="shared" si="88"/>
        <v>0.53337612748146057</v>
      </c>
      <c r="Q1822" s="25">
        <f t="shared" si="89"/>
        <v>-0.17493563427706249</v>
      </c>
      <c r="R1822" s="24">
        <f t="shared" si="90"/>
        <v>-2.7170003713550273</v>
      </c>
      <c r="S1822" s="20"/>
      <c r="T1822" s="7"/>
      <c r="U1822" s="7"/>
      <c r="V1822" s="7"/>
      <c r="W1822" s="7"/>
      <c r="X1822" s="7"/>
      <c r="Y1822" s="7"/>
      <c r="Z1822" s="7"/>
      <c r="AA1822" s="7"/>
    </row>
    <row r="1823" spans="1:27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>
        <v>32821</v>
      </c>
      <c r="P1823" s="1">
        <f t="shared" si="88"/>
        <v>0.53319957852363586</v>
      </c>
      <c r="Q1823" s="25">
        <f t="shared" si="89"/>
        <v>-0.17765922893886454</v>
      </c>
      <c r="R1823" s="24">
        <f t="shared" si="90"/>
        <v>-2.7300528726570406</v>
      </c>
      <c r="S1823" s="20"/>
      <c r="T1823" s="7"/>
      <c r="U1823" s="7"/>
      <c r="V1823" s="7"/>
      <c r="W1823" s="7"/>
      <c r="X1823" s="7"/>
      <c r="Y1823" s="7"/>
      <c r="Z1823" s="7"/>
      <c r="AA1823" s="7"/>
    </row>
    <row r="1824" spans="1:27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>
        <v>32822</v>
      </c>
      <c r="P1824" s="1">
        <f t="shared" si="88"/>
        <v>0.53302076458930969</v>
      </c>
      <c r="Q1824" s="25">
        <f t="shared" si="89"/>
        <v>-0.18039577480521984</v>
      </c>
      <c r="R1824" s="24">
        <f t="shared" si="90"/>
        <v>-2.7431517208853506</v>
      </c>
      <c r="S1824" s="20"/>
      <c r="T1824" s="7"/>
      <c r="U1824" s="7"/>
      <c r="V1824" s="7"/>
      <c r="W1824" s="7"/>
      <c r="X1824" s="7"/>
      <c r="Y1824" s="7"/>
      <c r="Z1824" s="7"/>
      <c r="AA1824" s="7"/>
    </row>
    <row r="1825" spans="1:27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>
        <v>32823</v>
      </c>
      <c r="P1825" s="1">
        <f t="shared" si="88"/>
        <v>0.5328388512134552</v>
      </c>
      <c r="Q1825" s="25">
        <f t="shared" si="89"/>
        <v>-0.1831455338106025</v>
      </c>
      <c r="R1825" s="24">
        <f t="shared" si="90"/>
        <v>-2.756297020845011</v>
      </c>
      <c r="S1825" s="20"/>
      <c r="T1825" s="7"/>
      <c r="U1825" s="7"/>
      <c r="V1825" s="7"/>
      <c r="W1825" s="7"/>
      <c r="X1825" s="7"/>
      <c r="Y1825" s="7"/>
      <c r="Z1825" s="7"/>
      <c r="AA1825" s="7"/>
    </row>
    <row r="1826" spans="1:27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>
        <v>32824</v>
      </c>
      <c r="P1826" s="1">
        <f t="shared" si="88"/>
        <v>0.53265443444252014</v>
      </c>
      <c r="Q1826" s="25">
        <f t="shared" si="89"/>
        <v>-0.18590836043586023</v>
      </c>
      <c r="R1826" s="24">
        <f t="shared" si="90"/>
        <v>-2.7694888720120048</v>
      </c>
      <c r="S1826" s="20"/>
      <c r="T1826" s="7"/>
      <c r="U1826" s="7"/>
      <c r="V1826" s="7"/>
      <c r="W1826" s="7"/>
      <c r="X1826" s="7"/>
      <c r="Y1826" s="7"/>
      <c r="Z1826" s="7"/>
      <c r="AA1826" s="7"/>
    </row>
    <row r="1827" spans="1:27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>
        <v>32825</v>
      </c>
      <c r="P1827" s="1">
        <f t="shared" si="88"/>
        <v>0.53246703743934631</v>
      </c>
      <c r="Q1827" s="25">
        <f t="shared" si="89"/>
        <v>-0.18868451661546715</v>
      </c>
      <c r="R1827" s="24">
        <f t="shared" si="90"/>
        <v>-2.782727382744099</v>
      </c>
      <c r="S1827" s="20"/>
      <c r="T1827" s="7"/>
      <c r="U1827" s="7"/>
      <c r="V1827" s="7"/>
      <c r="W1827" s="7"/>
      <c r="X1827" s="7"/>
      <c r="Y1827" s="7"/>
      <c r="Z1827" s="7"/>
      <c r="AA1827" s="7"/>
    </row>
    <row r="1828" spans="1:27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>
        <v>32826</v>
      </c>
      <c r="P1828" s="1">
        <f t="shared" si="88"/>
        <v>0.53227677941322327</v>
      </c>
      <c r="Q1828" s="25">
        <f t="shared" si="89"/>
        <v>-0.19147385683027096</v>
      </c>
      <c r="R1828" s="24">
        <f t="shared" si="90"/>
        <v>-2.79601265074092</v>
      </c>
      <c r="S1828" s="20"/>
      <c r="T1828" s="7"/>
      <c r="U1828" s="7"/>
      <c r="V1828" s="7"/>
      <c r="W1828" s="7"/>
      <c r="X1828" s="7"/>
      <c r="Y1828" s="7"/>
      <c r="Z1828" s="7"/>
      <c r="AA1828" s="7"/>
    </row>
    <row r="1829" spans="1:27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>
        <v>32827</v>
      </c>
      <c r="P1829" s="1">
        <f t="shared" si="88"/>
        <v>0.53208354115486145</v>
      </c>
      <c r="Q1829" s="25">
        <f t="shared" si="89"/>
        <v>-0.19427655570325442</v>
      </c>
      <c r="R1829" s="24">
        <f t="shared" si="90"/>
        <v>-2.8093447843602348</v>
      </c>
      <c r="S1829" s="20"/>
      <c r="T1829" s="7"/>
      <c r="U1829" s="7"/>
      <c r="V1829" s="7"/>
      <c r="W1829" s="7"/>
      <c r="X1829" s="7"/>
      <c r="Y1829" s="7"/>
      <c r="Z1829" s="7"/>
      <c r="AA1829" s="7"/>
    </row>
    <row r="1830" spans="1:27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>
        <v>32828</v>
      </c>
      <c r="P1830" s="1">
        <f t="shared" si="88"/>
        <v>0.53188827633857727</v>
      </c>
      <c r="Q1830" s="25">
        <f t="shared" si="89"/>
        <v>-0.19709258413058706</v>
      </c>
      <c r="R1830" s="24">
        <f t="shared" si="90"/>
        <v>-2.8227238848543834</v>
      </c>
      <c r="S1830" s="20"/>
      <c r="T1830" s="7"/>
      <c r="U1830" s="7"/>
      <c r="V1830" s="7"/>
      <c r="W1830" s="7"/>
      <c r="X1830" s="7"/>
      <c r="Y1830" s="7"/>
      <c r="Z1830" s="7"/>
      <c r="AA1830" s="7"/>
    </row>
    <row r="1831" spans="1:27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>
        <v>32829</v>
      </c>
      <c r="P1831" s="1">
        <f t="shared" si="88"/>
        <v>0.53168967366218567</v>
      </c>
      <c r="Q1831" s="25">
        <f t="shared" si="89"/>
        <v>-0.19992200031992979</v>
      </c>
      <c r="R1831" s="24">
        <f t="shared" si="90"/>
        <v>-2.8361500659102035</v>
      </c>
      <c r="S1831" s="20"/>
      <c r="T1831" s="7"/>
      <c r="U1831" s="7"/>
      <c r="V1831" s="7"/>
      <c r="W1831" s="7"/>
      <c r="X1831" s="7"/>
      <c r="Y1831" s="7"/>
      <c r="Z1831" s="7"/>
      <c r="AA1831" s="7"/>
    </row>
    <row r="1832" spans="1:27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>
        <v>32830</v>
      </c>
      <c r="P1832" s="1">
        <f t="shared" si="88"/>
        <v>0.5314883291721344</v>
      </c>
      <c r="Q1832" s="25">
        <f t="shared" si="89"/>
        <v>-0.20276492068660446</v>
      </c>
      <c r="R1832" s="24">
        <f t="shared" si="90"/>
        <v>-2.849623416345537</v>
      </c>
      <c r="S1832" s="20"/>
      <c r="T1832" s="7"/>
      <c r="U1832" s="7"/>
      <c r="V1832" s="7"/>
      <c r="W1832" s="7"/>
      <c r="X1832" s="7"/>
      <c r="Y1832" s="7"/>
      <c r="Z1832" s="7"/>
      <c r="AA1832" s="7"/>
    </row>
    <row r="1833" spans="1:27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>
        <v>32831</v>
      </c>
      <c r="P1833" s="1">
        <f t="shared" si="88"/>
        <v>0.53128424286842346</v>
      </c>
      <c r="Q1833" s="25">
        <f t="shared" si="89"/>
        <v>-0.20562131612678058</v>
      </c>
      <c r="R1833" s="24">
        <f t="shared" si="90"/>
        <v>-2.8631440498472216</v>
      </c>
      <c r="S1833" s="20"/>
      <c r="T1833" s="7"/>
      <c r="U1833" s="7"/>
      <c r="V1833" s="7"/>
      <c r="W1833" s="7"/>
      <c r="X1833" s="7"/>
      <c r="Y1833" s="7"/>
      <c r="Z1833" s="7"/>
      <c r="AA1833" s="7"/>
    </row>
    <row r="1834" spans="1:27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>
        <v>32832</v>
      </c>
      <c r="P1834" s="1">
        <f t="shared" si="88"/>
        <v>0.53107729554176331</v>
      </c>
      <c r="Q1834" s="25">
        <f t="shared" si="89"/>
        <v>-0.20849124484811909</v>
      </c>
      <c r="R1834" s="24">
        <f t="shared" si="90"/>
        <v>-2.8767120694439541</v>
      </c>
      <c r="S1834" s="20"/>
      <c r="T1834" s="7"/>
      <c r="U1834" s="7"/>
      <c r="V1834" s="7"/>
      <c r="W1834" s="7"/>
      <c r="X1834" s="7"/>
      <c r="Y1834" s="7"/>
      <c r="Z1834" s="7"/>
      <c r="AA1834" s="7"/>
    </row>
    <row r="1835" spans="1:27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>
        <v>32833</v>
      </c>
      <c r="P1835" s="1">
        <f t="shared" si="88"/>
        <v>0.53086712956428528</v>
      </c>
      <c r="Q1835" s="25">
        <f t="shared" si="89"/>
        <v>-0.2113747650582809</v>
      </c>
      <c r="R1835" s="24">
        <f t="shared" si="90"/>
        <v>-2.8903275781644311</v>
      </c>
      <c r="S1835" s="20"/>
      <c r="T1835" s="7"/>
      <c r="U1835" s="7"/>
      <c r="V1835" s="7"/>
      <c r="W1835" s="7"/>
      <c r="X1835" s="7"/>
      <c r="Y1835" s="7"/>
      <c r="Z1835" s="7"/>
      <c r="AA1835" s="7"/>
    </row>
    <row r="1836" spans="1:27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>
        <v>32834</v>
      </c>
      <c r="P1836" s="1">
        <f t="shared" si="88"/>
        <v>0.53065469861030579</v>
      </c>
      <c r="Q1836" s="25">
        <f t="shared" si="89"/>
        <v>-0.21427181854960509</v>
      </c>
      <c r="R1836" s="24">
        <f t="shared" si="90"/>
        <v>-2.9039906861427767</v>
      </c>
      <c r="S1836" s="20"/>
      <c r="T1836" s="7"/>
      <c r="U1836" s="7"/>
      <c r="V1836" s="7"/>
      <c r="W1836" s="7"/>
      <c r="X1836" s="7"/>
      <c r="Y1836" s="7"/>
      <c r="Z1836" s="7"/>
      <c r="AA1836" s="7"/>
    </row>
    <row r="1837" spans="1:27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>
        <v>32835</v>
      </c>
      <c r="P1837" s="1">
        <f t="shared" si="88"/>
        <v>0.53043892979621887</v>
      </c>
      <c r="Q1837" s="25">
        <f t="shared" si="89"/>
        <v>-0.21718272546422668</v>
      </c>
      <c r="R1837" s="24">
        <f t="shared" si="90"/>
        <v>-2.9177014928549738</v>
      </c>
      <c r="S1837" s="20"/>
      <c r="T1837" s="7"/>
      <c r="U1837" s="7"/>
      <c r="V1837" s="7"/>
      <c r="W1837" s="7"/>
      <c r="X1837" s="7"/>
      <c r="Y1837" s="7"/>
      <c r="Z1837" s="7"/>
      <c r="AA1837" s="7"/>
    </row>
    <row r="1838" spans="1:27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>
        <v>32836</v>
      </c>
      <c r="P1838" s="1">
        <f t="shared" si="88"/>
        <v>0.53022018074989319</v>
      </c>
      <c r="Q1838" s="25">
        <f t="shared" si="89"/>
        <v>-0.22010731117916293</v>
      </c>
      <c r="R1838" s="24">
        <f t="shared" si="90"/>
        <v>-2.9314601048824329</v>
      </c>
      <c r="S1838" s="20"/>
      <c r="T1838" s="7"/>
      <c r="U1838" s="7"/>
      <c r="V1838" s="7"/>
      <c r="W1838" s="7"/>
      <c r="X1838" s="7"/>
      <c r="Y1838" s="7"/>
      <c r="Z1838" s="7"/>
      <c r="AA1838" s="7"/>
    </row>
    <row r="1839" spans="1:27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>
        <v>32837</v>
      </c>
      <c r="P1839" s="1">
        <f t="shared" si="88"/>
        <v>0.52999868988990784</v>
      </c>
      <c r="Q1839" s="25">
        <f t="shared" si="89"/>
        <v>-0.22304572121356614</v>
      </c>
      <c r="R1839" s="24">
        <f t="shared" si="90"/>
        <v>-2.9452666252538506</v>
      </c>
      <c r="S1839" s="20"/>
      <c r="T1839" s="7"/>
      <c r="U1839" s="7"/>
      <c r="V1839" s="7"/>
      <c r="W1839" s="7"/>
      <c r="X1839" s="7"/>
      <c r="Y1839" s="7"/>
      <c r="Z1839" s="7"/>
      <c r="AA1839" s="7"/>
    </row>
    <row r="1840" spans="1:27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>
        <v>32838</v>
      </c>
      <c r="P1840" s="1">
        <f t="shared" si="88"/>
        <v>0.52977481484413147</v>
      </c>
      <c r="Q1840" s="25">
        <f t="shared" si="89"/>
        <v>-0.22599783915211447</v>
      </c>
      <c r="R1840" s="24">
        <f t="shared" si="90"/>
        <v>-2.9591211605506373</v>
      </c>
      <c r="S1840" s="20"/>
      <c r="T1840" s="7"/>
      <c r="U1840" s="7"/>
      <c r="V1840" s="7"/>
      <c r="W1840" s="7"/>
      <c r="X1840" s="7"/>
      <c r="Y1840" s="7"/>
      <c r="Z1840" s="7"/>
      <c r="AA1840" s="7"/>
    </row>
    <row r="1841" spans="1:27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>
        <v>32839</v>
      </c>
      <c r="P1841" s="1">
        <f t="shared" si="88"/>
        <v>0.52954676747322083</v>
      </c>
      <c r="Q1841" s="25">
        <f t="shared" si="89"/>
        <v>-0.22896395603311248</v>
      </c>
      <c r="R1841" s="24">
        <f t="shared" si="90"/>
        <v>-2.9730238138014897</v>
      </c>
      <c r="S1841" s="20"/>
      <c r="T1841" s="7"/>
      <c r="U1841" s="7"/>
      <c r="V1841" s="7"/>
      <c r="W1841" s="7"/>
      <c r="X1841" s="7"/>
      <c r="Y1841" s="7"/>
      <c r="Z1841" s="7"/>
      <c r="AA1841" s="7"/>
    </row>
    <row r="1842" spans="1:27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>
        <v>32840</v>
      </c>
      <c r="P1842" s="1">
        <f t="shared" si="88"/>
        <v>0.52931621670722961</v>
      </c>
      <c r="Q1842" s="25">
        <f t="shared" si="89"/>
        <v>-0.23194389723357745</v>
      </c>
      <c r="R1842" s="24">
        <f t="shared" si="90"/>
        <v>-2.9869746986932455</v>
      </c>
      <c r="S1842" s="20"/>
      <c r="T1842" s="7"/>
      <c r="U1842" s="7"/>
      <c r="V1842" s="7"/>
      <c r="W1842" s="7"/>
      <c r="X1842" s="7"/>
      <c r="Y1842" s="7"/>
      <c r="Z1842" s="7"/>
      <c r="AA1842" s="7"/>
    </row>
    <row r="1843" spans="1:27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>
        <v>32841</v>
      </c>
      <c r="P1843" s="1">
        <f t="shared" si="88"/>
        <v>0.52908280491828918</v>
      </c>
      <c r="Q1843" s="25">
        <f t="shared" si="89"/>
        <v>-0.23493786648032255</v>
      </c>
      <c r="R1843" s="24">
        <f t="shared" si="90"/>
        <v>-3.0009739093728172</v>
      </c>
      <c r="S1843" s="20"/>
      <c r="T1843" s="7"/>
      <c r="U1843" s="7"/>
      <c r="V1843" s="7"/>
      <c r="W1843" s="7"/>
      <c r="X1843" s="7"/>
      <c r="Y1843" s="7"/>
      <c r="Z1843" s="7"/>
      <c r="AA1843" s="7"/>
    </row>
    <row r="1844" spans="1:27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>
        <v>32842</v>
      </c>
      <c r="P1844" s="1">
        <f t="shared" si="88"/>
        <v>0.52884617447853088</v>
      </c>
      <c r="Q1844" s="25">
        <f t="shared" si="89"/>
        <v>-0.23794589287717827</v>
      </c>
      <c r="R1844" s="24">
        <f t="shared" si="90"/>
        <v>-3.0150215559743287</v>
      </c>
      <c r="S1844" s="20"/>
      <c r="T1844" s="7"/>
      <c r="U1844" s="7"/>
      <c r="V1844" s="7"/>
      <c r="W1844" s="7"/>
      <c r="X1844" s="7"/>
      <c r="Y1844" s="7"/>
      <c r="Z1844" s="7"/>
      <c r="AA1844" s="7"/>
    </row>
    <row r="1845" spans="1:27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>
        <v>32843</v>
      </c>
      <c r="P1845" s="1">
        <f t="shared" si="88"/>
        <v>0.52860632538795471</v>
      </c>
      <c r="Q1845" s="25">
        <f t="shared" si="89"/>
        <v>-0.24096788911265321</v>
      </c>
      <c r="R1845" s="24">
        <f t="shared" si="90"/>
        <v>-3.0291177450791906</v>
      </c>
      <c r="S1845" s="20"/>
      <c r="T1845" s="7"/>
      <c r="U1845" s="7"/>
      <c r="V1845" s="7"/>
      <c r="W1845" s="7"/>
      <c r="X1845" s="7"/>
      <c r="Y1845" s="7"/>
      <c r="Z1845" s="7"/>
      <c r="AA1845" s="7"/>
    </row>
    <row r="1846" spans="1:27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>
        <v>32844</v>
      </c>
      <c r="P1846" s="1">
        <f t="shared" si="88"/>
        <v>0.52836361527442932</v>
      </c>
      <c r="Q1846" s="25">
        <f t="shared" si="89"/>
        <v>-0.24400414622505195</v>
      </c>
      <c r="R1846" s="24">
        <f t="shared" si="90"/>
        <v>-3.0432625797160995</v>
      </c>
      <c r="S1846" s="20"/>
      <c r="T1846" s="7"/>
      <c r="U1846" s="7"/>
      <c r="V1846" s="7"/>
      <c r="W1846" s="7"/>
      <c r="X1846" s="7"/>
      <c r="Y1846" s="7"/>
      <c r="Z1846" s="7"/>
      <c r="AA1846" s="7"/>
    </row>
    <row r="1847" spans="1:27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>
        <v>32845</v>
      </c>
      <c r="P1847" s="1">
        <f t="shared" si="88"/>
        <v>0.52811792492866516</v>
      </c>
      <c r="Q1847" s="25">
        <f t="shared" si="89"/>
        <v>-0.2470544604875613</v>
      </c>
      <c r="R1847" s="24">
        <f t="shared" si="90"/>
        <v>-3.0574561717955362</v>
      </c>
      <c r="S1847" s="20"/>
      <c r="T1847" s="7"/>
      <c r="U1847" s="7"/>
      <c r="V1847" s="7"/>
      <c r="W1847" s="7"/>
      <c r="X1847" s="7"/>
      <c r="Y1847" s="7"/>
      <c r="Z1847" s="7"/>
      <c r="AA1847" s="7"/>
    </row>
    <row r="1848" spans="1:27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>
        <v>32846</v>
      </c>
      <c r="P1848" s="1">
        <f t="shared" si="88"/>
        <v>0.52786973118782043</v>
      </c>
      <c r="Q1848" s="25">
        <f t="shared" si="89"/>
        <v>-0.2501190647308249</v>
      </c>
      <c r="R1848" s="24">
        <f t="shared" si="90"/>
        <v>-3.0716986207934838</v>
      </c>
      <c r="S1848" s="20"/>
      <c r="T1848" s="7"/>
      <c r="U1848" s="7"/>
      <c r="V1848" s="7"/>
      <c r="W1848" s="7"/>
      <c r="X1848" s="7"/>
      <c r="Y1848" s="7"/>
      <c r="Z1848" s="7"/>
      <c r="AA1848" s="7"/>
    </row>
    <row r="1849" spans="1:27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>
        <v>32847</v>
      </c>
      <c r="P1849" s="1">
        <f t="shared" si="88"/>
        <v>0.52761843800544739</v>
      </c>
      <c r="Q1849" s="25">
        <f t="shared" si="89"/>
        <v>-0.25319790074718185</v>
      </c>
      <c r="R1849" s="24">
        <f t="shared" si="90"/>
        <v>-3.0859900332913526</v>
      </c>
      <c r="S1849" s="20"/>
      <c r="T1849" s="7"/>
      <c r="U1849" s="7"/>
      <c r="V1849" s="7"/>
      <c r="W1849" s="7"/>
      <c r="X1849" s="7"/>
      <c r="Y1849" s="7"/>
      <c r="Z1849" s="7"/>
      <c r="AA1849" s="7"/>
    </row>
    <row r="1850" spans="1:27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>
        <v>32848</v>
      </c>
      <c r="P1850" s="1">
        <f t="shared" si="88"/>
        <v>0.52736368775367737</v>
      </c>
      <c r="Q1850" s="25">
        <f t="shared" si="89"/>
        <v>-0.25629102674429305</v>
      </c>
      <c r="R1850" s="24">
        <f t="shared" si="90"/>
        <v>-3.1003305194232667</v>
      </c>
      <c r="S1850" s="20"/>
      <c r="T1850" s="7"/>
      <c r="U1850" s="7"/>
      <c r="V1850" s="7"/>
      <c r="W1850" s="7"/>
      <c r="X1850" s="7"/>
      <c r="Y1850" s="7"/>
      <c r="Z1850" s="7"/>
      <c r="AA1850" s="7"/>
    </row>
    <row r="1851" spans="1:27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>
        <v>32849</v>
      </c>
      <c r="P1851" s="1">
        <f t="shared" si="88"/>
        <v>0.52710619568824768</v>
      </c>
      <c r="Q1851" s="25">
        <f t="shared" si="89"/>
        <v>-0.25939858824131079</v>
      </c>
      <c r="R1851" s="24">
        <f t="shared" si="90"/>
        <v>-3.1147201822179227</v>
      </c>
      <c r="S1851" s="20"/>
      <c r="T1851" s="7"/>
      <c r="U1851" s="7"/>
      <c r="V1851" s="7"/>
      <c r="W1851" s="7"/>
      <c r="X1851" s="7"/>
      <c r="Y1851" s="7"/>
      <c r="Z1851" s="7"/>
      <c r="AA1851" s="7"/>
    </row>
    <row r="1852" spans="1:27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>
        <v>32850</v>
      </c>
      <c r="P1852" s="1">
        <f t="shared" si="88"/>
        <v>0.52684465050697327</v>
      </c>
      <c r="Q1852" s="25">
        <f t="shared" si="89"/>
        <v>-0.26252055613440461</v>
      </c>
      <c r="R1852" s="24">
        <f t="shared" si="90"/>
        <v>-3.129159128256731</v>
      </c>
      <c r="S1852" s="20"/>
      <c r="T1852" s="7"/>
      <c r="U1852" s="7"/>
      <c r="V1852" s="7"/>
      <c r="W1852" s="7"/>
      <c r="X1852" s="7"/>
      <c r="Y1852" s="7"/>
      <c r="Z1852" s="7"/>
      <c r="AA1852" s="7"/>
    </row>
    <row r="1853" spans="1:27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>
        <v>32851</v>
      </c>
      <c r="P1853" s="1">
        <f t="shared" si="88"/>
        <v>0.52658084034919739</v>
      </c>
      <c r="Q1853" s="25">
        <f t="shared" si="89"/>
        <v>-0.26565687221591361</v>
      </c>
      <c r="R1853" s="24">
        <f t="shared" si="90"/>
        <v>-3.1436474712265294</v>
      </c>
      <c r="S1853" s="20"/>
      <c r="T1853" s="7"/>
      <c r="U1853" s="7"/>
      <c r="V1853" s="7"/>
      <c r="W1853" s="7"/>
      <c r="X1853" s="7"/>
      <c r="Y1853" s="7"/>
      <c r="Z1853" s="7"/>
      <c r="AA1853" s="7"/>
    </row>
    <row r="1854" spans="1:27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>
        <v>32852</v>
      </c>
      <c r="P1854" s="1">
        <f t="shared" si="88"/>
        <v>0.52631381154060364</v>
      </c>
      <c r="Q1854" s="25">
        <f t="shared" si="89"/>
        <v>-0.2688078566279728</v>
      </c>
      <c r="R1854" s="24">
        <f t="shared" si="90"/>
        <v>-3.1581853034978735</v>
      </c>
      <c r="S1854" s="20"/>
      <c r="T1854" s="7"/>
      <c r="U1854" s="7"/>
      <c r="V1854" s="7"/>
      <c r="W1854" s="7"/>
      <c r="X1854" s="7"/>
      <c r="Y1854" s="7"/>
      <c r="Z1854" s="7"/>
      <c r="AA1854" s="7"/>
    </row>
    <row r="1855" spans="1:27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>
        <v>32853</v>
      </c>
      <c r="P1855" s="1">
        <f t="shared" si="88"/>
        <v>0.52604296803474426</v>
      </c>
      <c r="Q1855" s="25">
        <f t="shared" si="89"/>
        <v>-0.27197327653993852</v>
      </c>
      <c r="R1855" s="24">
        <f t="shared" si="90"/>
        <v>-3.1727727440866715</v>
      </c>
      <c r="S1855" s="20"/>
      <c r="T1855" s="7"/>
      <c r="U1855" s="7"/>
      <c r="V1855" s="7"/>
      <c r="W1855" s="7"/>
      <c r="X1855" s="7"/>
      <c r="Y1855" s="7"/>
      <c r="Z1855" s="7"/>
      <c r="AA1855" s="7"/>
    </row>
    <row r="1856" spans="1:27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>
        <v>32854</v>
      </c>
      <c r="P1856" s="1">
        <f t="shared" si="88"/>
        <v>0.52576962113380432</v>
      </c>
      <c r="Q1856" s="25">
        <f t="shared" si="89"/>
        <v>-0.2751533938862849</v>
      </c>
      <c r="R1856" s="24">
        <f t="shared" si="90"/>
        <v>-3.1874098906925497</v>
      </c>
      <c r="S1856" s="20"/>
      <c r="T1856" s="7"/>
      <c r="U1856" s="7"/>
      <c r="V1856" s="7"/>
      <c r="W1856" s="7"/>
      <c r="X1856" s="7"/>
      <c r="Y1856" s="7"/>
      <c r="Z1856" s="7"/>
      <c r="AA1856" s="7"/>
    </row>
    <row r="1857" spans="1:27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>
        <v>32855</v>
      </c>
      <c r="P1857" s="1">
        <f t="shared" si="88"/>
        <v>0.52549281716346741</v>
      </c>
      <c r="Q1857" s="25">
        <f t="shared" si="89"/>
        <v>-0.27834812135552056</v>
      </c>
      <c r="R1857" s="24">
        <f t="shared" si="90"/>
        <v>-3.2020968587787024</v>
      </c>
      <c r="S1857" s="20"/>
      <c r="T1857" s="7"/>
      <c r="U1857" s="7"/>
      <c r="V1857" s="7"/>
      <c r="W1857" s="7"/>
      <c r="X1857" s="7"/>
      <c r="Y1857" s="7"/>
      <c r="Z1857" s="7"/>
      <c r="AA1857" s="7"/>
    </row>
    <row r="1858" spans="1:27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>
        <v>32856</v>
      </c>
      <c r="P1858" s="1">
        <f t="shared" si="88"/>
        <v>0.52521291375160217</v>
      </c>
      <c r="Q1858" s="25">
        <f t="shared" si="89"/>
        <v>-0.28155757536296733</v>
      </c>
      <c r="R1858" s="24">
        <f t="shared" si="90"/>
        <v>-3.2168337495974697</v>
      </c>
      <c r="S1858" s="20"/>
      <c r="T1858" s="7"/>
      <c r="U1858" s="7"/>
      <c r="V1858" s="7"/>
      <c r="W1858" s="7"/>
      <c r="X1858" s="7"/>
      <c r="Y1858" s="7"/>
      <c r="Z1858" s="7"/>
      <c r="AA1858" s="7"/>
    </row>
    <row r="1859" spans="1:27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>
        <v>32857</v>
      </c>
      <c r="P1859" s="1">
        <f t="shared" si="88"/>
        <v>0.52492979168891907</v>
      </c>
      <c r="Q1859" s="25">
        <f t="shared" si="89"/>
        <v>-0.28478178501245566</v>
      </c>
      <c r="R1859" s="24">
        <f t="shared" si="90"/>
        <v>-3.2316206697302619</v>
      </c>
      <c r="S1859" s="20"/>
      <c r="T1859" s="7"/>
      <c r="U1859" s="7"/>
      <c r="V1859" s="7"/>
      <c r="W1859" s="7"/>
      <c r="X1859" s="7"/>
      <c r="Y1859" s="7"/>
      <c r="Z1859" s="7"/>
      <c r="AA1859" s="7"/>
    </row>
    <row r="1860" spans="1:27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>
        <v>32858</v>
      </c>
      <c r="P1860" s="1">
        <f t="shared" si="88"/>
        <v>0.52464368939399719</v>
      </c>
      <c r="Q1860" s="25">
        <f t="shared" si="89"/>
        <v>-0.28802089582313783</v>
      </c>
      <c r="R1860" s="24">
        <f t="shared" si="90"/>
        <v>-3.2464577328639166</v>
      </c>
      <c r="S1860" s="20"/>
      <c r="T1860" s="7"/>
      <c r="U1860" s="7"/>
      <c r="V1860" s="7"/>
      <c r="W1860" s="7"/>
      <c r="X1860" s="7"/>
      <c r="Y1860" s="7"/>
      <c r="Z1860" s="7"/>
      <c r="AA1860" s="7"/>
    </row>
    <row r="1861" spans="1:27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>
        <v>32859</v>
      </c>
      <c r="P1861" s="1">
        <f t="shared" si="88"/>
        <v>0.52435377240180969</v>
      </c>
      <c r="Q1861" s="25">
        <f t="shared" si="89"/>
        <v>-0.29127476227586158</v>
      </c>
      <c r="R1861" s="24">
        <f t="shared" si="90"/>
        <v>-3.2613450420271306</v>
      </c>
      <c r="S1861" s="20"/>
      <c r="T1861" s="7"/>
      <c r="U1861" s="7"/>
      <c r="V1861" s="7"/>
      <c r="W1861" s="7"/>
      <c r="X1861" s="7"/>
      <c r="Y1861" s="7"/>
      <c r="Z1861" s="7"/>
      <c r="AA1861" s="7"/>
    </row>
    <row r="1862" spans="1:27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>
        <v>32860</v>
      </c>
      <c r="P1862" s="1">
        <f t="shared" si="88"/>
        <v>0.52406087517738342</v>
      </c>
      <c r="Q1862" s="25">
        <f t="shared" si="89"/>
        <v>-0.29454355899360962</v>
      </c>
      <c r="R1862" s="24">
        <f t="shared" si="90"/>
        <v>-3.2762826966958869</v>
      </c>
      <c r="S1862" s="20"/>
      <c r="T1862" s="7"/>
      <c r="U1862" s="7"/>
      <c r="V1862" s="7"/>
      <c r="W1862" s="7"/>
      <c r="X1862" s="7"/>
      <c r="Y1862" s="7"/>
      <c r="Z1862" s="7"/>
      <c r="AA1862" s="7"/>
    </row>
    <row r="1863" spans="1:27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>
        <v>32861</v>
      </c>
      <c r="P1863" s="1">
        <f t="shared" si="88"/>
        <v>0.52376475930213928</v>
      </c>
      <c r="Q1863" s="25">
        <f t="shared" si="89"/>
        <v>-0.29782731508021243</v>
      </c>
      <c r="R1863" s="24">
        <f t="shared" si="90"/>
        <v>-3.2912708247678779</v>
      </c>
      <c r="S1863" s="20"/>
      <c r="T1863" s="7"/>
      <c r="U1863" s="7"/>
      <c r="V1863" s="7"/>
      <c r="W1863" s="7"/>
      <c r="X1863" s="7"/>
      <c r="Y1863" s="7"/>
      <c r="Z1863" s="7"/>
      <c r="AA1863" s="7"/>
    </row>
    <row r="1864" spans="1:27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>
        <v>32862</v>
      </c>
      <c r="P1864" s="1">
        <f t="shared" si="88"/>
        <v>0.52346530556678772</v>
      </c>
      <c r="Q1864" s="25">
        <f t="shared" si="89"/>
        <v>-0.30112608874333091</v>
      </c>
      <c r="R1864" s="24">
        <f t="shared" si="90"/>
        <v>-3.3063095079555183</v>
      </c>
      <c r="S1864" s="20"/>
      <c r="T1864" s="7"/>
      <c r="U1864" s="7"/>
      <c r="V1864" s="7"/>
      <c r="W1864" s="7"/>
      <c r="X1864" s="7"/>
      <c r="Y1864" s="7"/>
      <c r="Z1864" s="7"/>
      <c r="AA1864" s="7"/>
    </row>
    <row r="1865" spans="1:27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>
        <v>32863</v>
      </c>
      <c r="P1865" s="1">
        <f t="shared" si="88"/>
        <v>0.52316239476203918</v>
      </c>
      <c r="Q1865" s="25">
        <f t="shared" si="89"/>
        <v>-0.30443993819062598</v>
      </c>
      <c r="R1865" s="24">
        <f t="shared" si="90"/>
        <v>-3.3213988741565004</v>
      </c>
      <c r="S1865" s="20"/>
      <c r="T1865" s="7"/>
      <c r="U1865" s="7"/>
      <c r="V1865" s="7"/>
      <c r="W1865" s="7"/>
      <c r="X1865" s="7"/>
      <c r="Y1865" s="7"/>
      <c r="Z1865" s="7"/>
      <c r="AA1865" s="7"/>
    </row>
    <row r="1866" spans="1:27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>
        <v>32864</v>
      </c>
      <c r="P1866" s="1">
        <f t="shared" ref="P1866:P1929" si="91" xml:space="preserve"> -1.4681315616E-19*$O1866^6 + 2.80493263066289E-14*$O1866^5 - 2.23271907955907E-09*$O1866^4 + 0.0000947783879077569*$O1866^3 - 2.26293121558813*$O1866^2 + 28813.4861268598*$O1866 - 152852350.445896</f>
        <v>0.52285626530647278</v>
      </c>
      <c r="Q1866" s="25">
        <f t="shared" ref="Q1866:Q1929" si="92" xml:space="preserve"> (6*-1.4681315616E-19*$O1866^5 + 5*2.80493263066289E-14*$O1866^4 - 4*2.23271907955907E-09*$O1866^3 + 3*0.0000947783879077569*$O1866^2 - 2*2.26293121558813*$O1866^1 + 28813.4861268598)*1000</f>
        <v>-0.30776895073358901</v>
      </c>
      <c r="R1866" s="24">
        <f t="shared" ref="R1866:R1929" si="93" xml:space="preserve"> (5*6*-1.4681315616E-19*$O1866^4 + 4*5*2.80493263066289E-14*$O1866^3 - 3*4*2.23271907955907E-09*$O1866^2 + 2*3*0.0000947783879077569*$O1866^1 - 2*2.26293121558813)*1000*1000</f>
        <v>-3.3365390263995209</v>
      </c>
      <c r="S1866" s="20"/>
      <c r="T1866" s="7"/>
      <c r="U1866" s="7"/>
      <c r="V1866" s="7"/>
      <c r="W1866" s="7"/>
      <c r="X1866" s="7"/>
      <c r="Y1866" s="7"/>
      <c r="Z1866" s="7"/>
      <c r="AA1866" s="7"/>
    </row>
    <row r="1867" spans="1:27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>
        <v>32865</v>
      </c>
      <c r="P1867" s="1">
        <f t="shared" si="91"/>
        <v>0.52254679799079895</v>
      </c>
      <c r="Q1867" s="25">
        <f t="shared" si="92"/>
        <v>-0.31111303906072862</v>
      </c>
      <c r="R1867" s="24">
        <f t="shared" si="93"/>
        <v>-3.3517300677132766</v>
      </c>
      <c r="S1867" s="20"/>
      <c r="T1867" s="7"/>
      <c r="U1867" s="7"/>
      <c r="V1867" s="7"/>
      <c r="W1867" s="7"/>
      <c r="X1867" s="7"/>
      <c r="Y1867" s="7"/>
      <c r="Z1867" s="7"/>
      <c r="AA1867" s="7"/>
    </row>
    <row r="1868" spans="1:27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>
        <v>32866</v>
      </c>
      <c r="P1868" s="1">
        <f t="shared" si="91"/>
        <v>0.52223387360572815</v>
      </c>
      <c r="Q1868" s="25">
        <f t="shared" si="92"/>
        <v>-0.31447237779502757</v>
      </c>
      <c r="R1868" s="24">
        <f t="shared" si="93"/>
        <v>-3.3669721046791778</v>
      </c>
      <c r="S1868" s="20"/>
      <c r="T1868" s="7"/>
      <c r="U1868" s="7"/>
      <c r="V1868" s="7"/>
      <c r="W1868" s="7"/>
      <c r="X1868" s="7"/>
      <c r="Y1868" s="7"/>
      <c r="Z1868" s="7"/>
      <c r="AA1868" s="7"/>
    </row>
    <row r="1869" spans="1:27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>
        <v>32867</v>
      </c>
      <c r="P1869" s="1">
        <f t="shared" si="91"/>
        <v>0.52191749215126038</v>
      </c>
      <c r="Q1869" s="25">
        <f t="shared" si="92"/>
        <v>-0.31784705424797721</v>
      </c>
      <c r="R1869" s="24">
        <f t="shared" si="93"/>
        <v>-3.3822652580894896</v>
      </c>
      <c r="S1869" s="20"/>
      <c r="T1869" s="7"/>
      <c r="U1869" s="7"/>
      <c r="V1869" s="7"/>
      <c r="W1869" s="7"/>
      <c r="X1869" s="7"/>
      <c r="Y1869" s="7"/>
      <c r="Z1869" s="7"/>
      <c r="AA1869" s="7"/>
    </row>
    <row r="1870" spans="1:27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>
        <v>32868</v>
      </c>
      <c r="P1870" s="1">
        <f t="shared" si="91"/>
        <v>0.52159824967384338</v>
      </c>
      <c r="Q1870" s="25">
        <f t="shared" si="92"/>
        <v>-0.32123698110808618</v>
      </c>
      <c r="R1870" s="24">
        <f t="shared" si="93"/>
        <v>-3.3976096203147677</v>
      </c>
      <c r="S1870" s="20"/>
      <c r="T1870" s="7"/>
      <c r="U1870" s="7"/>
      <c r="V1870" s="7"/>
      <c r="W1870" s="7"/>
      <c r="X1870" s="7"/>
      <c r="Y1870" s="7"/>
      <c r="Z1870" s="7"/>
      <c r="AA1870" s="7"/>
    </row>
    <row r="1871" spans="1:27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>
        <v>32869</v>
      </c>
      <c r="P1871" s="1">
        <f t="shared" si="91"/>
        <v>0.52127531170845032</v>
      </c>
      <c r="Q1871" s="25">
        <f t="shared" si="92"/>
        <v>-0.32464224568684585</v>
      </c>
      <c r="R1871" s="24">
        <f t="shared" si="93"/>
        <v>-3.4130053085945633</v>
      </c>
      <c r="S1871" s="20"/>
      <c r="T1871" s="7"/>
      <c r="U1871" s="7"/>
      <c r="V1871" s="7"/>
      <c r="W1871" s="7"/>
      <c r="X1871" s="7"/>
      <c r="Y1871" s="7"/>
      <c r="Z1871" s="7"/>
      <c r="AA1871" s="7"/>
    </row>
    <row r="1872" spans="1:27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>
        <v>32870</v>
      </c>
      <c r="P1872" s="1">
        <f t="shared" si="91"/>
        <v>0.52094867825508118</v>
      </c>
      <c r="Q1872" s="25">
        <f t="shared" si="92"/>
        <v>-0.32806299350340851</v>
      </c>
      <c r="R1872" s="24">
        <f t="shared" si="93"/>
        <v>-3.4284524330630006</v>
      </c>
      <c r="S1872" s="20"/>
      <c r="T1872" s="7"/>
      <c r="U1872" s="7"/>
      <c r="V1872" s="7"/>
      <c r="W1872" s="7"/>
      <c r="X1872" s="7"/>
      <c r="Y1872" s="7"/>
      <c r="Z1872" s="7"/>
      <c r="AA1872" s="7"/>
    </row>
    <row r="1873" spans="1:27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>
        <v>32871</v>
      </c>
      <c r="P1873" s="1">
        <f t="shared" si="91"/>
        <v>0.52061870694160461</v>
      </c>
      <c r="Q1873" s="25">
        <f t="shared" si="92"/>
        <v>-0.33149916635011323</v>
      </c>
      <c r="R1873" s="24">
        <f t="shared" si="93"/>
        <v>-3.4439510985251331</v>
      </c>
      <c r="S1873" s="20"/>
      <c r="T1873" s="7"/>
      <c r="U1873" s="7"/>
      <c r="V1873" s="7"/>
      <c r="W1873" s="7"/>
      <c r="X1873" s="7"/>
      <c r="Y1873" s="7"/>
      <c r="Z1873" s="7"/>
      <c r="AA1873" s="7"/>
    </row>
    <row r="1874" spans="1:27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>
        <v>32872</v>
      </c>
      <c r="P1874" s="1">
        <f t="shared" si="91"/>
        <v>0.52028599381446838</v>
      </c>
      <c r="Q1874" s="25">
        <f t="shared" si="92"/>
        <v>-0.3349509097461123</v>
      </c>
      <c r="R1874" s="24">
        <f t="shared" si="93"/>
        <v>-3.4595014168914417</v>
      </c>
      <c r="S1874" s="20"/>
      <c r="T1874" s="7"/>
      <c r="U1874" s="7"/>
      <c r="V1874" s="7"/>
      <c r="W1874" s="7"/>
      <c r="X1874" s="7"/>
      <c r="Y1874" s="7"/>
      <c r="Z1874" s="7"/>
      <c r="AA1874" s="7"/>
    </row>
    <row r="1875" spans="1:27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>
        <v>32873</v>
      </c>
      <c r="P1875" s="1">
        <f t="shared" si="91"/>
        <v>0.51994958519935608</v>
      </c>
      <c r="Q1875" s="25">
        <f t="shared" si="92"/>
        <v>-0.33841819458757527</v>
      </c>
      <c r="R1875" s="24">
        <f t="shared" si="93"/>
        <v>-3.4751034911906231</v>
      </c>
      <c r="S1875" s="20"/>
      <c r="T1875" s="7"/>
      <c r="U1875" s="7"/>
      <c r="V1875" s="7"/>
      <c r="W1875" s="7"/>
      <c r="X1875" s="7"/>
      <c r="Y1875" s="7"/>
      <c r="Z1875" s="7"/>
      <c r="AA1875" s="7"/>
    </row>
    <row r="1876" spans="1:27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>
        <v>32874</v>
      </c>
      <c r="P1876" s="1">
        <f t="shared" si="91"/>
        <v>0.51960912346839905</v>
      </c>
      <c r="Q1876" s="25">
        <f t="shared" si="92"/>
        <v>-0.34190116639365442</v>
      </c>
      <c r="R1876" s="24">
        <f t="shared" si="93"/>
        <v>-3.4907574333331581</v>
      </c>
      <c r="S1876" s="20"/>
      <c r="T1876" s="7"/>
      <c r="U1876" s="7"/>
      <c r="V1876" s="7"/>
      <c r="W1876" s="7"/>
      <c r="X1876" s="7"/>
      <c r="Y1876" s="7"/>
      <c r="Z1876" s="7"/>
      <c r="AA1876" s="7"/>
    </row>
    <row r="1877" spans="1:27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>
        <v>32875</v>
      </c>
      <c r="P1877" s="1">
        <f t="shared" si="91"/>
        <v>0.51926520466804504</v>
      </c>
      <c r="Q1877" s="25">
        <f t="shared" si="92"/>
        <v>-0.34539973785285838</v>
      </c>
      <c r="R1877" s="24">
        <f t="shared" si="93"/>
        <v>-3.5064633534531708</v>
      </c>
      <c r="S1877" s="20"/>
      <c r="T1877" s="7"/>
      <c r="U1877" s="7"/>
      <c r="V1877" s="7"/>
      <c r="W1877" s="7"/>
      <c r="X1877" s="7"/>
      <c r="Y1877" s="7"/>
      <c r="Z1877" s="7"/>
      <c r="AA1877" s="7"/>
    </row>
    <row r="1878" spans="1:27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>
        <v>32876</v>
      </c>
      <c r="P1878" s="1">
        <f t="shared" si="91"/>
        <v>0.51891854405403137</v>
      </c>
      <c r="Q1878" s="25">
        <f t="shared" si="92"/>
        <v>-0.34891408358816989</v>
      </c>
      <c r="R1878" s="24">
        <f t="shared" si="93"/>
        <v>-3.5222213599084284</v>
      </c>
      <c r="S1878" s="20"/>
      <c r="T1878" s="7"/>
      <c r="U1878" s="7"/>
      <c r="V1878" s="7"/>
      <c r="W1878" s="7"/>
      <c r="X1878" s="7"/>
      <c r="Y1878" s="7"/>
      <c r="Z1878" s="7"/>
      <c r="AA1878" s="7"/>
    </row>
    <row r="1879" spans="1:27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>
        <v>32877</v>
      </c>
      <c r="P1879" s="1">
        <f t="shared" si="91"/>
        <v>0.51856747269630432</v>
      </c>
      <c r="Q1879" s="25">
        <f t="shared" si="92"/>
        <v>-0.35244420359958895</v>
      </c>
      <c r="R1879" s="24">
        <f t="shared" si="93"/>
        <v>-3.538031562833055</v>
      </c>
      <c r="S1879" s="20"/>
      <c r="T1879" s="7"/>
      <c r="U1879" s="7"/>
      <c r="V1879" s="7"/>
      <c r="W1879" s="7"/>
      <c r="X1879" s="7"/>
      <c r="Y1879" s="7"/>
      <c r="Z1879" s="7"/>
      <c r="AA1879" s="7"/>
    </row>
    <row r="1880" spans="1:27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>
        <v>32878</v>
      </c>
      <c r="P1880" s="1">
        <f t="shared" si="91"/>
        <v>0.5182134211063385</v>
      </c>
      <c r="Q1880" s="25">
        <f t="shared" si="92"/>
        <v>-0.35599012699094601</v>
      </c>
      <c r="R1880" s="24">
        <f t="shared" si="93"/>
        <v>-3.553894067032104</v>
      </c>
      <c r="S1880" s="20"/>
      <c r="T1880" s="7"/>
      <c r="U1880" s="7"/>
      <c r="V1880" s="7"/>
      <c r="W1880" s="7"/>
      <c r="X1880" s="7"/>
      <c r="Y1880" s="7"/>
      <c r="Z1880" s="7"/>
      <c r="AA1880" s="7"/>
    </row>
    <row r="1881" spans="1:27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>
        <v>32879</v>
      </c>
      <c r="P1881" s="1">
        <f t="shared" si="91"/>
        <v>0.51785555481910706</v>
      </c>
      <c r="Q1881" s="25">
        <f t="shared" si="92"/>
        <v>-0.35955199928139336</v>
      </c>
      <c r="R1881" s="24">
        <f t="shared" si="93"/>
        <v>-3.5698089861924132</v>
      </c>
      <c r="S1881" s="20"/>
      <c r="T1881" s="7"/>
      <c r="U1881" s="7"/>
      <c r="V1881" s="7"/>
      <c r="W1881" s="7"/>
      <c r="X1881" s="7"/>
      <c r="Y1881" s="7"/>
      <c r="Z1881" s="7"/>
      <c r="AA1881" s="7"/>
    </row>
    <row r="1882" spans="1:27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>
        <v>32880</v>
      </c>
      <c r="P1882" s="1">
        <f t="shared" si="91"/>
        <v>0.51749399304389954</v>
      </c>
      <c r="Q1882" s="25">
        <f t="shared" si="92"/>
        <v>-0.36312976226327009</v>
      </c>
      <c r="R1882" s="24">
        <f t="shared" si="93"/>
        <v>-3.5857764286717497</v>
      </c>
      <c r="S1882" s="20"/>
      <c r="T1882" s="7"/>
      <c r="U1882" s="7"/>
      <c r="V1882" s="7"/>
      <c r="W1882" s="7"/>
      <c r="X1882" s="7"/>
      <c r="Y1882" s="7"/>
      <c r="Z1882" s="7"/>
      <c r="AA1882" s="7"/>
    </row>
    <row r="1883" spans="1:27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>
        <v>32881</v>
      </c>
      <c r="P1883" s="1">
        <f t="shared" si="91"/>
        <v>0.51712945103645325</v>
      </c>
      <c r="Q1883" s="25">
        <f t="shared" si="92"/>
        <v>-0.36672359055955894</v>
      </c>
      <c r="R1883" s="24">
        <f t="shared" si="93"/>
        <v>-3.6017965081569514</v>
      </c>
      <c r="S1883" s="20"/>
      <c r="T1883" s="7"/>
      <c r="U1883" s="7"/>
      <c r="V1883" s="7"/>
      <c r="W1883" s="7"/>
      <c r="X1883" s="7"/>
      <c r="Y1883" s="7"/>
      <c r="Z1883" s="7"/>
      <c r="AA1883" s="7"/>
    </row>
    <row r="1884" spans="1:27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>
        <v>32882</v>
      </c>
      <c r="P1884" s="1">
        <f t="shared" si="91"/>
        <v>0.51676109433174133</v>
      </c>
      <c r="Q1884" s="25">
        <f t="shared" si="92"/>
        <v>-0.37033342596259899</v>
      </c>
      <c r="R1884" s="24">
        <f t="shared" si="93"/>
        <v>-3.6178693276767149</v>
      </c>
      <c r="S1884" s="20"/>
      <c r="T1884" s="7"/>
      <c r="U1884" s="7"/>
      <c r="V1884" s="7"/>
      <c r="W1884" s="7"/>
      <c r="X1884" s="7"/>
      <c r="Y1884" s="7"/>
      <c r="Z1884" s="7"/>
      <c r="AA1884" s="7"/>
    </row>
    <row r="1885" spans="1:27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>
        <v>32883</v>
      </c>
      <c r="P1885" s="1">
        <f t="shared" si="91"/>
        <v>0.51638856530189514</v>
      </c>
      <c r="Q1885" s="25">
        <f t="shared" si="92"/>
        <v>-0.37395929757622071</v>
      </c>
      <c r="R1885" s="24">
        <f t="shared" si="93"/>
        <v>-3.633994999141521</v>
      </c>
      <c r="S1885" s="20"/>
      <c r="T1885" s="7"/>
      <c r="U1885" s="7"/>
      <c r="V1885" s="7"/>
      <c r="W1885" s="7"/>
      <c r="X1885" s="7"/>
      <c r="Y1885" s="7"/>
      <c r="Z1885" s="7"/>
      <c r="AA1885" s="7"/>
    </row>
    <row r="1886" spans="1:27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>
        <v>32884</v>
      </c>
      <c r="P1886" s="1">
        <f t="shared" si="91"/>
        <v>0.51601281762123108</v>
      </c>
      <c r="Q1886" s="25">
        <f t="shared" si="92"/>
        <v>-0.37760140912723728</v>
      </c>
      <c r="R1886" s="24">
        <f t="shared" si="93"/>
        <v>-3.650173630909137</v>
      </c>
      <c r="S1886" s="20"/>
      <c r="T1886" s="7"/>
      <c r="U1886" s="7"/>
      <c r="V1886" s="7"/>
      <c r="W1886" s="7"/>
      <c r="X1886" s="7"/>
      <c r="Y1886" s="7"/>
      <c r="Z1886" s="7"/>
      <c r="AA1886" s="7"/>
    </row>
    <row r="1887" spans="1:27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>
        <v>32885</v>
      </c>
      <c r="P1887" s="1">
        <f t="shared" si="91"/>
        <v>0.51563349366188049</v>
      </c>
      <c r="Q1887" s="25">
        <f t="shared" si="92"/>
        <v>-0.3812597606156487</v>
      </c>
      <c r="R1887" s="24">
        <f t="shared" si="93"/>
        <v>-3.6664053366664007</v>
      </c>
      <c r="S1887" s="20"/>
      <c r="T1887" s="7"/>
      <c r="U1887" s="7"/>
      <c r="V1887" s="7"/>
      <c r="W1887" s="7"/>
      <c r="X1887" s="7"/>
      <c r="Y1887" s="7"/>
      <c r="Z1887" s="7"/>
      <c r="AA1887" s="7"/>
    </row>
    <row r="1888" spans="1:27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>
        <v>32886</v>
      </c>
      <c r="P1888" s="1">
        <f t="shared" si="91"/>
        <v>0.51525023579597473</v>
      </c>
      <c r="Q1888" s="25">
        <f t="shared" si="92"/>
        <v>-0.38493426472996362</v>
      </c>
      <c r="R1888" s="24">
        <f t="shared" si="93"/>
        <v>-3.6826902301001496</v>
      </c>
      <c r="S1888" s="20"/>
      <c r="T1888" s="7"/>
      <c r="U1888" s="7"/>
      <c r="V1888" s="7"/>
      <c r="W1888" s="7"/>
      <c r="X1888" s="7"/>
      <c r="Y1888" s="7"/>
      <c r="Z1888" s="7"/>
      <c r="AA1888" s="7"/>
    </row>
    <row r="1889" spans="1:27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>
        <v>32887</v>
      </c>
      <c r="P1889" s="1">
        <f t="shared" si="91"/>
        <v>0.514863520860672</v>
      </c>
      <c r="Q1889" s="25">
        <f t="shared" si="92"/>
        <v>-0.38862503788550384</v>
      </c>
      <c r="R1889" s="24">
        <f t="shared" si="93"/>
        <v>-3.6990284142390806</v>
      </c>
      <c r="S1889" s="20"/>
      <c r="T1889" s="7"/>
      <c r="U1889" s="7"/>
      <c r="V1889" s="7"/>
      <c r="W1889" s="7"/>
      <c r="X1889" s="7"/>
      <c r="Y1889" s="7"/>
      <c r="Z1889" s="7"/>
      <c r="AA1889" s="7"/>
    </row>
    <row r="1890" spans="1:27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>
        <v>32888</v>
      </c>
      <c r="P1890" s="1">
        <f t="shared" si="91"/>
        <v>0.51447299122810364</v>
      </c>
      <c r="Q1890" s="25">
        <f t="shared" si="92"/>
        <v>-0.39233231291291304</v>
      </c>
      <c r="R1890" s="24">
        <f t="shared" si="93"/>
        <v>-3.7154200027700313</v>
      </c>
      <c r="S1890" s="20"/>
      <c r="T1890" s="7"/>
      <c r="U1890" s="7"/>
      <c r="V1890" s="7"/>
      <c r="W1890" s="7"/>
      <c r="X1890" s="7"/>
      <c r="Y1890" s="7"/>
      <c r="Z1890" s="7"/>
      <c r="AA1890" s="7"/>
    </row>
    <row r="1891" spans="1:27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>
        <v>32889</v>
      </c>
      <c r="P1891" s="1">
        <f t="shared" si="91"/>
        <v>0.51407900452613831</v>
      </c>
      <c r="Q1891" s="25">
        <f t="shared" si="92"/>
        <v>-0.39605597339686938</v>
      </c>
      <c r="R1891" s="24">
        <f t="shared" si="93"/>
        <v>-3.7318651040507689</v>
      </c>
      <c r="S1891" s="20"/>
      <c r="T1891" s="7"/>
      <c r="U1891" s="7"/>
      <c r="V1891" s="7"/>
      <c r="W1891" s="7"/>
      <c r="X1891" s="7"/>
      <c r="Y1891" s="7"/>
      <c r="Z1891" s="7"/>
      <c r="AA1891" s="7"/>
    </row>
    <row r="1892" spans="1:27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>
        <v>32890</v>
      </c>
      <c r="P1892" s="1">
        <f t="shared" si="91"/>
        <v>0.5136813223361969</v>
      </c>
      <c r="Q1892" s="25">
        <f t="shared" si="92"/>
        <v>-0.39979610664886422</v>
      </c>
      <c r="R1892" s="24">
        <f t="shared" si="93"/>
        <v>-3.7483638264390606</v>
      </c>
      <c r="S1892" s="20"/>
      <c r="T1892" s="7"/>
      <c r="U1892" s="7"/>
      <c r="V1892" s="7"/>
      <c r="W1892" s="7"/>
      <c r="X1892" s="7"/>
      <c r="Y1892" s="7"/>
      <c r="Z1892" s="7"/>
      <c r="AA1892" s="7"/>
    </row>
    <row r="1893" spans="1:27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>
        <v>32891</v>
      </c>
      <c r="P1893" s="1">
        <f t="shared" si="91"/>
        <v>0.51327982544898987</v>
      </c>
      <c r="Q1893" s="25">
        <f t="shared" si="92"/>
        <v>-0.40355268356506713</v>
      </c>
      <c r="R1893" s="24">
        <f t="shared" si="93"/>
        <v>-3.7649162925035284</v>
      </c>
      <c r="S1893" s="20"/>
      <c r="T1893" s="7"/>
      <c r="U1893" s="7"/>
      <c r="V1893" s="7"/>
      <c r="W1893" s="7"/>
      <c r="X1893" s="7"/>
      <c r="Y1893" s="7"/>
      <c r="Z1893" s="7"/>
      <c r="AA1893" s="7"/>
    </row>
    <row r="1894" spans="1:27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>
        <v>32892</v>
      </c>
      <c r="P1894" s="1">
        <f t="shared" si="91"/>
        <v>0.51287367939949036</v>
      </c>
      <c r="Q1894" s="25">
        <f t="shared" si="92"/>
        <v>-0.40732593697612174</v>
      </c>
      <c r="R1894" s="24">
        <f t="shared" si="93"/>
        <v>-3.7815225981674416</v>
      </c>
      <c r="S1894" s="20"/>
      <c r="T1894" s="7"/>
      <c r="U1894" s="7"/>
      <c r="V1894" s="7"/>
      <c r="W1894" s="7"/>
      <c r="X1894" s="7"/>
      <c r="Y1894" s="7"/>
      <c r="Z1894" s="7"/>
      <c r="AA1894" s="7"/>
    </row>
    <row r="1895" spans="1:27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>
        <v>32893</v>
      </c>
      <c r="P1895" s="1">
        <f t="shared" si="91"/>
        <v>0.51246479153633118</v>
      </c>
      <c r="Q1895" s="25">
        <f t="shared" si="92"/>
        <v>-0.41111575046670623</v>
      </c>
      <c r="R1895" s="24">
        <f t="shared" si="93"/>
        <v>-3.7981828606703516</v>
      </c>
      <c r="S1895" s="20"/>
      <c r="T1895" s="7"/>
      <c r="U1895" s="7"/>
      <c r="V1895" s="7"/>
      <c r="W1895" s="7"/>
      <c r="X1895" s="7"/>
      <c r="Y1895" s="7"/>
      <c r="Z1895" s="7"/>
      <c r="AA1895" s="7"/>
    </row>
    <row r="1896" spans="1:27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>
        <v>32894</v>
      </c>
      <c r="P1896" s="1">
        <f t="shared" si="91"/>
        <v>0.51205185055732727</v>
      </c>
      <c r="Q1896" s="25">
        <f t="shared" si="92"/>
        <v>-0.4149223277636338</v>
      </c>
      <c r="R1896" s="24">
        <f t="shared" si="93"/>
        <v>-3.8148971919227392</v>
      </c>
      <c r="S1896" s="20"/>
      <c r="T1896" s="7"/>
      <c r="U1896" s="7"/>
      <c r="V1896" s="7"/>
      <c r="W1896" s="7"/>
      <c r="X1896" s="7"/>
      <c r="Y1896" s="7"/>
      <c r="Z1896" s="7"/>
      <c r="AA1896" s="7"/>
    </row>
    <row r="1897" spans="1:27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>
        <v>32895</v>
      </c>
      <c r="P1897" s="1">
        <f t="shared" si="91"/>
        <v>0.51163497567176819</v>
      </c>
      <c r="Q1897" s="25">
        <f t="shared" si="92"/>
        <v>-0.41874561065924354</v>
      </c>
      <c r="R1897" s="24">
        <f t="shared" si="93"/>
        <v>-3.8316657038350854</v>
      </c>
      <c r="S1897" s="20"/>
      <c r="T1897" s="7"/>
      <c r="U1897" s="7"/>
      <c r="V1897" s="7"/>
      <c r="W1897" s="7"/>
      <c r="X1897" s="7"/>
      <c r="Y1897" s="7"/>
      <c r="Z1897" s="7"/>
      <c r="AA1897" s="7"/>
    </row>
    <row r="1898" spans="1:27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>
        <v>32896</v>
      </c>
      <c r="P1898" s="1">
        <f t="shared" si="91"/>
        <v>0.51121440529823303</v>
      </c>
      <c r="Q1898" s="25">
        <f t="shared" si="92"/>
        <v>-0.42258568646502681</v>
      </c>
      <c r="R1898" s="24">
        <f t="shared" si="93"/>
        <v>-3.8484885065415142</v>
      </c>
      <c r="S1898" s="20"/>
      <c r="T1898" s="7"/>
      <c r="U1898" s="7"/>
      <c r="V1898" s="7"/>
      <c r="W1898" s="7"/>
      <c r="X1898" s="7"/>
      <c r="Y1898" s="7"/>
      <c r="Z1898" s="7"/>
      <c r="AA1898" s="7"/>
    </row>
    <row r="1899" spans="1:27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>
        <v>32897</v>
      </c>
      <c r="P1899" s="1">
        <f t="shared" si="91"/>
        <v>0.51079002022743225</v>
      </c>
      <c r="Q1899" s="25">
        <f t="shared" si="92"/>
        <v>-0.42644258428481407</v>
      </c>
      <c r="R1899" s="24">
        <f t="shared" si="93"/>
        <v>-3.8653657119525064</v>
      </c>
      <c r="S1899" s="20"/>
      <c r="T1899" s="7"/>
      <c r="U1899" s="7"/>
      <c r="V1899" s="7"/>
      <c r="W1899" s="7"/>
      <c r="X1899" s="7"/>
      <c r="Y1899" s="7"/>
      <c r="Z1899" s="7"/>
      <c r="AA1899" s="7"/>
    </row>
    <row r="1900" spans="1:27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>
        <v>32898</v>
      </c>
      <c r="P1900" s="1">
        <f t="shared" si="91"/>
        <v>0.51036122441291809</v>
      </c>
      <c r="Q1900" s="25">
        <f t="shared" si="92"/>
        <v>-0.4303163914300967</v>
      </c>
      <c r="R1900" s="24">
        <f t="shared" si="93"/>
        <v>-3.8822974230967588</v>
      </c>
      <c r="S1900" s="20"/>
      <c r="T1900" s="7"/>
      <c r="U1900" s="7"/>
      <c r="V1900" s="7"/>
      <c r="W1900" s="7"/>
      <c r="X1900" s="7"/>
      <c r="Y1900" s="7"/>
      <c r="Z1900" s="7"/>
      <c r="AA1900" s="7"/>
    </row>
    <row r="1901" spans="1:27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>
        <v>32899</v>
      </c>
      <c r="P1901" s="1">
        <f t="shared" si="91"/>
        <v>0.50992873311042786</v>
      </c>
      <c r="Q1901" s="25">
        <f t="shared" si="92"/>
        <v>-0.43420722431619652</v>
      </c>
      <c r="R1901" s="24">
        <f t="shared" si="93"/>
        <v>-3.899283766095607</v>
      </c>
      <c r="S1901" s="20"/>
      <c r="T1901" s="7"/>
      <c r="U1901" s="7"/>
      <c r="V1901" s="7"/>
      <c r="W1901" s="7"/>
      <c r="X1901" s="7"/>
      <c r="Y1901" s="7"/>
      <c r="Z1901" s="7"/>
      <c r="AA1901" s="7"/>
    </row>
    <row r="1902" spans="1:27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>
        <v>32900</v>
      </c>
      <c r="P1902" s="1">
        <f t="shared" si="91"/>
        <v>0.5094929039478302</v>
      </c>
      <c r="Q1902" s="25">
        <f t="shared" si="92"/>
        <v>-0.43811496652779169</v>
      </c>
      <c r="R1902" s="24">
        <f t="shared" si="93"/>
        <v>-3.9163248422013908</v>
      </c>
      <c r="S1902" s="20"/>
      <c r="T1902" s="7"/>
      <c r="U1902" s="7"/>
      <c r="V1902" s="7"/>
      <c r="W1902" s="7"/>
      <c r="X1902" s="7"/>
      <c r="Y1902" s="7"/>
      <c r="Z1902" s="7"/>
      <c r="AA1902" s="7"/>
    </row>
    <row r="1903" spans="1:27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>
        <v>32901</v>
      </c>
      <c r="P1903" s="1">
        <f t="shared" si="91"/>
        <v>0.50905290246009827</v>
      </c>
      <c r="Q1903" s="25">
        <f t="shared" si="92"/>
        <v>-0.44203987999935634</v>
      </c>
      <c r="R1903" s="24">
        <f t="shared" si="93"/>
        <v>-3.9334207668773047</v>
      </c>
      <c r="S1903" s="20"/>
      <c r="T1903" s="7"/>
      <c r="U1903" s="7"/>
      <c r="V1903" s="7"/>
      <c r="W1903" s="7"/>
      <c r="X1903" s="7"/>
      <c r="Y1903" s="7"/>
      <c r="Z1903" s="7"/>
      <c r="AA1903" s="7"/>
    </row>
    <row r="1904" spans="1:27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>
        <v>32902</v>
      </c>
      <c r="P1904" s="1">
        <f t="shared" si="91"/>
        <v>0.50860872864723206</v>
      </c>
      <c r="Q1904" s="25">
        <f t="shared" si="92"/>
        <v>-0.44598184831556864</v>
      </c>
      <c r="R1904" s="24">
        <f t="shared" si="93"/>
        <v>-3.950571648481116</v>
      </c>
      <c r="S1904" s="20"/>
      <c r="T1904" s="7"/>
      <c r="U1904" s="7"/>
      <c r="V1904" s="7"/>
      <c r="W1904" s="7"/>
      <c r="X1904" s="7"/>
      <c r="Y1904" s="7"/>
      <c r="Z1904" s="7"/>
      <c r="AA1904" s="7"/>
    </row>
    <row r="1905" spans="1:27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>
        <v>32903</v>
      </c>
      <c r="P1905" s="1">
        <f t="shared" si="91"/>
        <v>0.50816121697425842</v>
      </c>
      <c r="Q1905" s="25">
        <f t="shared" si="92"/>
        <v>-0.44994098789175041</v>
      </c>
      <c r="R1905" s="24">
        <f t="shared" si="93"/>
        <v>-3.967777604252376</v>
      </c>
      <c r="S1905" s="20"/>
      <c r="T1905" s="7"/>
      <c r="U1905" s="7"/>
      <c r="V1905" s="7"/>
      <c r="W1905" s="7"/>
      <c r="X1905" s="7"/>
      <c r="Y1905" s="7"/>
      <c r="Z1905" s="7"/>
      <c r="AA1905" s="7"/>
    </row>
    <row r="1906" spans="1:27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>
        <v>32904</v>
      </c>
      <c r="P1906" s="1">
        <f t="shared" si="91"/>
        <v>0.507708340883255</v>
      </c>
      <c r="Q1906" s="25">
        <f t="shared" si="92"/>
        <v>-0.45391747335088439</v>
      </c>
      <c r="R1906" s="24">
        <f t="shared" si="93"/>
        <v>-3.985038742548852</v>
      </c>
      <c r="S1906" s="20"/>
      <c r="T1906" s="7"/>
      <c r="U1906" s="7"/>
      <c r="V1906" s="7"/>
      <c r="W1906" s="7"/>
      <c r="X1906" s="7"/>
      <c r="Y1906" s="7"/>
      <c r="Z1906" s="7"/>
      <c r="AA1906" s="7"/>
    </row>
    <row r="1907" spans="1:27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>
        <v>32905</v>
      </c>
      <c r="P1907" s="1">
        <f t="shared" si="91"/>
        <v>0.50725319981575012</v>
      </c>
      <c r="Q1907" s="25">
        <f t="shared" si="92"/>
        <v>-0.45791104275849648</v>
      </c>
      <c r="R1907" s="24">
        <f t="shared" si="93"/>
        <v>-4.0023551788337386</v>
      </c>
      <c r="S1907" s="20"/>
      <c r="T1907" s="7"/>
      <c r="U1907" s="7"/>
      <c r="V1907" s="7"/>
      <c r="W1907" s="7"/>
      <c r="X1907" s="7"/>
      <c r="Y1907" s="7"/>
      <c r="Z1907" s="7"/>
      <c r="AA1907" s="7"/>
    </row>
    <row r="1908" spans="1:27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>
        <v>32906</v>
      </c>
      <c r="P1908" s="1">
        <f t="shared" si="91"/>
        <v>0.50679329037666321</v>
      </c>
      <c r="Q1908" s="25">
        <f t="shared" si="92"/>
        <v>-0.46192213267204352</v>
      </c>
      <c r="R1908" s="24">
        <f t="shared" si="93"/>
        <v>-4.0197270214648029</v>
      </c>
      <c r="S1908" s="20"/>
      <c r="T1908" s="7"/>
      <c r="U1908" s="7"/>
      <c r="V1908" s="7"/>
      <c r="W1908" s="7"/>
      <c r="X1908" s="7"/>
      <c r="Y1908" s="7"/>
      <c r="Z1908" s="7"/>
      <c r="AA1908" s="7"/>
    </row>
    <row r="1909" spans="1:27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>
        <v>32907</v>
      </c>
      <c r="P1909" s="1">
        <f t="shared" si="91"/>
        <v>0.50632873177528381</v>
      </c>
      <c r="Q1909" s="25">
        <f t="shared" si="92"/>
        <v>-0.46595059757237323</v>
      </c>
      <c r="R1909" s="24">
        <f t="shared" si="93"/>
        <v>-4.0371543859052395</v>
      </c>
      <c r="S1909" s="20"/>
      <c r="T1909" s="7"/>
      <c r="U1909" s="7"/>
      <c r="V1909" s="7"/>
      <c r="W1909" s="7"/>
      <c r="X1909" s="7"/>
      <c r="Y1909" s="7"/>
      <c r="Z1909" s="7"/>
      <c r="AA1909" s="7"/>
    </row>
    <row r="1910" spans="1:27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>
        <v>32908</v>
      </c>
      <c r="P1910" s="1">
        <f t="shared" si="91"/>
        <v>0.50586143136024475</v>
      </c>
      <c r="Q1910" s="25">
        <f t="shared" si="92"/>
        <v>-0.46999646656331606</v>
      </c>
      <c r="R1910" s="24">
        <f t="shared" si="93"/>
        <v>-4.0546373840655292</v>
      </c>
      <c r="S1910" s="20"/>
      <c r="T1910" s="7"/>
      <c r="U1910" s="7"/>
      <c r="V1910" s="7"/>
      <c r="W1910" s="7"/>
      <c r="X1910" s="7"/>
      <c r="Y1910" s="7"/>
      <c r="Z1910" s="7"/>
      <c r="AA1910" s="7"/>
    </row>
    <row r="1911" spans="1:27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>
        <v>32909</v>
      </c>
      <c r="P1911" s="1">
        <f t="shared" si="91"/>
        <v>0.50538936257362366</v>
      </c>
      <c r="Q1911" s="25">
        <f t="shared" si="92"/>
        <v>-0.47405988516402431</v>
      </c>
      <c r="R1911" s="24">
        <f t="shared" si="93"/>
        <v>-4.0721761260797962</v>
      </c>
      <c r="S1911" s="20"/>
      <c r="T1911" s="7"/>
      <c r="U1911" s="7"/>
      <c r="V1911" s="7"/>
      <c r="W1911" s="7"/>
      <c r="X1911" s="7"/>
      <c r="Y1911" s="7"/>
      <c r="Z1911" s="7"/>
      <c r="AA1911" s="7"/>
    </row>
    <row r="1912" spans="1:27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>
        <v>32910</v>
      </c>
      <c r="P1912" s="1">
        <f t="shared" si="91"/>
        <v>0.50491288304328918</v>
      </c>
      <c r="Q1912" s="25">
        <f t="shared" si="92"/>
        <v>-0.47814085337449796</v>
      </c>
      <c r="R1912" s="24">
        <f t="shared" si="93"/>
        <v>-4.0897707256348781</v>
      </c>
      <c r="S1912" s="20"/>
      <c r="T1912" s="7"/>
      <c r="U1912" s="7"/>
      <c r="V1912" s="7"/>
      <c r="W1912" s="7"/>
      <c r="X1912" s="7"/>
      <c r="Y1912" s="7"/>
      <c r="Z1912" s="7"/>
      <c r="AA1912" s="7"/>
    </row>
    <row r="1913" spans="1:27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>
        <v>32911</v>
      </c>
      <c r="P1913" s="1">
        <f t="shared" si="91"/>
        <v>0.50443246960639954</v>
      </c>
      <c r="Q1913" s="25">
        <f t="shared" si="92"/>
        <v>-0.4822394585062284</v>
      </c>
      <c r="R1913" s="24">
        <f t="shared" si="93"/>
        <v>-4.1074212999703263</v>
      </c>
      <c r="S1913" s="20"/>
      <c r="T1913" s="7"/>
      <c r="U1913" s="7"/>
      <c r="V1913" s="7"/>
      <c r="W1913" s="7"/>
      <c r="X1913" s="7"/>
      <c r="Y1913" s="7"/>
      <c r="Z1913" s="7"/>
      <c r="AA1913" s="7"/>
    </row>
    <row r="1914" spans="1:27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>
        <v>32912</v>
      </c>
      <c r="P1914" s="1">
        <f t="shared" si="91"/>
        <v>0.50394824147224426</v>
      </c>
      <c r="Q1914" s="25">
        <f t="shared" si="92"/>
        <v>-0.48635570055921562</v>
      </c>
      <c r="R1914" s="24">
        <f t="shared" si="93"/>
        <v>-4.1251279521148376</v>
      </c>
      <c r="S1914" s="20"/>
      <c r="T1914" s="7"/>
      <c r="U1914" s="7"/>
      <c r="V1914" s="7"/>
      <c r="W1914" s="7"/>
      <c r="X1914" s="7"/>
      <c r="Y1914" s="7"/>
      <c r="Z1914" s="7"/>
      <c r="AA1914" s="7"/>
    </row>
    <row r="1915" spans="1:27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>
        <v>32913</v>
      </c>
      <c r="P1915" s="1">
        <f t="shared" si="91"/>
        <v>0.50345984101295471</v>
      </c>
      <c r="Q1915" s="25">
        <f t="shared" si="92"/>
        <v>-0.49048975415644236</v>
      </c>
      <c r="R1915" s="24">
        <f t="shared" si="93"/>
        <v>-4.1428908081897475</v>
      </c>
      <c r="S1915" s="20"/>
      <c r="T1915" s="7"/>
      <c r="U1915" s="7"/>
      <c r="V1915" s="7"/>
      <c r="W1915" s="7"/>
      <c r="X1915" s="7"/>
      <c r="Y1915" s="7"/>
      <c r="Z1915" s="7"/>
      <c r="AA1915" s="7"/>
    </row>
    <row r="1916" spans="1:27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>
        <v>32914</v>
      </c>
      <c r="P1916" s="1">
        <f t="shared" si="91"/>
        <v>0.50296774506568909</v>
      </c>
      <c r="Q1916" s="25">
        <f t="shared" si="92"/>
        <v>-0.49464150288258679</v>
      </c>
      <c r="R1916" s="24">
        <f t="shared" si="93"/>
        <v>-4.1607099730001096</v>
      </c>
      <c r="S1916" s="20"/>
      <c r="T1916" s="7"/>
      <c r="U1916" s="7"/>
      <c r="V1916" s="7"/>
      <c r="W1916" s="7"/>
      <c r="X1916" s="7"/>
      <c r="Y1916" s="7"/>
      <c r="Z1916" s="7"/>
      <c r="AA1916" s="7"/>
    </row>
    <row r="1917" spans="1:27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>
        <v>32915</v>
      </c>
      <c r="P1917" s="1">
        <f t="shared" si="91"/>
        <v>0.50247111916542053</v>
      </c>
      <c r="Q1917" s="25">
        <f t="shared" si="92"/>
        <v>-0.49881115046446212</v>
      </c>
      <c r="R1917" s="24">
        <f t="shared" si="93"/>
        <v>-4.1785855584564047</v>
      </c>
      <c r="S1917" s="20"/>
      <c r="T1917" s="7"/>
      <c r="U1917" s="7"/>
      <c r="V1917" s="7"/>
      <c r="W1917" s="7"/>
      <c r="X1917" s="7"/>
      <c r="Y1917" s="7"/>
      <c r="Z1917" s="7"/>
      <c r="AA1917" s="7"/>
    </row>
    <row r="1918" spans="1:27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>
        <v>32916</v>
      </c>
      <c r="P1918" s="1">
        <f t="shared" si="91"/>
        <v>0.5019703209400177</v>
      </c>
      <c r="Q1918" s="25">
        <f t="shared" si="92"/>
        <v>-0.50299863869440742</v>
      </c>
      <c r="R1918" s="24">
        <f t="shared" si="93"/>
        <v>-4.1965176800218273</v>
      </c>
      <c r="S1918" s="20"/>
      <c r="T1918" s="7"/>
      <c r="U1918" s="7"/>
      <c r="V1918" s="7"/>
      <c r="W1918" s="7"/>
      <c r="X1918" s="7"/>
      <c r="Y1918" s="7"/>
      <c r="Z1918" s="7"/>
      <c r="AA1918" s="7"/>
    </row>
    <row r="1919" spans="1:27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>
        <v>32917</v>
      </c>
      <c r="P1919" s="1">
        <f t="shared" si="91"/>
        <v>0.50146463513374329</v>
      </c>
      <c r="Q1919" s="25">
        <f t="shared" si="92"/>
        <v>-0.5072041712992359</v>
      </c>
      <c r="R1919" s="24">
        <f t="shared" si="93"/>
        <v>-4.2145064567122859</v>
      </c>
      <c r="S1919" s="20"/>
      <c r="T1919" s="7"/>
      <c r="U1919" s="7"/>
      <c r="V1919" s="7"/>
      <c r="W1919" s="7"/>
      <c r="X1919" s="7"/>
      <c r="Y1919" s="7"/>
      <c r="Z1919" s="7"/>
      <c r="AA1919" s="7"/>
    </row>
    <row r="1920" spans="1:27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>
        <v>32918</v>
      </c>
      <c r="P1920" s="1">
        <f t="shared" si="91"/>
        <v>0.50095584988594055</v>
      </c>
      <c r="Q1920" s="25">
        <f t="shared" si="92"/>
        <v>-0.51142774827894755</v>
      </c>
      <c r="R1920" s="24">
        <f t="shared" si="93"/>
        <v>-4.2325519933328337</v>
      </c>
      <c r="S1920" s="20"/>
      <c r="T1920" s="7"/>
      <c r="U1920" s="7"/>
      <c r="V1920" s="7"/>
      <c r="W1920" s="7"/>
      <c r="X1920" s="7"/>
      <c r="Y1920" s="7"/>
      <c r="Z1920" s="7"/>
      <c r="AA1920" s="7"/>
    </row>
    <row r="1921" spans="1:27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>
        <v>32919</v>
      </c>
      <c r="P1921" s="1">
        <f t="shared" si="91"/>
        <v>0.50044217705726624</v>
      </c>
      <c r="Q1921" s="25">
        <f t="shared" si="92"/>
        <v>-0.51566931142588146</v>
      </c>
      <c r="R1921" s="24">
        <f t="shared" si="93"/>
        <v>-4.2506543982412381</v>
      </c>
      <c r="S1921" s="20"/>
      <c r="T1921" s="7"/>
      <c r="U1921" s="7"/>
      <c r="V1921" s="7"/>
      <c r="W1921" s="7"/>
      <c r="X1921" s="7"/>
      <c r="Y1921" s="7"/>
      <c r="Z1921" s="7"/>
      <c r="AA1921" s="7"/>
    </row>
    <row r="1922" spans="1:27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>
        <v>32920</v>
      </c>
      <c r="P1922" s="1">
        <f t="shared" si="91"/>
        <v>0.49992433190345764</v>
      </c>
      <c r="Q1922" s="25">
        <f t="shared" si="92"/>
        <v>-0.51992906446685083</v>
      </c>
      <c r="R1922" s="24">
        <f t="shared" si="93"/>
        <v>-4.2688138028879052</v>
      </c>
      <c r="S1922" s="20"/>
      <c r="T1922" s="7"/>
      <c r="U1922" s="7"/>
      <c r="V1922" s="7"/>
      <c r="W1922" s="7"/>
      <c r="X1922" s="7"/>
      <c r="Y1922" s="7"/>
      <c r="Z1922" s="7"/>
      <c r="AA1922" s="7"/>
    </row>
    <row r="1923" spans="1:27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>
        <v>32921</v>
      </c>
      <c r="P1923" s="1">
        <f t="shared" si="91"/>
        <v>0.49940171837806702</v>
      </c>
      <c r="Q1923" s="25">
        <f t="shared" si="92"/>
        <v>-0.52420697829802521</v>
      </c>
      <c r="R1923" s="24">
        <f t="shared" si="93"/>
        <v>-4.2870303138542454</v>
      </c>
      <c r="S1923" s="20"/>
      <c r="T1923" s="7"/>
      <c r="U1923" s="7"/>
      <c r="V1923" s="7"/>
      <c r="W1923" s="7"/>
      <c r="X1923" s="7"/>
      <c r="Y1923" s="7"/>
      <c r="Z1923" s="7"/>
      <c r="AA1923" s="7"/>
    </row>
    <row r="1924" spans="1:27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>
        <v>32922</v>
      </c>
      <c r="P1924" s="1">
        <f t="shared" si="91"/>
        <v>0.49887564778327942</v>
      </c>
      <c r="Q1924" s="25">
        <f t="shared" si="92"/>
        <v>-0.52850314023089595</v>
      </c>
      <c r="R1924" s="24">
        <f t="shared" si="93"/>
        <v>-4.3053040412743826</v>
      </c>
      <c r="S1924" s="20"/>
      <c r="T1924" s="7"/>
      <c r="U1924" s="7"/>
      <c r="V1924" s="7"/>
      <c r="W1924" s="7"/>
      <c r="X1924" s="7"/>
      <c r="Y1924" s="7"/>
      <c r="Z1924" s="7"/>
      <c r="AA1924" s="7"/>
    </row>
    <row r="1925" spans="1:27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>
        <v>32923</v>
      </c>
      <c r="P1925" s="1">
        <f t="shared" si="91"/>
        <v>0.49834516644477844</v>
      </c>
      <c r="Q1925" s="25">
        <f t="shared" si="92"/>
        <v>-0.53281757936929353</v>
      </c>
      <c r="R1925" s="24">
        <f t="shared" si="93"/>
        <v>-4.3236351023878683</v>
      </c>
      <c r="S1925" s="20"/>
      <c r="T1925" s="7"/>
      <c r="U1925" s="7"/>
      <c r="V1925" s="7"/>
      <c r="W1925" s="7"/>
      <c r="X1925" s="7"/>
      <c r="Y1925" s="7"/>
      <c r="Z1925" s="7"/>
      <c r="AA1925" s="7"/>
    </row>
    <row r="1926" spans="1:27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>
        <v>32924</v>
      </c>
      <c r="P1926" s="1">
        <f t="shared" si="91"/>
        <v>0.49781039357185364</v>
      </c>
      <c r="Q1926" s="25">
        <f t="shared" si="92"/>
        <v>-0.53715041212853976</v>
      </c>
      <c r="R1926" s="24">
        <f t="shared" si="93"/>
        <v>-4.342023612657897</v>
      </c>
      <c r="S1926" s="20"/>
      <c r="T1926" s="7"/>
      <c r="U1926" s="7"/>
      <c r="V1926" s="7"/>
      <c r="W1926" s="7"/>
      <c r="X1926" s="7"/>
      <c r="Y1926" s="7"/>
      <c r="Z1926" s="7"/>
      <c r="AA1926" s="7"/>
    </row>
    <row r="1927" spans="1:27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>
        <v>32925</v>
      </c>
      <c r="P1927" s="1">
        <f t="shared" si="91"/>
        <v>0.49727097153663635</v>
      </c>
      <c r="Q1927" s="25">
        <f t="shared" si="92"/>
        <v>-0.54150169671629556</v>
      </c>
      <c r="R1927" s="24">
        <f t="shared" si="93"/>
        <v>-4.3604696822185929</v>
      </c>
      <c r="S1927" s="20"/>
      <c r="T1927" s="7"/>
      <c r="U1927" s="7"/>
      <c r="V1927" s="7"/>
      <c r="W1927" s="7"/>
      <c r="X1927" s="7"/>
      <c r="Y1927" s="7"/>
      <c r="Z1927" s="7"/>
      <c r="AA1927" s="7"/>
    </row>
    <row r="1928" spans="1:27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>
        <v>32926</v>
      </c>
      <c r="P1928" s="1">
        <f t="shared" si="91"/>
        <v>0.49672690033912659</v>
      </c>
      <c r="Q1928" s="25">
        <f t="shared" si="92"/>
        <v>-0.54587137492490001</v>
      </c>
      <c r="R1928" s="24">
        <f t="shared" si="93"/>
        <v>-4.3789734265331504</v>
      </c>
      <c r="S1928" s="20"/>
      <c r="T1928" s="7"/>
      <c r="U1928" s="7"/>
      <c r="V1928" s="7"/>
      <c r="W1928" s="7"/>
      <c r="X1928" s="7"/>
      <c r="Y1928" s="7"/>
      <c r="Z1928" s="7"/>
      <c r="AA1928" s="7"/>
    </row>
    <row r="1929" spans="1:27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>
        <v>32927</v>
      </c>
      <c r="P1929" s="1">
        <f t="shared" si="91"/>
        <v>0.4961794912815094</v>
      </c>
      <c r="Q1929" s="25">
        <f t="shared" si="92"/>
        <v>-0.5502595922735054</v>
      </c>
      <c r="R1929" s="24">
        <f t="shared" si="93"/>
        <v>-4.397534961064764</v>
      </c>
      <c r="S1929" s="20"/>
      <c r="T1929" s="7"/>
      <c r="U1929" s="7"/>
      <c r="V1929" s="7"/>
      <c r="W1929" s="7"/>
      <c r="X1929" s="7"/>
      <c r="Y1929" s="7"/>
      <c r="Z1929" s="7"/>
      <c r="AA1929" s="7"/>
    </row>
    <row r="1930" spans="1:27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>
        <v>32928</v>
      </c>
      <c r="P1930" s="1">
        <f t="shared" ref="P1930:P1973" si="94" xml:space="preserve"> -1.4681315616E-19*$O1930^6 + 2.80493263066289E-14*$O1930^5 - 2.23271907955907E-09*$O1930^4 + 0.0000947783879077569*$O1930^3 - 2.26293121558813*$O1930^2 + 28813.4861268598*$O1930 - 152852350.445896</f>
        <v>0.49562671780586243</v>
      </c>
      <c r="Q1930" s="25">
        <f t="shared" ref="Q1930:Q1973" si="95" xml:space="preserve"> (6*-1.4681315616E-19*$O1930^5 + 5*2.80493263066289E-14*$O1930^4 - 4*2.23271907955907E-09*$O1930^3 + 3*0.0000947783879077569*$O1930^2 - 2*2.26293121558813*$O1930^1 + 28813.4861268598)*1000</f>
        <v>-0.55466643607360311</v>
      </c>
      <c r="R1930" s="24">
        <f t="shared" ref="R1930:R1973" si="96" xml:space="preserve"> (5*6*-1.4681315616E-19*$O1930^4 + 4*5*2.80493263066289E-14*$O1930^3 - 3*4*2.23271907955907E-09*$O1930^2 + 2*3*0.0000947783879077569*$O1930^1 - 2*2.26293121558813)*1000*1000</f>
        <v>-4.4161544048293422</v>
      </c>
      <c r="S1930" s="20"/>
      <c r="T1930" s="7"/>
      <c r="U1930" s="7"/>
      <c r="V1930" s="7"/>
      <c r="W1930" s="7"/>
      <c r="X1930" s="7"/>
      <c r="Y1930" s="7"/>
      <c r="Z1930" s="7"/>
      <c r="AA1930" s="7"/>
    </row>
    <row r="1931" spans="1:27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>
        <v>32929</v>
      </c>
      <c r="P1931" s="1">
        <f t="shared" si="94"/>
        <v>0.49506977200508118</v>
      </c>
      <c r="Q1931" s="25">
        <f t="shared" si="95"/>
        <v>-0.55909196453285404</v>
      </c>
      <c r="R1931" s="24">
        <f t="shared" si="96"/>
        <v>-4.4348318608555815</v>
      </c>
      <c r="S1931" s="20"/>
      <c r="T1931" s="7"/>
      <c r="U1931" s="7"/>
      <c r="V1931" s="7"/>
      <c r="W1931" s="7"/>
      <c r="X1931" s="7"/>
      <c r="Y1931" s="7"/>
      <c r="Z1931" s="7"/>
      <c r="AA1931" s="7"/>
    </row>
    <row r="1932" spans="1:27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>
        <v>32930</v>
      </c>
      <c r="P1932" s="1">
        <f t="shared" si="94"/>
        <v>0.4945085346698761</v>
      </c>
      <c r="Q1932" s="25">
        <f t="shared" si="95"/>
        <v>-0.56353611944359727</v>
      </c>
      <c r="R1932" s="24">
        <f t="shared" si="96"/>
        <v>-4.4535674570411743</v>
      </c>
      <c r="S1932" s="20"/>
      <c r="T1932" s="7"/>
      <c r="U1932" s="7"/>
      <c r="V1932" s="7"/>
      <c r="W1932" s="7"/>
      <c r="X1932" s="7"/>
      <c r="Y1932" s="7"/>
      <c r="Z1932" s="7"/>
      <c r="AA1932" s="7"/>
    </row>
    <row r="1933" spans="1:27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>
        <v>32931</v>
      </c>
      <c r="P1933" s="1">
        <f t="shared" si="94"/>
        <v>0.49394240975379944</v>
      </c>
      <c r="Q1933" s="25">
        <f t="shared" si="95"/>
        <v>-0.56799913363647647</v>
      </c>
      <c r="R1933" s="24">
        <f t="shared" si="96"/>
        <v>-4.4723612999675311</v>
      </c>
      <c r="S1933" s="20"/>
      <c r="T1933" s="7"/>
      <c r="U1933" s="7"/>
      <c r="V1933" s="7"/>
      <c r="W1933" s="7"/>
      <c r="X1933" s="7"/>
      <c r="Y1933" s="7"/>
      <c r="Z1933" s="7"/>
      <c r="AA1933" s="7"/>
    </row>
    <row r="1934" spans="1:27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>
        <v>32932</v>
      </c>
      <c r="P1934" s="1">
        <f t="shared" si="94"/>
        <v>0.49337306618690491</v>
      </c>
      <c r="Q1934" s="25">
        <f t="shared" si="95"/>
        <v>-0.57248089069616981</v>
      </c>
      <c r="R1934" s="24">
        <f t="shared" si="96"/>
        <v>-4.4912135050978463</v>
      </c>
      <c r="S1934" s="20"/>
      <c r="T1934" s="7"/>
      <c r="U1934" s="7"/>
      <c r="V1934" s="7"/>
      <c r="W1934" s="7"/>
      <c r="X1934" s="7"/>
      <c r="Y1934" s="7"/>
      <c r="Z1934" s="7"/>
      <c r="AA1934" s="7"/>
    </row>
    <row r="1935" spans="1:27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>
        <v>32933</v>
      </c>
      <c r="P1935" s="1">
        <f t="shared" si="94"/>
        <v>0.49279823899269104</v>
      </c>
      <c r="Q1935" s="25">
        <f t="shared" si="95"/>
        <v>-0.57698159434949048</v>
      </c>
      <c r="R1935" s="24">
        <f t="shared" si="96"/>
        <v>-4.5101241932243852</v>
      </c>
      <c r="S1935" s="20"/>
      <c r="T1935" s="7"/>
      <c r="U1935" s="7"/>
      <c r="V1935" s="7"/>
      <c r="W1935" s="7"/>
      <c r="X1935" s="7"/>
      <c r="Y1935" s="7"/>
      <c r="Z1935" s="7"/>
      <c r="AA1935" s="7"/>
    </row>
    <row r="1936" spans="1:27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>
        <v>32934</v>
      </c>
      <c r="P1936" s="1">
        <f t="shared" si="94"/>
        <v>0.49221804738044739</v>
      </c>
      <c r="Q1936" s="25">
        <f t="shared" si="95"/>
        <v>-0.58150121549260803</v>
      </c>
      <c r="R1936" s="24">
        <f t="shared" si="96"/>
        <v>-4.5290934744812716</v>
      </c>
      <c r="S1936" s="20"/>
      <c r="T1936" s="7"/>
      <c r="U1936" s="7"/>
      <c r="V1936" s="7"/>
      <c r="W1936" s="7"/>
      <c r="X1936" s="7"/>
      <c r="Y1936" s="7"/>
      <c r="Z1936" s="7"/>
      <c r="AA1936" s="7"/>
    </row>
    <row r="1937" spans="1:27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>
        <v>32935</v>
      </c>
      <c r="P1937" s="1">
        <f t="shared" si="94"/>
        <v>0.49163487553596497</v>
      </c>
      <c r="Q1937" s="25">
        <f t="shared" si="95"/>
        <v>-0.58603975412552245</v>
      </c>
      <c r="R1937" s="24">
        <f t="shared" si="96"/>
        <v>-4.5481214661080571</v>
      </c>
      <c r="S1937" s="20"/>
      <c r="T1937" s="7"/>
      <c r="U1937" s="7"/>
      <c r="V1937" s="7"/>
      <c r="W1937" s="7"/>
      <c r="X1937" s="7"/>
      <c r="Y1937" s="7"/>
      <c r="Z1937" s="7"/>
      <c r="AA1937" s="7"/>
    </row>
    <row r="1938" spans="1:27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>
        <v>32936</v>
      </c>
      <c r="P1938" s="1">
        <f t="shared" si="94"/>
        <v>0.49104645848274231</v>
      </c>
      <c r="Q1938" s="25">
        <f t="shared" si="95"/>
        <v>-0.59059747218270786</v>
      </c>
      <c r="R1938" s="24">
        <f t="shared" si="96"/>
        <v>-4.5672082817915793</v>
      </c>
      <c r="S1938" s="20"/>
      <c r="T1938" s="7"/>
      <c r="U1938" s="7"/>
      <c r="V1938" s="7"/>
      <c r="W1938" s="7"/>
      <c r="X1938" s="7"/>
      <c r="Y1938" s="7"/>
      <c r="Z1938" s="7"/>
      <c r="AA1938" s="7"/>
    </row>
    <row r="1939" spans="1:27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>
        <v>32937</v>
      </c>
      <c r="P1939" s="1">
        <f t="shared" si="94"/>
        <v>0.49045363068580627</v>
      </c>
      <c r="Q1939" s="25">
        <f t="shared" si="95"/>
        <v>-0.59517419504118152</v>
      </c>
      <c r="R1939" s="24">
        <f t="shared" si="96"/>
        <v>-4.5863540334423192</v>
      </c>
      <c r="S1939" s="20"/>
      <c r="T1939" s="7"/>
      <c r="U1939" s="7"/>
      <c r="V1939" s="7"/>
      <c r="W1939" s="7"/>
      <c r="X1939" s="7"/>
      <c r="Y1939" s="7"/>
      <c r="Z1939" s="7"/>
      <c r="AA1939" s="7"/>
    </row>
    <row r="1940" spans="1:27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>
        <v>32938</v>
      </c>
      <c r="P1940" s="1">
        <f t="shared" si="94"/>
        <v>0.48985567688941956</v>
      </c>
      <c r="Q1940" s="25">
        <f t="shared" si="95"/>
        <v>-0.59977012642775662</v>
      </c>
      <c r="R1940" s="24">
        <f t="shared" si="96"/>
        <v>-4.6055588489579691</v>
      </c>
      <c r="S1940" s="20"/>
      <c r="T1940" s="7"/>
      <c r="U1940" s="7"/>
      <c r="V1940" s="7"/>
      <c r="W1940" s="7"/>
      <c r="X1940" s="7"/>
      <c r="Y1940" s="7"/>
      <c r="Z1940" s="7"/>
      <c r="AA1940" s="7"/>
    </row>
    <row r="1941" spans="1:27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>
        <v>32939</v>
      </c>
      <c r="P1941" s="1">
        <f t="shared" si="94"/>
        <v>0.48925343155860901</v>
      </c>
      <c r="Q1941" s="25">
        <f t="shared" si="95"/>
        <v>-0.60438535365392454</v>
      </c>
      <c r="R1941" s="24">
        <f t="shared" si="96"/>
        <v>-4.6248228384726531</v>
      </c>
      <c r="S1941" s="20"/>
      <c r="T1941" s="7"/>
      <c r="U1941" s="7"/>
      <c r="V1941" s="7"/>
      <c r="W1941" s="7"/>
      <c r="X1941" s="7"/>
      <c r="Y1941" s="7"/>
      <c r="Z1941" s="7"/>
      <c r="AA1941" s="7"/>
    </row>
    <row r="1942" spans="1:27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>
        <v>32940</v>
      </c>
      <c r="P1942" s="1">
        <f t="shared" si="94"/>
        <v>0.48864749073982239</v>
      </c>
      <c r="Q1942" s="25">
        <f t="shared" si="95"/>
        <v>-0.60901981851202436</v>
      </c>
      <c r="R1942" s="24">
        <f t="shared" si="96"/>
        <v>-4.6441461085677815</v>
      </c>
      <c r="S1942" s="20"/>
      <c r="T1942" s="7"/>
      <c r="U1942" s="7"/>
      <c r="V1942" s="7"/>
      <c r="W1942" s="7"/>
      <c r="X1942" s="7"/>
      <c r="Y1942" s="7"/>
      <c r="Z1942" s="7"/>
      <c r="AA1942" s="7"/>
    </row>
    <row r="1943" spans="1:27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>
        <v>32941</v>
      </c>
      <c r="P1943" s="1">
        <f t="shared" si="94"/>
        <v>0.48803570866584778</v>
      </c>
      <c r="Q1943" s="25">
        <f t="shared" si="95"/>
        <v>-0.6136736374173779</v>
      </c>
      <c r="R1943" s="24">
        <f t="shared" si="96"/>
        <v>-4.6635287871410469</v>
      </c>
      <c r="S1943" s="20"/>
      <c r="T1943" s="7"/>
      <c r="U1943" s="7"/>
      <c r="V1943" s="7"/>
      <c r="W1943" s="7"/>
      <c r="X1943" s="7"/>
      <c r="Y1943" s="7"/>
      <c r="Z1943" s="7"/>
      <c r="AA1943" s="7"/>
    </row>
    <row r="1944" spans="1:27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>
        <v>32942</v>
      </c>
      <c r="P1944" s="1">
        <f t="shared" si="94"/>
        <v>0.48741987347602844</v>
      </c>
      <c r="Q1944" s="25">
        <f t="shared" si="95"/>
        <v>-0.61834686857764609</v>
      </c>
      <c r="R1944" s="24">
        <f t="shared" si="96"/>
        <v>-4.6829709843265732</v>
      </c>
      <c r="S1944" s="20"/>
      <c r="T1944" s="7"/>
      <c r="U1944" s="7"/>
      <c r="V1944" s="7"/>
      <c r="W1944" s="7"/>
      <c r="X1944" s="7"/>
      <c r="Y1944" s="7"/>
      <c r="Z1944" s="7"/>
      <c r="AA1944" s="7"/>
    </row>
    <row r="1945" spans="1:27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>
        <v>32943</v>
      </c>
      <c r="P1945" s="1">
        <f t="shared" si="94"/>
        <v>0.48679915070533752</v>
      </c>
      <c r="Q1945" s="25">
        <f t="shared" si="95"/>
        <v>-0.6230396575119812</v>
      </c>
      <c r="R1945" s="24">
        <f t="shared" si="96"/>
        <v>-4.7024728191402687</v>
      </c>
      <c r="S1945" s="20"/>
      <c r="T1945" s="7"/>
      <c r="U1945" s="7"/>
      <c r="V1945" s="7"/>
      <c r="W1945" s="7"/>
      <c r="X1945" s="7"/>
      <c r="Y1945" s="7"/>
      <c r="Z1945" s="7"/>
      <c r="AA1945" s="7"/>
    </row>
    <row r="1946" spans="1:27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>
        <v>32944</v>
      </c>
      <c r="P1946" s="1">
        <f t="shared" si="94"/>
        <v>0.48617377877235413</v>
      </c>
      <c r="Q1946" s="25">
        <f t="shared" si="95"/>
        <v>-0.62775191690889187</v>
      </c>
      <c r="R1946" s="24">
        <f t="shared" si="96"/>
        <v>-4.7220344088216848</v>
      </c>
      <c r="S1946" s="20"/>
      <c r="T1946" s="7"/>
      <c r="U1946" s="7"/>
      <c r="V1946" s="7"/>
      <c r="W1946" s="7"/>
      <c r="X1946" s="7"/>
      <c r="Y1946" s="7"/>
      <c r="Z1946" s="7"/>
      <c r="AA1946" s="7"/>
    </row>
    <row r="1947" spans="1:27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>
        <v>32945</v>
      </c>
      <c r="P1947" s="1">
        <f t="shared" si="94"/>
        <v>0.4855441153049469</v>
      </c>
      <c r="Q1947" s="25">
        <f t="shared" si="95"/>
        <v>-0.63248367587220855</v>
      </c>
      <c r="R1947" s="24">
        <f t="shared" si="96"/>
        <v>-4.7416558635049455</v>
      </c>
      <c r="S1947" s="20"/>
      <c r="T1947" s="7"/>
      <c r="U1947" s="7"/>
      <c r="V1947" s="7"/>
      <c r="W1947" s="7"/>
      <c r="X1947" s="7"/>
      <c r="Y1947" s="7"/>
      <c r="Z1947" s="7"/>
      <c r="AA1947" s="7"/>
    </row>
    <row r="1948" spans="1:27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>
        <v>32946</v>
      </c>
      <c r="P1948" s="1">
        <f t="shared" si="94"/>
        <v>0.48490861058235168</v>
      </c>
      <c r="Q1948" s="25">
        <f t="shared" si="95"/>
        <v>-0.6372351672325749</v>
      </c>
      <c r="R1948" s="24">
        <f t="shared" si="96"/>
        <v>-4.7613373022059591</v>
      </c>
      <c r="S1948" s="20"/>
      <c r="T1948" s="7"/>
      <c r="U1948" s="7"/>
      <c r="V1948" s="7"/>
      <c r="W1948" s="7"/>
      <c r="X1948" s="7"/>
      <c r="Y1948" s="7"/>
      <c r="Z1948" s="7"/>
      <c r="AA1948" s="7"/>
    </row>
    <row r="1949" spans="1:27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>
        <v>32947</v>
      </c>
      <c r="P1949" s="1">
        <f t="shared" si="94"/>
        <v>0.48426917195320129</v>
      </c>
      <c r="Q1949" s="25">
        <f t="shared" si="95"/>
        <v>-0.6420063909899909</v>
      </c>
      <c r="R1949" s="24">
        <f t="shared" si="96"/>
        <v>-4.7810788457169906</v>
      </c>
      <c r="S1949" s="20"/>
      <c r="T1949" s="7"/>
      <c r="U1949" s="7"/>
      <c r="V1949" s="7"/>
      <c r="W1949" s="7"/>
      <c r="X1949" s="7"/>
      <c r="Y1949" s="7"/>
      <c r="Z1949" s="7"/>
      <c r="AA1949" s="7"/>
    </row>
    <row r="1950" spans="1:27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>
        <v>32948</v>
      </c>
      <c r="P1950" s="1">
        <f t="shared" si="94"/>
        <v>0.48362448811531067</v>
      </c>
      <c r="Q1950" s="25">
        <f t="shared" si="95"/>
        <v>-0.64679737624828704</v>
      </c>
      <c r="R1950" s="24">
        <f t="shared" si="96"/>
        <v>-4.8008806077248778</v>
      </c>
      <c r="S1950" s="20"/>
      <c r="T1950" s="7"/>
      <c r="U1950" s="7"/>
      <c r="V1950" s="7"/>
      <c r="W1950" s="7"/>
      <c r="X1950" s="7"/>
      <c r="Y1950" s="7"/>
      <c r="Z1950" s="7"/>
      <c r="AA1950" s="7"/>
    </row>
    <row r="1951" spans="1:27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>
        <v>32949</v>
      </c>
      <c r="P1951" s="1">
        <f t="shared" si="94"/>
        <v>0.48297563195228577</v>
      </c>
      <c r="Q1951" s="25">
        <f t="shared" si="95"/>
        <v>-0.65160821031895466</v>
      </c>
      <c r="R1951" s="24">
        <f t="shared" si="96"/>
        <v>-4.8207427072455289</v>
      </c>
      <c r="S1951" s="20"/>
      <c r="T1951" s="7"/>
      <c r="U1951" s="7"/>
      <c r="V1951" s="7"/>
      <c r="W1951" s="7"/>
      <c r="X1951" s="7"/>
      <c r="Y1951" s="7"/>
      <c r="Z1951" s="7"/>
      <c r="AA1951" s="7"/>
    </row>
    <row r="1952" spans="1:27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>
        <v>32950</v>
      </c>
      <c r="P1952" s="1">
        <f t="shared" si="94"/>
        <v>0.48232164978981018</v>
      </c>
      <c r="Q1952" s="25">
        <f t="shared" si="95"/>
        <v>-0.65643892230582424</v>
      </c>
      <c r="R1952" s="24">
        <f t="shared" si="96"/>
        <v>-4.8406652544130679</v>
      </c>
      <c r="S1952" s="20"/>
      <c r="T1952" s="7"/>
      <c r="U1952" s="7"/>
      <c r="V1952" s="7"/>
      <c r="W1952" s="7"/>
      <c r="X1952" s="7"/>
      <c r="Y1952" s="7"/>
      <c r="Z1952" s="7"/>
      <c r="AA1952" s="7"/>
    </row>
    <row r="1953" spans="1:27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>
        <v>32951</v>
      </c>
      <c r="P1953" s="1">
        <f t="shared" si="94"/>
        <v>0.48166242241859436</v>
      </c>
      <c r="Q1953" s="25">
        <f t="shared" si="95"/>
        <v>-0.66128954131272621</v>
      </c>
      <c r="R1953" s="24">
        <f t="shared" si="96"/>
        <v>-4.8606483806779011</v>
      </c>
      <c r="S1953" s="20"/>
      <c r="T1953" s="7"/>
      <c r="U1953" s="7"/>
      <c r="V1953" s="7"/>
      <c r="W1953" s="7"/>
      <c r="X1953" s="7"/>
      <c r="Y1953" s="7"/>
      <c r="Z1953" s="7"/>
      <c r="AA1953" s="7"/>
    </row>
    <row r="1954" spans="1:27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>
        <v>32952</v>
      </c>
      <c r="P1954" s="1">
        <f t="shared" si="94"/>
        <v>0.48099902272224426</v>
      </c>
      <c r="Q1954" s="25">
        <f t="shared" si="95"/>
        <v>-0.66616018375498243</v>
      </c>
      <c r="R1954" s="24">
        <f t="shared" si="96"/>
        <v>-4.8806921819632976</v>
      </c>
      <c r="S1954" s="20"/>
      <c r="T1954" s="7"/>
      <c r="U1954" s="7"/>
      <c r="V1954" s="7"/>
      <c r="W1954" s="7"/>
      <c r="X1954" s="7"/>
      <c r="Y1954" s="7"/>
      <c r="Z1954" s="7"/>
      <c r="AA1954" s="7"/>
    </row>
    <row r="1955" spans="1:27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>
        <v>32953</v>
      </c>
      <c r="P1955" s="1">
        <f t="shared" si="94"/>
        <v>0.48033049702644348</v>
      </c>
      <c r="Q1955" s="25">
        <f t="shared" si="95"/>
        <v>-0.6710509660479147</v>
      </c>
      <c r="R1955" s="24">
        <f t="shared" si="96"/>
        <v>-4.9007967914960204</v>
      </c>
      <c r="S1955" s="20"/>
      <c r="T1955" s="7"/>
      <c r="U1955" s="7"/>
      <c r="V1955" s="7"/>
      <c r="W1955" s="7"/>
      <c r="X1955" s="7"/>
      <c r="Y1955" s="7"/>
      <c r="Z1955" s="7"/>
      <c r="AA1955" s="7"/>
    </row>
    <row r="1956" spans="1:27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>
        <v>32954</v>
      </c>
      <c r="P1956" s="1">
        <f t="shared" si="94"/>
        <v>0.47965720295906067</v>
      </c>
      <c r="Q1956" s="25">
        <f t="shared" si="95"/>
        <v>-0.67596180088003166</v>
      </c>
      <c r="R1956" s="24">
        <f t="shared" si="96"/>
        <v>-4.920962326515621</v>
      </c>
      <c r="S1956" s="20"/>
      <c r="T1956" s="7"/>
      <c r="U1956" s="7"/>
      <c r="V1956" s="7"/>
      <c r="W1956" s="7"/>
      <c r="X1956" s="7"/>
      <c r="Y1956" s="7"/>
      <c r="Z1956" s="7"/>
      <c r="AA1956" s="7"/>
    </row>
    <row r="1957" spans="1:27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>
        <v>32955</v>
      </c>
      <c r="P1957" s="1">
        <f t="shared" si="94"/>
        <v>0.47897854447364807</v>
      </c>
      <c r="Q1957" s="25">
        <f t="shared" si="95"/>
        <v>-0.68089283377048559</v>
      </c>
      <c r="R1957" s="24">
        <f t="shared" si="96"/>
        <v>-4.9411888936035098</v>
      </c>
      <c r="S1957" s="20"/>
      <c r="T1957" s="7"/>
      <c r="U1957" s="7"/>
      <c r="V1957" s="7"/>
      <c r="W1957" s="7"/>
      <c r="X1957" s="7"/>
      <c r="Y1957" s="7"/>
      <c r="Z1957" s="7"/>
      <c r="AA1957" s="7"/>
    </row>
    <row r="1958" spans="1:27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>
        <v>32956</v>
      </c>
      <c r="P1958" s="1">
        <f t="shared" si="94"/>
        <v>0.47829547524452209</v>
      </c>
      <c r="Q1958" s="25">
        <f t="shared" si="95"/>
        <v>-0.68584418113459833</v>
      </c>
      <c r="R1958" s="24">
        <f t="shared" si="96"/>
        <v>-4.961476620657379</v>
      </c>
      <c r="S1958" s="20"/>
      <c r="T1958" s="7"/>
      <c r="U1958" s="7"/>
      <c r="V1958" s="7"/>
      <c r="W1958" s="7"/>
      <c r="X1958" s="7"/>
      <c r="Y1958" s="7"/>
      <c r="Z1958" s="7"/>
      <c r="AA1958" s="7"/>
    </row>
    <row r="1959" spans="1:27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>
        <v>32957</v>
      </c>
      <c r="P1959" s="1">
        <f t="shared" si="94"/>
        <v>0.47760716080665588</v>
      </c>
      <c r="Q1959" s="25">
        <f t="shared" si="95"/>
        <v>-0.69081584297236986</v>
      </c>
      <c r="R1959" s="24">
        <f t="shared" si="96"/>
        <v>-4.9818256195877098</v>
      </c>
      <c r="S1959" s="20"/>
      <c r="T1959" s="7"/>
      <c r="U1959" s="7"/>
      <c r="V1959" s="7"/>
      <c r="W1959" s="7"/>
      <c r="X1959" s="7"/>
      <c r="Y1959" s="7"/>
      <c r="Z1959" s="7"/>
      <c r="AA1959" s="7"/>
    </row>
    <row r="1960" spans="1:27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>
        <v>32958</v>
      </c>
      <c r="P1960" s="1">
        <f t="shared" si="94"/>
        <v>0.47691372036933899</v>
      </c>
      <c r="Q1960" s="25">
        <f t="shared" si="95"/>
        <v>-0.69580793569912203</v>
      </c>
      <c r="R1960" s="24">
        <f t="shared" si="96"/>
        <v>-5.0022360147394807</v>
      </c>
      <c r="S1960" s="20"/>
      <c r="T1960" s="7"/>
      <c r="U1960" s="7"/>
      <c r="V1960" s="7"/>
      <c r="W1960" s="7"/>
      <c r="X1960" s="7"/>
      <c r="Y1960" s="7"/>
      <c r="Z1960" s="7"/>
      <c r="AA1960" s="7"/>
    </row>
    <row r="1961" spans="1:27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>
        <v>32959</v>
      </c>
      <c r="P1961" s="1">
        <f t="shared" si="94"/>
        <v>0.47621515393257141</v>
      </c>
      <c r="Q1961" s="25">
        <f t="shared" si="95"/>
        <v>-0.70082037200336345</v>
      </c>
      <c r="R1961" s="24">
        <f t="shared" si="96"/>
        <v>-5.0227079126941021</v>
      </c>
      <c r="S1961" s="20"/>
      <c r="T1961" s="7"/>
      <c r="U1961" s="7"/>
      <c r="V1961" s="7"/>
      <c r="W1961" s="7"/>
      <c r="X1961" s="7"/>
      <c r="Y1961" s="7"/>
      <c r="Z1961" s="7"/>
      <c r="AA1961" s="7"/>
    </row>
    <row r="1962" spans="1:27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>
        <v>32960</v>
      </c>
      <c r="P1962" s="1">
        <f t="shared" si="94"/>
        <v>0.47551229596138</v>
      </c>
      <c r="Q1962" s="25">
        <f t="shared" si="95"/>
        <v>-0.70585335561190732</v>
      </c>
      <c r="R1962" s="24">
        <f t="shared" si="96"/>
        <v>-5.0432414431256234</v>
      </c>
      <c r="S1962" s="20"/>
      <c r="T1962" s="7"/>
      <c r="U1962" s="7"/>
      <c r="V1962" s="7"/>
      <c r="W1962" s="7"/>
      <c r="X1962" s="7"/>
      <c r="Y1962" s="7"/>
      <c r="Z1962" s="7"/>
      <c r="AA1962" s="7"/>
    </row>
    <row r="1963" spans="1:27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>
        <v>32961</v>
      </c>
      <c r="P1963" s="1">
        <f t="shared" si="94"/>
        <v>0.47480311989784241</v>
      </c>
      <c r="Q1963" s="25">
        <f t="shared" si="95"/>
        <v>-0.71090679921326227</v>
      </c>
      <c r="R1963" s="24">
        <f t="shared" si="96"/>
        <v>-5.0638367179445254</v>
      </c>
      <c r="S1963" s="20"/>
      <c r="T1963" s="7"/>
      <c r="U1963" s="7"/>
      <c r="V1963" s="7"/>
      <c r="W1963" s="7"/>
      <c r="X1963" s="7"/>
      <c r="Y1963" s="7"/>
      <c r="Z1963" s="7"/>
      <c r="AA1963" s="7"/>
    </row>
    <row r="1964" spans="1:27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>
        <v>32962</v>
      </c>
      <c r="P1964" s="1">
        <f t="shared" si="94"/>
        <v>0.47409000992774963</v>
      </c>
      <c r="Q1964" s="25">
        <f t="shared" si="95"/>
        <v>-0.71598102294956334</v>
      </c>
      <c r="R1964" s="24">
        <f t="shared" si="96"/>
        <v>-5.08449385971943</v>
      </c>
      <c r="S1964" s="20"/>
      <c r="T1964" s="7"/>
      <c r="U1964" s="7"/>
      <c r="V1964" s="7"/>
      <c r="W1964" s="7"/>
      <c r="X1964" s="7"/>
      <c r="Y1964" s="7"/>
      <c r="Z1964" s="7"/>
      <c r="AA1964" s="7"/>
    </row>
    <row r="1965" spans="1:27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>
        <v>32963</v>
      </c>
      <c r="P1965" s="1">
        <f t="shared" si="94"/>
        <v>0.47337141633033752</v>
      </c>
      <c r="Q1965" s="25">
        <f t="shared" si="95"/>
        <v>-0.72107585219782777</v>
      </c>
      <c r="R1965" s="24">
        <f t="shared" si="96"/>
        <v>-5.1052129785844613</v>
      </c>
      <c r="S1965" s="20"/>
      <c r="T1965" s="7"/>
      <c r="U1965" s="7"/>
      <c r="V1965" s="7"/>
      <c r="W1965" s="7"/>
      <c r="X1965" s="7"/>
      <c r="Y1965" s="7"/>
      <c r="Z1965" s="7"/>
      <c r="AA1965" s="7"/>
    </row>
    <row r="1966" spans="1:27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>
        <v>32964</v>
      </c>
      <c r="P1966" s="1">
        <f t="shared" si="94"/>
        <v>0.47264745831489563</v>
      </c>
      <c r="Q1966" s="25">
        <f t="shared" si="95"/>
        <v>-0.72619149068486877</v>
      </c>
      <c r="R1966" s="24">
        <f t="shared" si="96"/>
        <v>-5.1259941988845981</v>
      </c>
      <c r="S1966" s="20"/>
      <c r="T1966" s="7"/>
      <c r="U1966" s="7"/>
      <c r="V1966" s="7"/>
      <c r="W1966" s="7"/>
      <c r="X1966" s="7"/>
      <c r="Y1966" s="7"/>
      <c r="Z1966" s="7"/>
      <c r="AA1966" s="7"/>
    </row>
    <row r="1967" spans="1:27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>
        <v>32965</v>
      </c>
      <c r="P1967" s="1">
        <f t="shared" si="94"/>
        <v>0.47191932797431946</v>
      </c>
      <c r="Q1967" s="25">
        <f t="shared" si="95"/>
        <v>-0.73132790930685587</v>
      </c>
      <c r="R1967" s="24">
        <f t="shared" si="96"/>
        <v>-5.1468376396357485</v>
      </c>
      <c r="S1967" s="20"/>
      <c r="T1967" s="7"/>
      <c r="U1967" s="7"/>
      <c r="V1967" s="7"/>
      <c r="W1967" s="7"/>
      <c r="X1967" s="7"/>
      <c r="Y1967" s="7"/>
      <c r="Z1967" s="7"/>
      <c r="AA1967" s="7"/>
    </row>
    <row r="1968" spans="1:27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>
        <v>32966</v>
      </c>
      <c r="P1968" s="1">
        <f t="shared" si="94"/>
        <v>0.47118547558784485</v>
      </c>
      <c r="Q1968" s="25">
        <f t="shared" si="95"/>
        <v>-0.73648513716761954</v>
      </c>
      <c r="R1968" s="24">
        <f t="shared" si="96"/>
        <v>-5.1677434163011071</v>
      </c>
      <c r="S1968" s="20"/>
      <c r="T1968" s="7"/>
      <c r="U1968" s="7"/>
      <c r="V1968" s="7"/>
      <c r="W1968" s="7"/>
      <c r="X1968" s="7"/>
      <c r="Y1968" s="7"/>
      <c r="Z1968" s="7"/>
      <c r="AA1968" s="7"/>
    </row>
    <row r="1969" spans="1:27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>
        <v>32967</v>
      </c>
      <c r="P1969" s="1">
        <f t="shared" si="94"/>
        <v>0.47044602036476135</v>
      </c>
      <c r="Q1969" s="25">
        <f t="shared" si="95"/>
        <v>-0.74166337799397297</v>
      </c>
      <c r="R1969" s="24">
        <f t="shared" si="96"/>
        <v>-5.1887116496729391</v>
      </c>
      <c r="S1969" s="20"/>
      <c r="T1969" s="7"/>
      <c r="U1969" s="7"/>
      <c r="V1969" s="7"/>
      <c r="W1969" s="7"/>
      <c r="X1969" s="7"/>
      <c r="Y1969" s="7"/>
      <c r="Z1969" s="7"/>
      <c r="AA1969" s="7"/>
    </row>
    <row r="1970" spans="1:27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>
        <v>32968</v>
      </c>
      <c r="P1970" s="1">
        <f t="shared" si="94"/>
        <v>0.46970143914222717</v>
      </c>
      <c r="Q1970" s="25">
        <f t="shared" si="95"/>
        <v>-0.74686257357825525</v>
      </c>
      <c r="R1970" s="24">
        <f t="shared" si="96"/>
        <v>-5.2097424623198663</v>
      </c>
      <c r="S1970" s="20"/>
      <c r="T1970" s="7"/>
      <c r="U1970" s="7"/>
      <c r="V1970" s="7"/>
      <c r="W1970" s="7"/>
      <c r="X1970" s="7"/>
      <c r="Y1970" s="7"/>
      <c r="Z1970" s="7"/>
      <c r="AA1970" s="7"/>
    </row>
    <row r="1971" spans="1:27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>
        <v>32969</v>
      </c>
      <c r="P1971" s="1">
        <f t="shared" si="94"/>
        <v>0.46895256638526917</v>
      </c>
      <c r="Q1971" s="25">
        <f t="shared" si="95"/>
        <v>-0.75208281123195775</v>
      </c>
      <c r="R1971" s="24">
        <f t="shared" si="96"/>
        <v>-5.2308359661523696</v>
      </c>
      <c r="S1971" s="20"/>
      <c r="T1971" s="7"/>
      <c r="U1971" s="7"/>
      <c r="V1971" s="7"/>
      <c r="W1971" s="7"/>
      <c r="X1971" s="7"/>
      <c r="Y1971" s="7"/>
      <c r="Z1971" s="7"/>
      <c r="AA1971" s="7"/>
    </row>
    <row r="1972" spans="1:27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>
        <v>32970</v>
      </c>
      <c r="P1972" s="1">
        <f t="shared" si="94"/>
        <v>0.46819785237312317</v>
      </c>
      <c r="Q1972" s="25">
        <f t="shared" si="95"/>
        <v>-0.75732432378572412</v>
      </c>
      <c r="R1972" s="24">
        <f t="shared" si="96"/>
        <v>-5.2519922801863572</v>
      </c>
      <c r="S1972" s="20"/>
      <c r="T1972" s="7"/>
      <c r="U1972" s="7"/>
      <c r="V1972" s="7"/>
      <c r="W1972" s="7"/>
      <c r="X1972" s="7"/>
      <c r="Y1972" s="7"/>
      <c r="Z1972" s="7"/>
      <c r="AA1972" s="7"/>
    </row>
    <row r="1973" spans="1:27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>
        <v>32971</v>
      </c>
      <c r="P1973" s="1">
        <f t="shared" si="94"/>
        <v>0.46743777394294739</v>
      </c>
      <c r="Q1973" s="25">
        <f t="shared" si="95"/>
        <v>-0.76258690751274116</v>
      </c>
      <c r="R1973" s="24">
        <f t="shared" si="96"/>
        <v>-5.2732115269904511</v>
      </c>
      <c r="S1973" s="20"/>
      <c r="T1973" s="7"/>
      <c r="U1973" s="7"/>
      <c r="V1973" s="7"/>
      <c r="W1973" s="7"/>
      <c r="X1973" s="7"/>
      <c r="Y1973" s="7"/>
      <c r="Z1973" s="7"/>
      <c r="AA1973" s="7"/>
    </row>
    <row r="1974" spans="1:27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</row>
    <row r="1975" spans="1:27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</row>
    <row r="1976" spans="1:27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</row>
    <row r="1977" spans="1:27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</row>
    <row r="1978" spans="1:27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</row>
    <row r="1979" spans="1:27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</row>
    <row r="1980" spans="1:27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</row>
    <row r="1981" spans="1:27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</row>
    <row r="1982" spans="1:27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</row>
    <row r="1983" spans="1:27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</row>
    <row r="1984" spans="1:27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</row>
    <row r="1985" spans="1:27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</row>
    <row r="1986" spans="1:27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</row>
    <row r="1987" spans="1:27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</row>
    <row r="1988" spans="1:27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</row>
    <row r="1989" spans="1:27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</row>
    <row r="1990" spans="1:27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</row>
    <row r="1991" spans="1:27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</row>
    <row r="1992" spans="1:27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</row>
    <row r="1993" spans="1:27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</row>
    <row r="1994" spans="1:27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</row>
    <row r="1995" spans="1:27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</row>
    <row r="1996" spans="1:27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</row>
    <row r="1997" spans="1:27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</row>
    <row r="1998" spans="1:27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</row>
    <row r="1999" spans="1:27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</row>
    <row r="2000" spans="1:27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</row>
    <row r="2001" spans="1:27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</row>
    <row r="2002" spans="1:27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</row>
    <row r="2003" spans="1:27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</row>
    <row r="2004" spans="1:27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</row>
    <row r="2005" spans="1:27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</row>
    <row r="2006" spans="1:27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</row>
    <row r="2007" spans="1:27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</row>
    <row r="2008" spans="1:27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</row>
    <row r="2009" spans="1:27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</row>
    <row r="2010" spans="1:27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</row>
    <row r="2011" spans="1:27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</row>
    <row r="2012" spans="1:27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</row>
    <row r="2013" spans="1:27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</row>
    <row r="2014" spans="1:27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</row>
    <row r="2015" spans="1:27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</row>
    <row r="2016" spans="1:27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</row>
    <row r="2017" spans="1:27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</row>
    <row r="2018" spans="1:27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</row>
    <row r="2019" spans="1:27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</row>
    <row r="2020" spans="1:27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</row>
    <row r="2021" spans="1:27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</row>
    <row r="2022" spans="1:27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</row>
    <row r="2023" spans="1:27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</row>
    <row r="2024" spans="1:27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</row>
    <row r="2025" spans="1:27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</row>
    <row r="2026" spans="1:27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</row>
    <row r="2027" spans="1:27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</row>
    <row r="2028" spans="1:27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</row>
    <row r="2029" spans="1:27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</row>
    <row r="2030" spans="1:27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</row>
    <row r="2031" spans="1:27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</row>
    <row r="2032" spans="1:27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</row>
    <row r="2033" spans="1:27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</row>
    <row r="2034" spans="1:27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</row>
    <row r="2035" spans="1:27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</row>
    <row r="2036" spans="1:27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</row>
    <row r="2037" spans="1:27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</row>
    <row r="2038" spans="1:27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</row>
    <row r="2039" spans="1:27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</row>
    <row r="2040" spans="1:27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</row>
    <row r="2041" spans="1:27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</row>
    <row r="2042" spans="1:27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</row>
    <row r="2043" spans="1:27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</row>
    <row r="2044" spans="1:27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</row>
    <row r="2045" spans="1:27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</row>
    <row r="2046" spans="1:27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</row>
    <row r="2047" spans="1:27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</row>
    <row r="2048" spans="1:27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</row>
    <row r="2049" spans="1:27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</row>
    <row r="2050" spans="1:27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</row>
    <row r="2051" spans="1:27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</row>
    <row r="2052" spans="1:27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</row>
    <row r="2053" spans="1:27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</row>
    <row r="2054" spans="1:27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</row>
    <row r="2055" spans="1:27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</row>
    <row r="2056" spans="1:27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</row>
    <row r="2057" spans="1:27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</row>
    <row r="2058" spans="1:27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</row>
    <row r="2059" spans="1:27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</row>
    <row r="2060" spans="1:27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</row>
    <row r="2061" spans="1:27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</row>
    <row r="2062" spans="1:27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</row>
    <row r="2063" spans="1:27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</row>
    <row r="2064" spans="1:27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</row>
    <row r="2065" spans="1:27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</row>
    <row r="2066" spans="1:27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</row>
    <row r="2067" spans="1:27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</row>
    <row r="2068" spans="1:27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</row>
    <row r="2069" spans="1:27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</row>
    <row r="2070" spans="1:27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</row>
    <row r="2071" spans="1:27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</row>
    <row r="2072" spans="1:27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</row>
    <row r="2073" spans="1:27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</row>
    <row r="2074" spans="1:27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</row>
    <row r="2075" spans="1:27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</row>
    <row r="2076" spans="1:27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</row>
    <row r="2077" spans="1:27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</row>
    <row r="2078" spans="1:27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</row>
    <row r="2079" spans="1:27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</row>
    <row r="2080" spans="1:27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</row>
    <row r="2081" spans="1:27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</row>
    <row r="2082" spans="1:27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</row>
    <row r="2083" spans="1:27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</row>
    <row r="2084" spans="1:27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</row>
    <row r="2085" spans="1:27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</row>
    <row r="2086" spans="1:27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</row>
    <row r="2087" spans="1:27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</row>
    <row r="2088" spans="1:27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</row>
    <row r="2089" spans="1:27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</row>
    <row r="2090" spans="1:27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</row>
    <row r="2091" spans="1:27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</row>
    <row r="2092" spans="1:27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</row>
    <row r="2093" spans="1:27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</row>
    <row r="2094" spans="1:27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</row>
    <row r="2095" spans="1:27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</row>
    <row r="2096" spans="1:27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</row>
    <row r="2097" spans="1:27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</row>
    <row r="2098" spans="1:27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</row>
    <row r="2099" spans="1:27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</row>
    <row r="2100" spans="1:27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</row>
    <row r="2101" spans="1:27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</row>
    <row r="2102" spans="1:27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</row>
    <row r="2103" spans="1:27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</row>
    <row r="2104" spans="1:27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</row>
    <row r="2105" spans="1:27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</row>
    <row r="2106" spans="1:27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</row>
    <row r="2107" spans="1:27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</row>
    <row r="2108" spans="1:27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</row>
    <row r="2109" spans="1:27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</row>
    <row r="2110" spans="1:27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</row>
    <row r="2111" spans="1:27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</row>
    <row r="2112" spans="1:27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</row>
    <row r="2113" spans="1:27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</row>
    <row r="2114" spans="1:27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</row>
    <row r="2115" spans="1:27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</row>
    <row r="2116" spans="1:27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</row>
    <row r="2117" spans="1:27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</row>
    <row r="2118" spans="1:27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</row>
    <row r="2119" spans="1:27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</row>
    <row r="2120" spans="1:27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</row>
    <row r="2121" spans="1:27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</row>
    <row r="2122" spans="1:27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</row>
    <row r="2123" spans="1:27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</row>
    <row r="2124" spans="1:27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</row>
    <row r="2125" spans="1:27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</row>
    <row r="2126" spans="1:27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</row>
    <row r="2127" spans="1:27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</row>
    <row r="2128" spans="1:27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</row>
    <row r="2129" spans="1:27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</row>
    <row r="2130" spans="1:27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</row>
    <row r="2131" spans="1:27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</row>
    <row r="2132" spans="1:27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</row>
    <row r="2133" spans="1:27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</row>
    <row r="2134" spans="1:27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</row>
    <row r="2135" spans="1:27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</row>
    <row r="2136" spans="1:27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</row>
    <row r="2137" spans="1:27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</row>
    <row r="2138" spans="1:27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</row>
    <row r="2139" spans="1:27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</row>
    <row r="2140" spans="1:27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</row>
    <row r="2141" spans="1:27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</row>
    <row r="2142" spans="1:27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</row>
    <row r="2143" spans="1:27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</row>
    <row r="2144" spans="1:27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</row>
    <row r="2145" spans="1:27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</row>
    <row r="2146" spans="1:27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</row>
    <row r="2147" spans="1:27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</row>
    <row r="2148" spans="1:27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</row>
    <row r="2149" spans="1:27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</row>
    <row r="2150" spans="1:27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</row>
    <row r="2151" spans="1:27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</row>
    <row r="2152" spans="1:27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</row>
    <row r="2153" spans="1:27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</row>
    <row r="2154" spans="1:27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</row>
    <row r="2155" spans="1:27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</row>
    <row r="2156" spans="1:27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</row>
    <row r="2157" spans="1:27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</row>
    <row r="2158" spans="1:27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</row>
    <row r="2159" spans="1:27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</row>
    <row r="2160" spans="1:27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</row>
    <row r="2161" spans="1:27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</row>
    <row r="2162" spans="1:27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</row>
    <row r="2163" spans="1:27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</row>
    <row r="2164" spans="1:27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</row>
    <row r="2165" spans="1:27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</row>
    <row r="2166" spans="1:27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</row>
    <row r="2167" spans="1:27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</row>
    <row r="2168" spans="1:27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</row>
    <row r="2169" spans="1:27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</row>
    <row r="2170" spans="1:27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</row>
    <row r="2171" spans="1:27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</row>
    <row r="2172" spans="1:27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</row>
    <row r="2173" spans="1:27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</row>
    <row r="2174" spans="1:27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</row>
    <row r="2175" spans="1:27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</row>
    <row r="2176" spans="1:27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</row>
    <row r="2177" spans="1:27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</row>
    <row r="2178" spans="1:27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</row>
    <row r="2179" spans="1:27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</row>
    <row r="2180" spans="1:27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</row>
    <row r="2181" spans="1:27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</row>
    <row r="2182" spans="1:27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</row>
    <row r="2183" spans="1:27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</row>
    <row r="2184" spans="1:27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</row>
    <row r="2185" spans="1:27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</row>
    <row r="2186" spans="1:27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</row>
    <row r="2187" spans="1:27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</row>
    <row r="2188" spans="1:27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</row>
    <row r="2189" spans="1:27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</row>
    <row r="2190" spans="1:27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</row>
    <row r="2191" spans="1:27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</row>
    <row r="2192" spans="1:27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</row>
    <row r="2193" spans="1:27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</row>
    <row r="2194" spans="1:27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</row>
    <row r="2195" spans="1:27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</row>
    <row r="2196" spans="1:27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</row>
    <row r="2197" spans="1:27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</row>
    <row r="2198" spans="1:27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</row>
    <row r="2199" spans="1:27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</row>
    <row r="2200" spans="1:27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</row>
    <row r="2201" spans="1:27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</row>
    <row r="2202" spans="1:27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</row>
    <row r="2203" spans="1:27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</row>
    <row r="2204" spans="1:27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</row>
    <row r="2205" spans="1:27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</row>
    <row r="2206" spans="1:27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</row>
    <row r="2207" spans="1:27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</row>
    <row r="2208" spans="1:27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</row>
    <row r="2209" spans="1:27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</row>
    <row r="2210" spans="1:27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</row>
    <row r="2211" spans="1:27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</row>
    <row r="2212" spans="1:27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</row>
    <row r="2213" spans="1:27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</row>
    <row r="2214" spans="1:27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</row>
    <row r="2215" spans="1:27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</row>
    <row r="2216" spans="1:27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</row>
    <row r="2217" spans="1:27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</row>
    <row r="2218" spans="1:27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</row>
    <row r="2219" spans="1:27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</row>
    <row r="2220" spans="1:27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</row>
    <row r="2221" spans="1:27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</row>
    <row r="2222" spans="1:27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</row>
    <row r="2223" spans="1:27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</row>
    <row r="2224" spans="1:27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</row>
    <row r="2225" spans="1:27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</row>
    <row r="2226" spans="1:27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</row>
    <row r="2227" spans="1:27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</row>
    <row r="2228" spans="1:27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</row>
    <row r="2229" spans="1:27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</row>
    <row r="2230" spans="1:27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</row>
    <row r="2231" spans="1:27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</row>
    <row r="2232" spans="1:27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</row>
    <row r="2233" spans="1:27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</row>
    <row r="2234" spans="1:27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</row>
    <row r="2235" spans="1:27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</row>
    <row r="2236" spans="1:27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</row>
    <row r="2237" spans="1:27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</row>
    <row r="2238" spans="1:27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</row>
    <row r="2239" spans="1:27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</row>
    <row r="2240" spans="1:27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</row>
    <row r="2241" spans="1:27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</row>
    <row r="2242" spans="1:27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</row>
    <row r="2243" spans="1:27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</row>
    <row r="2244" spans="1:27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</row>
    <row r="2245" spans="1:27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</row>
    <row r="2246" spans="1:27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</row>
    <row r="2247" spans="1:27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</row>
    <row r="2248" spans="1:27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</row>
    <row r="2249" spans="1:27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</row>
    <row r="2250" spans="1:27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</row>
    <row r="2251" spans="1:27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</row>
    <row r="2252" spans="1:27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</row>
    <row r="2253" spans="1:27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</row>
    <row r="2254" spans="1:27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</row>
    <row r="2255" spans="1:27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</row>
    <row r="2256" spans="1:27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</row>
    <row r="2257" spans="1:27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</row>
    <row r="2258" spans="1:27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</row>
    <row r="2259" spans="1:27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</row>
    <row r="2260" spans="1:27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</row>
    <row r="2261" spans="1:27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</row>
    <row r="2262" spans="1:27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</row>
    <row r="2263" spans="1:27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</row>
    <row r="2264" spans="1:27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</row>
    <row r="2265" spans="1:27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</row>
    <row r="2266" spans="1:27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</row>
    <row r="2267" spans="1:27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</row>
    <row r="2268" spans="1:27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</row>
    <row r="2269" spans="1:27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</row>
    <row r="2270" spans="1:27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</row>
    <row r="2271" spans="1:27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</row>
    <row r="2272" spans="1:27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</row>
    <row r="2273" spans="1:27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</row>
    <row r="2274" spans="1:27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</row>
    <row r="2275" spans="1:27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</row>
    <row r="2276" spans="1:27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</row>
    <row r="2277" spans="1:27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</row>
    <row r="2278" spans="1:27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</row>
    <row r="2279" spans="1:27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</row>
    <row r="2280" spans="1:27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</row>
    <row r="2281" spans="1:27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</row>
    <row r="2282" spans="1:27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</row>
    <row r="2283" spans="1:27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</row>
    <row r="2284" spans="1:27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</row>
    <row r="2285" spans="1:27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</row>
    <row r="2286" spans="1:27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</row>
    <row r="2287" spans="1:27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</row>
    <row r="2288" spans="1:27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</row>
    <row r="2289" spans="1:27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</row>
    <row r="2290" spans="1:27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</row>
    <row r="2291" spans="1:27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</row>
    <row r="2292" spans="1:27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</row>
    <row r="2293" spans="1:27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</row>
    <row r="2294" spans="1:27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</row>
    <row r="2295" spans="1:27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</row>
    <row r="2296" spans="1:27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</row>
    <row r="2297" spans="1:27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</row>
    <row r="2298" spans="1:27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</row>
    <row r="2299" spans="1:27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</row>
    <row r="2300" spans="1:27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</row>
    <row r="2301" spans="1:27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</row>
    <row r="2302" spans="1:27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</row>
    <row r="2303" spans="1:27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</row>
    <row r="2304" spans="1:27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</row>
    <row r="2305" spans="1:27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</row>
    <row r="2306" spans="1:27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</row>
    <row r="2307" spans="1:27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</row>
    <row r="2308" spans="1:27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</row>
    <row r="2309" spans="1:27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</row>
    <row r="2310" spans="1:27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</row>
    <row r="2311" spans="1:27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</row>
    <row r="2312" spans="1:27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</row>
    <row r="2313" spans="1:27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</row>
    <row r="2314" spans="1:27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</row>
    <row r="2315" spans="1:27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</row>
    <row r="2316" spans="1:27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</row>
    <row r="2317" spans="1:27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</row>
    <row r="2318" spans="1:27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</row>
    <row r="2319" spans="1:27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</row>
    <row r="2320" spans="1:27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</row>
    <row r="2321" spans="1:27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</row>
    <row r="2322" spans="1:27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</row>
    <row r="2323" spans="1:27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</row>
    <row r="2324" spans="1:27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</row>
    <row r="2325" spans="1:27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</row>
    <row r="2326" spans="1:27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</row>
    <row r="2327" spans="1:27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</row>
    <row r="2328" spans="1:27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</row>
    <row r="2329" spans="1:27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</row>
    <row r="2330" spans="1:27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</row>
    <row r="2331" spans="1:27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</row>
    <row r="2332" spans="1:27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</row>
    <row r="2333" spans="1:27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</row>
    <row r="2334" spans="1:27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</row>
    <row r="2335" spans="1:27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</row>
    <row r="2336" spans="1:27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</row>
    <row r="2337" spans="1:27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</row>
    <row r="2338" spans="1:27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</row>
    <row r="2339" spans="1:27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</row>
    <row r="2340" spans="1:27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</row>
    <row r="2341" spans="1:27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</row>
    <row r="2342" spans="1:27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</row>
    <row r="2343" spans="1:27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</row>
    <row r="2344" spans="1:27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</row>
    <row r="2345" spans="1:27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</row>
    <row r="2346" spans="1:27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</row>
    <row r="2347" spans="1:27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</row>
    <row r="2348" spans="1:27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</row>
    <row r="2349" spans="1:27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</row>
    <row r="2350" spans="1:27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</row>
    <row r="2351" spans="1:27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</row>
    <row r="2352" spans="1:27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</row>
    <row r="2353" spans="1:27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</row>
    <row r="2354" spans="1:27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</row>
    <row r="2355" spans="1:27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</row>
    <row r="2356" spans="1:27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</row>
    <row r="2357" spans="1:27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</row>
    <row r="2358" spans="1:27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</row>
    <row r="2359" spans="1:27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</row>
    <row r="2360" spans="1:27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</row>
    <row r="2361" spans="1:27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</row>
    <row r="2362" spans="1:27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</row>
    <row r="2363" spans="1:27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</row>
    <row r="2364" spans="1:27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</row>
    <row r="2365" spans="1:27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</row>
    <row r="2366" spans="1:27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</row>
    <row r="2367" spans="1:27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</row>
    <row r="2368" spans="1:27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</row>
    <row r="2369" spans="1:27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</row>
    <row r="2370" spans="1:27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</row>
    <row r="2371" spans="1:27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</row>
    <row r="2372" spans="1:27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</row>
    <row r="2373" spans="1:27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</row>
    <row r="2374" spans="1:27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</row>
    <row r="2375" spans="1:27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</row>
    <row r="2376" spans="1:27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</row>
    <row r="2377" spans="1:27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</row>
    <row r="2378" spans="1:27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</row>
    <row r="2379" spans="1:27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</row>
    <row r="2380" spans="1:27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</row>
    <row r="2381" spans="1:27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</row>
    <row r="2382" spans="1:27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</row>
    <row r="2383" spans="1:27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</row>
    <row r="2384" spans="1:27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</row>
    <row r="2385" spans="1:27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</row>
    <row r="2386" spans="1:27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</row>
    <row r="2387" spans="1:27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</row>
    <row r="2388" spans="1:27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</row>
    <row r="2389" spans="1:27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</row>
    <row r="2390" spans="1:27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</row>
    <row r="2391" spans="1:27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</row>
    <row r="2392" spans="1:27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</row>
    <row r="2393" spans="1:27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</row>
    <row r="2394" spans="1:27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</row>
    <row r="2395" spans="1:27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</row>
    <row r="2396" spans="1:27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</row>
    <row r="2397" spans="1:27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</row>
    <row r="2398" spans="1:27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</row>
    <row r="2399" spans="1:27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</row>
    <row r="2400" spans="1:27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</row>
    <row r="2401" spans="1:27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</row>
    <row r="2402" spans="1:27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</row>
    <row r="2403" spans="1:27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</row>
    <row r="2404" spans="1:27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</row>
    <row r="2405" spans="1:27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</row>
    <row r="2406" spans="1:27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</row>
    <row r="2407" spans="1:27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</row>
    <row r="2408" spans="1:27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</row>
    <row r="2409" spans="1:27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</row>
    <row r="2410" spans="1:27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</row>
    <row r="2411" spans="1:27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</row>
    <row r="2412" spans="1:27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</row>
    <row r="2413" spans="1:27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</row>
    <row r="2414" spans="1:27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</row>
    <row r="2415" spans="1:27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</row>
    <row r="2416" spans="1:27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</row>
    <row r="2417" spans="1:27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</row>
    <row r="2418" spans="1:27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</row>
    <row r="2419" spans="1:27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</row>
    <row r="2420" spans="1:27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</row>
    <row r="2421" spans="1:27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</row>
    <row r="2422" spans="1:27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</row>
    <row r="2423" spans="1:27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</row>
    <row r="2424" spans="1:27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</row>
    <row r="2425" spans="1:27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</row>
    <row r="2426" spans="1:27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</row>
    <row r="2427" spans="1:27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</row>
    <row r="2428" spans="1:27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</row>
    <row r="2429" spans="1:27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</row>
    <row r="2430" spans="1:27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</row>
    <row r="2431" spans="1:27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</row>
    <row r="2432" spans="1:27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</row>
    <row r="2433" spans="1:27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</row>
    <row r="2434" spans="1:27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</row>
    <row r="2435" spans="1:27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</row>
    <row r="2436" spans="1:27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</row>
    <row r="2437" spans="1:27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</row>
    <row r="2438" spans="1:27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</row>
    <row r="2439" spans="1:27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</row>
    <row r="2440" spans="1:27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</row>
    <row r="2441" spans="1:27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</row>
    <row r="2442" spans="1:27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</row>
    <row r="2443" spans="1:27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</row>
    <row r="2444" spans="1:27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</row>
    <row r="2445" spans="1:27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</row>
    <row r="2446" spans="1:27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</row>
    <row r="2447" spans="1:27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</row>
    <row r="2448" spans="1:27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</row>
    <row r="2449" spans="1:27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</row>
    <row r="2450" spans="1:27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</row>
    <row r="2451" spans="1:27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</row>
    <row r="2452" spans="1:27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</row>
    <row r="2453" spans="1:27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</row>
    <row r="2454" spans="1:27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</row>
    <row r="2455" spans="1:27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</row>
    <row r="2456" spans="1:27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</row>
    <row r="2457" spans="1:27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</row>
    <row r="2458" spans="1:27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</row>
    <row r="2459" spans="1:27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</row>
    <row r="2460" spans="1:27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</row>
    <row r="2461" spans="1:27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</row>
    <row r="2462" spans="1:27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</row>
    <row r="2463" spans="1:27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</row>
    <row r="2464" spans="1:27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</row>
    <row r="2465" spans="1:27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</row>
    <row r="2466" spans="1:27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</row>
    <row r="2467" spans="1:27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</row>
    <row r="2468" spans="1:27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</row>
    <row r="2469" spans="1:27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</row>
    <row r="2470" spans="1:27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</row>
    <row r="2471" spans="1:27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</row>
    <row r="2472" spans="1:27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</row>
    <row r="2473" spans="1:27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</row>
    <row r="2474" spans="1:27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</row>
    <row r="2475" spans="1:27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</row>
    <row r="2476" spans="1:27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</row>
    <row r="2477" spans="1:27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</row>
    <row r="2478" spans="1:27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</row>
    <row r="2479" spans="1:27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</row>
    <row r="2480" spans="1:27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</row>
    <row r="2481" spans="1:27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</row>
    <row r="2482" spans="1:27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</row>
    <row r="2483" spans="1:27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</row>
    <row r="2484" spans="1:27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</row>
    <row r="2485" spans="1:27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</row>
    <row r="2486" spans="1:27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</row>
    <row r="2487" spans="1:27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</row>
    <row r="2488" spans="1:27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</row>
    <row r="2489" spans="1:27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</row>
    <row r="2490" spans="1:27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</row>
    <row r="2491" spans="1:27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</row>
    <row r="2492" spans="1:27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</row>
    <row r="2493" spans="1:27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</row>
    <row r="2494" spans="1:27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</row>
    <row r="2495" spans="1:27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</row>
    <row r="2496" spans="1:27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</row>
    <row r="2497" spans="1:27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</row>
    <row r="2498" spans="1:27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</row>
    <row r="2499" spans="1:27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</row>
    <row r="2500" spans="1:27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</row>
    <row r="2501" spans="1:27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</row>
    <row r="2502" spans="1:27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</row>
    <row r="2503" spans="1:27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</row>
    <row r="2504" spans="1:27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</row>
    <row r="2505" spans="1:27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</row>
    <row r="2506" spans="1:27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</row>
    <row r="2507" spans="1:27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</row>
    <row r="2508" spans="1:27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</row>
    <row r="2509" spans="1:27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</row>
    <row r="2510" spans="1:27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</row>
    <row r="2511" spans="1:27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</row>
    <row r="2512" spans="1:27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</row>
    <row r="2513" spans="1:27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</row>
    <row r="2514" spans="1:27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</row>
    <row r="2515" spans="1:27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</row>
    <row r="2516" spans="1:27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</row>
    <row r="2517" spans="1:27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</row>
    <row r="2518" spans="1:27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</row>
    <row r="2519" spans="1:27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</row>
    <row r="2520" spans="1:27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</row>
    <row r="2521" spans="1:27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</row>
    <row r="2522" spans="1:27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</row>
    <row r="2523" spans="1:27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</row>
    <row r="2524" spans="1:27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</row>
    <row r="2525" spans="1:27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</row>
    <row r="2526" spans="1:27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</row>
    <row r="2527" spans="1:27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</row>
    <row r="2528" spans="1:27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</row>
    <row r="2529" spans="1:27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</row>
    <row r="2530" spans="1:27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</row>
    <row r="2531" spans="1:27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</row>
    <row r="2532" spans="1:27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</row>
    <row r="2533" spans="1:27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</row>
    <row r="2534" spans="1:27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</row>
    <row r="2535" spans="1:27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</row>
    <row r="2536" spans="1:27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</row>
    <row r="2537" spans="1:27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</row>
    <row r="2538" spans="1:27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</row>
    <row r="2539" spans="1:27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</row>
    <row r="2540" spans="1:27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</row>
    <row r="2541" spans="1:27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</row>
    <row r="2542" spans="1:27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</row>
    <row r="2543" spans="1:27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</row>
    <row r="2544" spans="1:27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</row>
    <row r="2545" spans="1:27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</row>
    <row r="2546" spans="1:27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</row>
    <row r="2547" spans="1:27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</row>
    <row r="2548" spans="1:27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</row>
    <row r="2549" spans="1:27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</row>
    <row r="2550" spans="1:27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</row>
    <row r="2551" spans="1:27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</row>
    <row r="2552" spans="1:27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</row>
    <row r="2553" spans="1:27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</row>
    <row r="2554" spans="1:27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</row>
    <row r="2555" spans="1:27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</row>
    <row r="2556" spans="1:27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</row>
    <row r="2557" spans="1:27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</row>
    <row r="2558" spans="1:27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</row>
    <row r="2559" spans="1:27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</row>
    <row r="2560" spans="1:27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</row>
    <row r="2561" spans="1:27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</row>
    <row r="2562" spans="1:27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</row>
    <row r="2563" spans="1:27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</row>
    <row r="2564" spans="1:27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</row>
    <row r="2565" spans="1:27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</row>
    <row r="2566" spans="1:27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</row>
    <row r="2567" spans="1:27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</row>
    <row r="2568" spans="1:27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</row>
    <row r="2569" spans="1:27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</row>
    <row r="2570" spans="1:27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</row>
    <row r="2571" spans="1:27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</row>
    <row r="2572" spans="1:27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</row>
    <row r="2573" spans="1:27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</row>
    <row r="2574" spans="1:27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</row>
    <row r="2575" spans="1:27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</row>
    <row r="2576" spans="1:27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</row>
    <row r="2577" spans="1:27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</row>
    <row r="2578" spans="1:27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</row>
    <row r="2579" spans="1:27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</row>
    <row r="2580" spans="1:27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</row>
    <row r="2581" spans="1:27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</row>
    <row r="2582" spans="1:27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</row>
    <row r="2583" spans="1:27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</row>
    <row r="2584" spans="1:27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</row>
    <row r="2585" spans="1:27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</row>
    <row r="2586" spans="1:27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</row>
    <row r="2587" spans="1:27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</row>
    <row r="2588" spans="1:27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</row>
    <row r="2589" spans="1:27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</row>
    <row r="2590" spans="1:27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</row>
    <row r="2591" spans="1:27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</row>
    <row r="2592" spans="1:27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</row>
    <row r="2593" spans="1:27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</row>
    <row r="2594" spans="1:27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</row>
    <row r="2595" spans="1:27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</row>
    <row r="2596" spans="1:27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</row>
    <row r="2597" spans="1:27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</row>
    <row r="2598" spans="1:27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</row>
    <row r="2599" spans="1:27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</row>
    <row r="2600" spans="1:27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</row>
    <row r="2601" spans="1:27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</row>
    <row r="2602" spans="1:27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</row>
    <row r="2603" spans="1:27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</row>
    <row r="2604" spans="1:27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</row>
    <row r="2605" spans="1:27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</row>
    <row r="2606" spans="1:27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</row>
    <row r="2607" spans="1:27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</row>
    <row r="2608" spans="1:27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</row>
    <row r="2609" spans="1:27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</row>
    <row r="2610" spans="1:27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</row>
    <row r="2611" spans="1:27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</row>
    <row r="2612" spans="1:27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</row>
    <row r="2613" spans="1:27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</row>
    <row r="2614" spans="1:27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</row>
    <row r="2615" spans="1:27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</row>
    <row r="2616" spans="1:27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</row>
    <row r="2617" spans="1:27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</row>
    <row r="2618" spans="1:27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</row>
    <row r="2619" spans="1:27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</row>
    <row r="2620" spans="1:27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</row>
    <row r="2621" spans="1:27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</row>
    <row r="2622" spans="1:27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</row>
    <row r="2623" spans="1:27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</row>
    <row r="2624" spans="1:27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</row>
    <row r="2625" spans="1:27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</row>
    <row r="2626" spans="1:27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</row>
    <row r="2627" spans="1:27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</row>
    <row r="2628" spans="1:27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</row>
    <row r="2629" spans="1:27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</row>
    <row r="2630" spans="1:27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</row>
    <row r="2631" spans="1:27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</row>
    <row r="2632" spans="1:27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</row>
    <row r="2633" spans="1:27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</row>
    <row r="2634" spans="1:27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</row>
    <row r="2635" spans="1:27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</row>
    <row r="2636" spans="1:27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</row>
    <row r="2637" spans="1:27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</row>
    <row r="2638" spans="1:27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</row>
    <row r="2639" spans="1:27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</row>
    <row r="2640" spans="1:27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</row>
    <row r="2641" spans="1:27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</row>
    <row r="2642" spans="1:27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</row>
    <row r="2643" spans="1:27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</row>
    <row r="2644" spans="1:27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</row>
    <row r="2645" spans="1:27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</row>
    <row r="2646" spans="1:27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</row>
    <row r="2647" spans="1:27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</row>
    <row r="2648" spans="1:27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</row>
    <row r="2649" spans="1:27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</row>
    <row r="2650" spans="1:27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</row>
    <row r="2651" spans="1:27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</row>
    <row r="2652" spans="1:27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</row>
    <row r="2653" spans="1:27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</row>
    <row r="2654" spans="1:27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</row>
    <row r="2655" spans="1:27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</row>
    <row r="2656" spans="1:27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</row>
    <row r="2657" spans="1:27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</row>
    <row r="2658" spans="1:27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</row>
    <row r="2659" spans="1:27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</row>
    <row r="2660" spans="1:27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</row>
    <row r="2661" spans="1:27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</row>
    <row r="2662" spans="1:27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</row>
    <row r="2663" spans="1:27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</row>
    <row r="2664" spans="1:27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</row>
    <row r="2665" spans="1:27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</row>
    <row r="2666" spans="1:27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</row>
    <row r="2667" spans="1:27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</row>
    <row r="2668" spans="1:27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</row>
    <row r="2669" spans="1:27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</row>
    <row r="2670" spans="1:27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</row>
    <row r="2671" spans="1:27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</row>
    <row r="2672" spans="1:27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</row>
    <row r="2673" spans="1:27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</row>
    <row r="2674" spans="1:27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</row>
    <row r="2675" spans="1:27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</row>
    <row r="2676" spans="1:27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</row>
    <row r="2677" spans="1:27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</row>
    <row r="2678" spans="1:27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</row>
    <row r="2679" spans="1:27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</row>
    <row r="2680" spans="1:27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</row>
    <row r="2681" spans="1:27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</row>
    <row r="2682" spans="1:27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</row>
    <row r="2683" spans="1:27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</row>
    <row r="2684" spans="1:27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</row>
    <row r="2685" spans="1:27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</row>
    <row r="2686" spans="1:27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</row>
    <row r="2687" spans="1:27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</row>
    <row r="2688" spans="1:27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</row>
    <row r="2689" spans="1:27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</row>
    <row r="2690" spans="1:27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</row>
    <row r="2691" spans="1:27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</row>
    <row r="2692" spans="1:27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</row>
    <row r="2693" spans="1:27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</row>
    <row r="2694" spans="1:27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</row>
    <row r="2695" spans="1:27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</row>
    <row r="2696" spans="1:27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</row>
    <row r="2697" spans="1:27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</row>
    <row r="2698" spans="1:27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</row>
    <row r="2699" spans="1:27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</row>
    <row r="2700" spans="1:27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</row>
    <row r="2701" spans="1:27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</row>
    <row r="2702" spans="1:27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</row>
    <row r="2703" spans="1:27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</row>
    <row r="2704" spans="1:27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</row>
    <row r="2705" spans="1:27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</row>
    <row r="2706" spans="1:27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</row>
    <row r="2707" spans="1:27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</row>
    <row r="2708" spans="1:27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</row>
    <row r="2709" spans="1:27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</row>
    <row r="2710" spans="1:27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</row>
    <row r="2711" spans="1:27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</row>
    <row r="2712" spans="1:27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</row>
    <row r="2713" spans="1:27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</row>
    <row r="2714" spans="1:27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</row>
    <row r="2715" spans="1:27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</row>
    <row r="2716" spans="1:27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</row>
    <row r="2717" spans="1:27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</row>
    <row r="2718" spans="1:27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</row>
    <row r="2719" spans="1:27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</row>
    <row r="2720" spans="1:27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</row>
    <row r="2721" spans="1:27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</row>
    <row r="2722" spans="1:27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</row>
    <row r="2723" spans="1:27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</row>
    <row r="2724" spans="1:27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</row>
    <row r="2725" spans="1:27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</row>
    <row r="2726" spans="1:27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</row>
    <row r="2727" spans="1:27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</row>
    <row r="2728" spans="1:27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</row>
    <row r="2729" spans="1:27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</row>
    <row r="2730" spans="1:27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</row>
    <row r="2731" spans="1:27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</row>
    <row r="2732" spans="1:27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</row>
    <row r="2733" spans="1:27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</row>
    <row r="2734" spans="1:27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</row>
    <row r="2735" spans="1:27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</row>
    <row r="2736" spans="1:27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</row>
    <row r="2737" spans="1:27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</row>
    <row r="2738" spans="1:27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</row>
    <row r="2739" spans="1:27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</row>
    <row r="2740" spans="1:27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</row>
    <row r="2741" spans="1:27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</row>
    <row r="2742" spans="1:27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</row>
    <row r="2743" spans="1:27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</row>
    <row r="2744" spans="1:27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</row>
    <row r="2745" spans="1:27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</row>
    <row r="2746" spans="1:27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</row>
    <row r="2747" spans="1:27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</row>
    <row r="2748" spans="1:27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</row>
    <row r="2749" spans="1:27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</row>
    <row r="2750" spans="1:27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</row>
    <row r="2751" spans="1:27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</row>
    <row r="2752" spans="1:27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</row>
    <row r="2753" spans="1:27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</row>
    <row r="2754" spans="1:27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</row>
    <row r="2755" spans="1:27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</row>
    <row r="2756" spans="1:27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</row>
    <row r="2757" spans="1:27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</row>
    <row r="2758" spans="1:27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</row>
    <row r="2759" spans="1:27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</row>
    <row r="2760" spans="1:27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</row>
    <row r="2761" spans="1:27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</row>
    <row r="2762" spans="1:27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</row>
    <row r="2763" spans="1:27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</row>
    <row r="2764" spans="1:27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</row>
    <row r="2765" spans="1:27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</row>
    <row r="2766" spans="1:27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</row>
    <row r="2767" spans="1:27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</row>
    <row r="2768" spans="1:27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</row>
    <row r="2769" spans="1:27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</row>
    <row r="2770" spans="1:27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</row>
    <row r="2771" spans="1:27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</row>
    <row r="2772" spans="1:27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</row>
    <row r="2773" spans="1:27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</row>
    <row r="2774" spans="1:27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</row>
    <row r="2775" spans="1:27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</row>
    <row r="2776" spans="1:27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</row>
    <row r="2777" spans="1:27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</row>
    <row r="2778" spans="1:27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</row>
    <row r="2779" spans="1:27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</row>
    <row r="2780" spans="1:27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</row>
    <row r="2781" spans="1:27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</row>
    <row r="2782" spans="1:27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</row>
    <row r="2783" spans="1:27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</row>
    <row r="2784" spans="1:27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</row>
    <row r="2785" spans="1:27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</row>
    <row r="2786" spans="1:27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</row>
    <row r="2787" spans="1:27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</row>
    <row r="2788" spans="1:27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</row>
    <row r="2789" spans="1:27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</row>
    <row r="2790" spans="1:27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</row>
    <row r="2791" spans="1:27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</row>
    <row r="2792" spans="1:27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</row>
    <row r="2793" spans="1:27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</row>
    <row r="2794" spans="1:27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</row>
    <row r="2795" spans="1:27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</row>
    <row r="2796" spans="1:27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</row>
    <row r="2797" spans="1:27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</row>
    <row r="2798" spans="1:27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</row>
    <row r="2799" spans="1:27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</row>
    <row r="2800" spans="1:27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</row>
    <row r="2801" spans="1:27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</row>
    <row r="2802" spans="1:27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</row>
    <row r="2803" spans="1:27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</row>
    <row r="2804" spans="1:27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</row>
    <row r="2805" spans="1:27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</row>
    <row r="2806" spans="1:27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</row>
    <row r="2807" spans="1:27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</row>
    <row r="2808" spans="1:27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</row>
    <row r="2809" spans="1:27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</row>
    <row r="2810" spans="1:27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</row>
    <row r="2811" spans="1:27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</row>
    <row r="2812" spans="1:27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</row>
    <row r="2813" spans="1:27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</row>
    <row r="2814" spans="1:27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</row>
    <row r="2815" spans="1:27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</row>
    <row r="2816" spans="1:27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</row>
    <row r="2817" spans="1:27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</row>
    <row r="2818" spans="1:27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</row>
    <row r="2819" spans="1:27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</row>
    <row r="2820" spans="1:27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</row>
    <row r="2821" spans="1:27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</row>
    <row r="2822" spans="1:27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</row>
    <row r="2823" spans="1:27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</row>
    <row r="2824" spans="1:27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</row>
    <row r="2825" spans="1:27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</row>
    <row r="2826" spans="1:27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</row>
    <row r="2827" spans="1:27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</row>
    <row r="2828" spans="1:27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</row>
    <row r="2829" spans="1:27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</row>
    <row r="2830" spans="1:27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</row>
    <row r="2831" spans="1:27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</row>
    <row r="2832" spans="1:27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</row>
    <row r="2833" spans="1:27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</row>
    <row r="2834" spans="1:27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</row>
    <row r="2835" spans="1:27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</row>
    <row r="2836" spans="1:27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</row>
    <row r="2837" spans="1:27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</row>
    <row r="2838" spans="1:27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</row>
    <row r="2839" spans="1:27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</row>
    <row r="2840" spans="1:27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</row>
    <row r="2841" spans="1:27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</row>
    <row r="2842" spans="1:27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</row>
    <row r="2843" spans="1:27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</row>
    <row r="2844" spans="1:27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</row>
    <row r="2845" spans="1:27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</row>
    <row r="2846" spans="1:27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</row>
    <row r="2847" spans="1:27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</row>
    <row r="2848" spans="1:27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</row>
    <row r="2849" spans="1:27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</row>
    <row r="2850" spans="1:27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</row>
    <row r="2851" spans="1:27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</row>
    <row r="2852" spans="1:27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</row>
    <row r="2853" spans="1:27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</row>
    <row r="2854" spans="1:27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</row>
    <row r="2855" spans="1:27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</row>
    <row r="2856" spans="1:27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</row>
    <row r="2857" spans="1:27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</row>
    <row r="2858" spans="1:27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</row>
    <row r="2859" spans="1:27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</row>
    <row r="2860" spans="1:27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</row>
    <row r="2861" spans="1:27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</row>
    <row r="2862" spans="1:27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</row>
    <row r="2863" spans="1:27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</row>
    <row r="2864" spans="1:27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</row>
    <row r="2865" spans="1:27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</row>
    <row r="2866" spans="1:27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</row>
    <row r="2867" spans="1:27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</row>
    <row r="2868" spans="1:27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</row>
    <row r="2869" spans="1:27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</row>
    <row r="2870" spans="1:27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</row>
    <row r="2871" spans="1:27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</row>
    <row r="2872" spans="1:27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</row>
    <row r="2873" spans="1:27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</row>
    <row r="2874" spans="1:27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</row>
    <row r="2875" spans="1:27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</row>
    <row r="2876" spans="1:27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</row>
    <row r="2877" spans="1:27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</row>
    <row r="2878" spans="1:27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</row>
    <row r="2879" spans="1:27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</row>
    <row r="2880" spans="1:27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</row>
    <row r="2881" spans="1:27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</row>
    <row r="2882" spans="1:27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</row>
    <row r="2883" spans="1:27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</row>
    <row r="2884" spans="1:27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</row>
    <row r="2885" spans="1:27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</row>
    <row r="2886" spans="1:27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</row>
    <row r="2887" spans="1:27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</row>
    <row r="2888" spans="1:27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</row>
    <row r="2889" spans="1:27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</row>
    <row r="2890" spans="1:27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</row>
    <row r="2891" spans="1:27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</row>
    <row r="2892" spans="1:27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</row>
    <row r="2893" spans="1:27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</row>
    <row r="2894" spans="1:27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</row>
    <row r="2895" spans="1:27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</row>
    <row r="2896" spans="1:27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</row>
    <row r="2897" spans="1:27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</row>
    <row r="2898" spans="1:27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</row>
    <row r="2899" spans="1:27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</row>
    <row r="2900" spans="1:27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</row>
    <row r="2901" spans="1:27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</row>
    <row r="2902" spans="1:27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</row>
    <row r="2903" spans="1:27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</row>
    <row r="2904" spans="1:27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</row>
    <row r="2905" spans="1:27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</row>
    <row r="2906" spans="1:27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</row>
    <row r="2907" spans="1:27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</row>
    <row r="2908" spans="1:27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</row>
    <row r="2909" spans="1:27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</row>
    <row r="2910" spans="1:27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</row>
    <row r="2911" spans="1:27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</row>
    <row r="2912" spans="1:27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</row>
    <row r="2913" spans="1:27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</row>
    <row r="2914" spans="1:27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</row>
    <row r="2915" spans="1:27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</row>
    <row r="2916" spans="1:27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</row>
    <row r="2917" spans="1:27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</row>
    <row r="2918" spans="1:27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</row>
    <row r="2919" spans="1:27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</row>
    <row r="2920" spans="1:27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</row>
    <row r="2921" spans="1:27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</row>
    <row r="2922" spans="1:27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</row>
    <row r="2923" spans="1:27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</row>
    <row r="2924" spans="1:27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</row>
    <row r="2925" spans="1:27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</row>
    <row r="2926" spans="1:27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</row>
    <row r="2927" spans="1:27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</row>
    <row r="2928" spans="1:27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</row>
    <row r="2929" spans="1:27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</row>
    <row r="2930" spans="1:27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</row>
    <row r="2931" spans="1:27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</row>
    <row r="2932" spans="1:27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</row>
    <row r="2933" spans="1:27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</row>
    <row r="2934" spans="1:27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</row>
    <row r="2935" spans="1:27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</row>
    <row r="2936" spans="1:27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</row>
    <row r="2937" spans="1:27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</row>
    <row r="2938" spans="1:27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</row>
    <row r="2939" spans="1:27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</row>
    <row r="2940" spans="1:27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</row>
    <row r="2941" spans="1:27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</row>
    <row r="2942" spans="1:27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</row>
    <row r="2943" spans="1:27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</row>
    <row r="2944" spans="1:27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</row>
    <row r="2945" spans="1:27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</row>
    <row r="2946" spans="1:27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</row>
    <row r="2947" spans="1:27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</row>
    <row r="2948" spans="1:27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</row>
    <row r="2949" spans="1:27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</row>
    <row r="2950" spans="1:27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</row>
    <row r="2951" spans="1:27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</row>
    <row r="2952" spans="1:27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</row>
    <row r="2953" spans="1:27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</row>
    <row r="2954" spans="1:27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</row>
    <row r="2955" spans="1:27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</row>
    <row r="2956" spans="1:27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</row>
    <row r="2957" spans="1:27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</row>
    <row r="2958" spans="1:27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</row>
    <row r="2959" spans="1:27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</row>
    <row r="2960" spans="1:27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</row>
    <row r="2961" spans="1:27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</row>
    <row r="2962" spans="1:27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</row>
    <row r="2963" spans="1:27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</row>
    <row r="2964" spans="1:27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</row>
    <row r="2965" spans="1:27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</row>
    <row r="2966" spans="1:27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</row>
    <row r="2967" spans="1:27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</row>
    <row r="2968" spans="1:27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</row>
    <row r="2969" spans="1:27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</row>
    <row r="2970" spans="1:27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</row>
    <row r="2971" spans="1:27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</row>
    <row r="2972" spans="1:27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</row>
    <row r="2973" spans="1:27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</row>
    <row r="2974" spans="1:27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</row>
    <row r="2975" spans="1:27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</row>
    <row r="2976" spans="1:27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</row>
    <row r="2977" spans="1:27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</row>
    <row r="2978" spans="1:27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</row>
    <row r="2979" spans="1:27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</row>
    <row r="2980" spans="1:27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</row>
    <row r="2981" spans="1:27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</row>
    <row r="2982" spans="1:27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</row>
    <row r="2983" spans="1:27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</row>
    <row r="2984" spans="1:27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</row>
    <row r="2985" spans="1:27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</row>
    <row r="2986" spans="1:27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</row>
    <row r="2987" spans="1:27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</row>
    <row r="2988" spans="1:27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</row>
    <row r="2989" spans="1:27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</row>
    <row r="2990" spans="1:27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</row>
    <row r="2991" spans="1:27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</row>
    <row r="2992" spans="1:27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</row>
    <row r="2993" spans="1:27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</row>
    <row r="2994" spans="1:27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</row>
    <row r="2995" spans="1:27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</row>
    <row r="2996" spans="1:27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</row>
    <row r="2997" spans="1:27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</row>
    <row r="2998" spans="1:27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</row>
    <row r="2999" spans="1:27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</row>
    <row r="3000" spans="1:27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</row>
    <row r="3001" spans="1:27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</row>
    <row r="3002" spans="1:27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</row>
    <row r="3003" spans="1:27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</row>
    <row r="3004" spans="1:27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</row>
    <row r="3005" spans="1:27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</row>
    <row r="3006" spans="1:27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</row>
    <row r="3007" spans="1:27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</row>
    <row r="3008" spans="1:27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</row>
    <row r="3009" spans="1:27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</row>
    <row r="3010" spans="1:27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</row>
    <row r="3011" spans="1:27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</row>
    <row r="3012" spans="1:27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</row>
    <row r="3013" spans="1:27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</row>
    <row r="3014" spans="1:27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</row>
    <row r="3015" spans="1:27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</row>
    <row r="3016" spans="1:27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</row>
    <row r="3017" spans="1:27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</row>
    <row r="3018" spans="1:27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</row>
    <row r="3019" spans="1:27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</row>
    <row r="3020" spans="1:27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</row>
    <row r="3021" spans="1:27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</row>
    <row r="3022" spans="1:27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</row>
    <row r="3023" spans="1:27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</row>
    <row r="3024" spans="1:27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</row>
    <row r="3025" spans="1:27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</row>
    <row r="3026" spans="1:27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</row>
    <row r="3027" spans="1:27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</row>
    <row r="3028" spans="1:27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</row>
    <row r="3029" spans="1:27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</row>
    <row r="3030" spans="1:27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</row>
    <row r="3031" spans="1:27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</row>
    <row r="3032" spans="1:27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</row>
    <row r="3033" spans="1:27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</row>
    <row r="3034" spans="1:27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</row>
    <row r="3035" spans="1:27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</row>
    <row r="3036" spans="1:27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</row>
    <row r="3037" spans="1:27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</row>
    <row r="3038" spans="1:27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</row>
    <row r="3039" spans="1:27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</row>
    <row r="3040" spans="1:27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</row>
    <row r="3041" spans="1:27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</row>
    <row r="3042" spans="1:27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</row>
    <row r="3043" spans="1:27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</row>
    <row r="3044" spans="1:27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</row>
    <row r="3045" spans="1:27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</row>
    <row r="3046" spans="1:27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</row>
    <row r="3047" spans="1:27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</row>
    <row r="3048" spans="1:27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</row>
    <row r="3049" spans="1:27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</row>
    <row r="3050" spans="1:27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</row>
    <row r="3051" spans="1:27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</row>
    <row r="3052" spans="1:27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</row>
    <row r="3053" spans="1:27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</row>
    <row r="3054" spans="1:27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</row>
    <row r="3055" spans="1:27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</row>
    <row r="3056" spans="1:27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</row>
    <row r="3057" spans="1:27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</row>
    <row r="3058" spans="1:27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</row>
    <row r="3059" spans="1:27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</row>
    <row r="3060" spans="1:27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</row>
    <row r="3061" spans="1:27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</row>
    <row r="3062" spans="1:27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</row>
    <row r="3063" spans="1:27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</row>
    <row r="3064" spans="1:27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</row>
    <row r="3065" spans="1:27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</row>
    <row r="3066" spans="1:27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</row>
    <row r="3067" spans="1:27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</row>
    <row r="3068" spans="1:27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</row>
    <row r="3069" spans="1:27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</row>
    <row r="3070" spans="1:27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</row>
    <row r="3071" spans="1:27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</row>
    <row r="3072" spans="1:27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</row>
    <row r="3073" spans="1:27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</row>
    <row r="3074" spans="1:27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</row>
    <row r="3075" spans="1:27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</row>
    <row r="3076" spans="1:27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</row>
    <row r="3077" spans="1:27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</row>
    <row r="3078" spans="1:27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</row>
    <row r="3079" spans="1:27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</row>
    <row r="3080" spans="1:27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</row>
    <row r="3081" spans="1:27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</row>
    <row r="3082" spans="1:27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</row>
    <row r="3083" spans="1:27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</row>
    <row r="3084" spans="1:27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</row>
    <row r="3085" spans="1:27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</row>
    <row r="3086" spans="1:27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</row>
    <row r="3087" spans="1:27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</row>
    <row r="3088" spans="1:27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</row>
    <row r="3089" spans="1:27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</row>
    <row r="3090" spans="1:27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</row>
    <row r="3091" spans="1:27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</row>
    <row r="3092" spans="1:27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</row>
    <row r="3093" spans="1:27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</row>
    <row r="3094" spans="1:27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</row>
    <row r="3095" spans="1:27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</row>
    <row r="3096" spans="1:27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</row>
    <row r="3097" spans="1:27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</row>
    <row r="3098" spans="1:27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</row>
    <row r="3099" spans="1:27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</row>
    <row r="3100" spans="1:27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</row>
    <row r="3101" spans="1:27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</row>
    <row r="3102" spans="1:27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</row>
    <row r="3103" spans="1:27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</row>
    <row r="3104" spans="1:27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</row>
    <row r="3105" spans="1:27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</row>
    <row r="3106" spans="1:27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</row>
    <row r="3107" spans="1:27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</row>
    <row r="3108" spans="1:27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</row>
    <row r="3109" spans="1:27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</row>
    <row r="3110" spans="1:27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</row>
    <row r="3111" spans="1:27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</row>
    <row r="3112" spans="1:27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</row>
    <row r="3113" spans="1:27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</row>
    <row r="3114" spans="1:27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</row>
    <row r="3115" spans="1:27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</row>
    <row r="3116" spans="1:27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</row>
    <row r="3117" spans="1:27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</row>
    <row r="3118" spans="1:27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</row>
    <row r="3119" spans="1:27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</row>
    <row r="3120" spans="1:27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</row>
    <row r="3121" spans="1:27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</row>
    <row r="3122" spans="1:27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</row>
    <row r="3123" spans="1:27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</row>
    <row r="3124" spans="1:27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</row>
    <row r="3125" spans="1:27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</row>
    <row r="3126" spans="1:27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</row>
    <row r="3127" spans="1:27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</row>
    <row r="3128" spans="1:27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</row>
    <row r="3129" spans="1:27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</row>
    <row r="3130" spans="1:27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</row>
    <row r="3131" spans="1:27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</row>
    <row r="3132" spans="1:27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</row>
    <row r="3133" spans="1:27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</row>
    <row r="3134" spans="1:27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</row>
    <row r="3135" spans="1:27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</row>
    <row r="3136" spans="1:27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</row>
    <row r="3137" spans="1:27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</row>
    <row r="3138" spans="1:27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</row>
    <row r="3139" spans="1:27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</row>
    <row r="3140" spans="1:27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</row>
    <row r="3141" spans="1:27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</row>
    <row r="3142" spans="1:27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</row>
    <row r="3143" spans="1:27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</row>
    <row r="3144" spans="1:27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</row>
    <row r="3145" spans="1:27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</row>
    <row r="3146" spans="1:27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</row>
    <row r="3147" spans="1:27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</row>
    <row r="3148" spans="1:27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</row>
    <row r="3149" spans="1:27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</row>
    <row r="3150" spans="1:27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</row>
    <row r="3151" spans="1:27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</row>
    <row r="3152" spans="1:27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</row>
    <row r="3153" spans="1:27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</row>
    <row r="3154" spans="1:27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</row>
    <row r="3155" spans="1:27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</row>
    <row r="3156" spans="1:27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</row>
    <row r="3157" spans="1:27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</row>
    <row r="3158" spans="1:27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</row>
    <row r="3159" spans="1:27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</row>
    <row r="3160" spans="1:27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</row>
    <row r="3161" spans="1:27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</row>
    <row r="3162" spans="1:27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</row>
    <row r="3163" spans="1:27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</row>
    <row r="3164" spans="1:27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</row>
    <row r="3165" spans="1:27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</row>
    <row r="3166" spans="1:27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</row>
    <row r="3167" spans="1:27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</row>
    <row r="3168" spans="1:27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</row>
    <row r="3169" spans="1:27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</row>
    <row r="3170" spans="1:27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</row>
    <row r="3171" spans="1:27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</row>
    <row r="3172" spans="1:27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</row>
    <row r="3173" spans="1:27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</row>
    <row r="3174" spans="1:27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</row>
    <row r="3175" spans="1:27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</row>
    <row r="3176" spans="1:27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</row>
    <row r="3177" spans="1:27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</row>
    <row r="3178" spans="1:27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</row>
    <row r="3179" spans="1:27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</row>
    <row r="3180" spans="1:27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</row>
    <row r="3181" spans="1:27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</row>
    <row r="3182" spans="1:27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</row>
    <row r="3183" spans="1:27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</row>
    <row r="3184" spans="1:27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</row>
    <row r="3185" spans="1:27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</row>
    <row r="3186" spans="1:27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</row>
    <row r="3187" spans="1:27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</row>
    <row r="3188" spans="1:27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</row>
    <row r="3189" spans="1:27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</row>
    <row r="3190" spans="1:27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</row>
    <row r="3191" spans="1:27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</row>
    <row r="3192" spans="1:27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</row>
    <row r="3193" spans="1:27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</row>
    <row r="3194" spans="1:27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</row>
    <row r="3195" spans="1:27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</row>
    <row r="3196" spans="1:27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</row>
    <row r="3197" spans="1:27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</row>
    <row r="3198" spans="1:27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</row>
    <row r="3199" spans="1:27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</row>
    <row r="3200" spans="1:27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</row>
    <row r="3201" spans="1:27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</row>
    <row r="3202" spans="1:27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</row>
    <row r="3203" spans="1:27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</row>
    <row r="3204" spans="1:27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</row>
    <row r="3205" spans="1:27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</row>
    <row r="3206" spans="1:27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</row>
    <row r="3207" spans="1:27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</row>
    <row r="3208" spans="1:27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</row>
    <row r="3209" spans="1:27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</row>
    <row r="3210" spans="1:27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</row>
    <row r="3211" spans="1:27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</row>
    <row r="3212" spans="1:27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</row>
    <row r="3213" spans="1:27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</row>
    <row r="3214" spans="1:27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</row>
    <row r="3215" spans="1:27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</row>
    <row r="3216" spans="1:27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</row>
    <row r="3217" spans="1:27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</row>
    <row r="3218" spans="1:27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</row>
    <row r="3219" spans="1:27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</row>
    <row r="3220" spans="1:27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</row>
    <row r="3221" spans="1:27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</row>
    <row r="3222" spans="1:27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</row>
    <row r="3223" spans="1:27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</row>
    <row r="3224" spans="1:27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</row>
    <row r="3225" spans="1:27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</row>
    <row r="3226" spans="1:27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</row>
    <row r="3227" spans="1:27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</row>
    <row r="3228" spans="1:27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</row>
    <row r="3229" spans="1:27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</row>
    <row r="3230" spans="1:27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</row>
    <row r="3231" spans="1:27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</row>
    <row r="3232" spans="1:27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</row>
    <row r="3233" spans="1:27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</row>
    <row r="3234" spans="1:27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</row>
    <row r="3235" spans="1:27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</row>
    <row r="3236" spans="1:27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</row>
    <row r="3237" spans="1:27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</row>
    <row r="3238" spans="1:27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</row>
    <row r="3239" spans="1:27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</row>
    <row r="3240" spans="1:27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</row>
    <row r="3241" spans="1:27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</row>
    <row r="3242" spans="1:27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</row>
    <row r="3243" spans="1:27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</row>
    <row r="3244" spans="1:27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</row>
    <row r="3245" spans="1:27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</row>
    <row r="3246" spans="1:27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</row>
    <row r="3247" spans="1:27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</row>
    <row r="3248" spans="1:27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</row>
    <row r="3249" spans="1:27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</row>
    <row r="3250" spans="1:27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</row>
    <row r="3251" spans="1:27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</row>
    <row r="3252" spans="1:27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</row>
    <row r="3253" spans="1:27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</row>
    <row r="3254" spans="1:27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</row>
    <row r="3255" spans="1:27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</row>
    <row r="3256" spans="1:27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</row>
    <row r="3257" spans="1:27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</row>
    <row r="3258" spans="1:27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</row>
    <row r="3259" spans="1:27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</row>
    <row r="3260" spans="1:27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</row>
    <row r="3261" spans="1:27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</row>
    <row r="3262" spans="1:27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</row>
    <row r="3263" spans="1:27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</row>
    <row r="3264" spans="1:27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</row>
    <row r="3265" spans="1:27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</row>
    <row r="3266" spans="1:27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</row>
    <row r="3267" spans="1:27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</row>
    <row r="3268" spans="1:27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</row>
    <row r="3269" spans="1:27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</row>
    <row r="3270" spans="1:27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</row>
    <row r="3271" spans="1:27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</row>
    <row r="3272" spans="1:27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</row>
    <row r="3273" spans="1:27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</row>
    <row r="3274" spans="1:27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</row>
    <row r="3275" spans="1:27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</row>
    <row r="3276" spans="1:27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</row>
    <row r="3277" spans="1:27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</row>
    <row r="3278" spans="1:27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</row>
    <row r="3279" spans="1:27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</row>
    <row r="3280" spans="1:27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</row>
    <row r="3281" spans="1:27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</row>
    <row r="3282" spans="1:27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</row>
    <row r="3283" spans="1:27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</row>
    <row r="3284" spans="1:27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</row>
    <row r="3285" spans="1:27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</row>
    <row r="3286" spans="1:27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</row>
    <row r="3287" spans="1:27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</row>
    <row r="3288" spans="1:27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</row>
    <row r="3289" spans="1:27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</row>
    <row r="3290" spans="1:27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</row>
    <row r="3291" spans="1:27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</row>
    <row r="3292" spans="1:27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</row>
    <row r="3293" spans="1:27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</row>
    <row r="3294" spans="1:27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</row>
    <row r="3295" spans="1:27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</row>
    <row r="3296" spans="1:27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</row>
    <row r="3297" spans="1:27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</row>
    <row r="3298" spans="1:27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</row>
    <row r="3299" spans="1:27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</row>
    <row r="3300" spans="1:27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</row>
    <row r="3301" spans="1:27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</row>
    <row r="3302" spans="1:27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</row>
    <row r="3303" spans="1:27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</row>
    <row r="3304" spans="1:27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</row>
    <row r="3305" spans="1:27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</row>
    <row r="3306" spans="1:27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</row>
    <row r="3307" spans="1:27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</row>
    <row r="3308" spans="1:27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</row>
    <row r="3309" spans="1:27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</row>
    <row r="3310" spans="1:27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</row>
    <row r="3311" spans="1:27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</row>
    <row r="3312" spans="1:27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</row>
    <row r="3313" spans="1:27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</row>
    <row r="3314" spans="1:27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</row>
    <row r="3315" spans="1:27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</row>
    <row r="3316" spans="1:27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</row>
    <row r="3317" spans="1:27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</row>
    <row r="3318" spans="1:27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</row>
    <row r="3319" spans="1:27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</row>
    <row r="3320" spans="1:27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</row>
    <row r="3321" spans="1:27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</row>
    <row r="3322" spans="1:27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</row>
    <row r="3323" spans="1:27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</row>
    <row r="3324" spans="1:27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</row>
    <row r="3325" spans="1:27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</row>
    <row r="3326" spans="1:27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</row>
    <row r="3327" spans="1:27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</row>
    <row r="3328" spans="1:27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</row>
    <row r="3329" spans="1:27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</row>
    <row r="3330" spans="1:27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</row>
    <row r="3331" spans="1:27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</row>
    <row r="3332" spans="1:27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</row>
    <row r="3333" spans="1:27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</row>
    <row r="3334" spans="1:27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</row>
    <row r="3335" spans="1:27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</row>
    <row r="3336" spans="1:27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</row>
    <row r="3337" spans="1:27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</row>
    <row r="3338" spans="1:27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</row>
    <row r="3339" spans="1:27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</row>
    <row r="3340" spans="1:27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</row>
    <row r="3341" spans="1:27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</row>
    <row r="3342" spans="1:27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</row>
    <row r="3343" spans="1:27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</row>
    <row r="3344" spans="1:27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</row>
    <row r="3345" spans="1:27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</row>
    <row r="3346" spans="1:27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</row>
    <row r="3347" spans="1:27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</row>
    <row r="3348" spans="1:27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</row>
    <row r="3349" spans="1:27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</row>
    <row r="3350" spans="1:27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</row>
    <row r="3351" spans="1:27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</row>
    <row r="3352" spans="1:27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</row>
    <row r="3353" spans="1:27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</row>
    <row r="3354" spans="1:27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</row>
    <row r="3355" spans="1:27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</row>
    <row r="3356" spans="1:27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</row>
    <row r="3357" spans="1:27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</row>
    <row r="3358" spans="1:27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</row>
    <row r="3359" spans="1:27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</row>
    <row r="3360" spans="1:27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</row>
    <row r="3361" spans="1:27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</row>
    <row r="3362" spans="1:27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</row>
    <row r="3363" spans="1:27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</row>
    <row r="3364" spans="1:27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</row>
    <row r="3365" spans="1:27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</row>
    <row r="3366" spans="1:27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</row>
    <row r="3367" spans="1:27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</row>
    <row r="3368" spans="1:27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</row>
    <row r="3369" spans="1:27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</row>
    <row r="3370" spans="1:27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</row>
    <row r="3371" spans="1:27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</row>
    <row r="3372" spans="1:27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</row>
    <row r="3373" spans="1:27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</row>
    <row r="3374" spans="1:27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</row>
    <row r="3375" spans="1:27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</row>
    <row r="3376" spans="1:27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</row>
    <row r="3377" spans="1:27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</row>
    <row r="3378" spans="1:27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</row>
    <row r="3379" spans="1:27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</row>
    <row r="3380" spans="1:27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</row>
    <row r="3381" spans="1:27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</row>
    <row r="3382" spans="1:27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</row>
    <row r="3383" spans="1:27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</row>
    <row r="3384" spans="1:27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</row>
    <row r="3385" spans="1:27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</row>
    <row r="3386" spans="1:27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</row>
    <row r="3387" spans="1:27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</row>
    <row r="3388" spans="1:27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</row>
    <row r="3389" spans="1:27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</row>
    <row r="3390" spans="1:27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</row>
    <row r="3391" spans="1:27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</row>
    <row r="3392" spans="1:27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</row>
    <row r="3393" spans="1:27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</row>
    <row r="3394" spans="1:27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</row>
    <row r="3395" spans="1:27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</row>
    <row r="3396" spans="1:27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</row>
    <row r="3397" spans="1:27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</row>
    <row r="3398" spans="1:27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</row>
    <row r="3399" spans="1:27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</row>
    <row r="3400" spans="1:27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</row>
    <row r="3401" spans="1:27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</row>
    <row r="3402" spans="1:27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</row>
    <row r="3403" spans="1:27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</row>
    <row r="3404" spans="1:27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</row>
    <row r="3405" spans="1:27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</row>
    <row r="3406" spans="1:27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</row>
    <row r="3407" spans="1:27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</row>
    <row r="3408" spans="1:27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</row>
    <row r="3409" spans="1:27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</row>
    <row r="3410" spans="1:27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</row>
    <row r="3411" spans="1:27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</row>
    <row r="3412" spans="1:27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</row>
    <row r="3413" spans="1:27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</row>
    <row r="3414" spans="1:27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</row>
    <row r="3415" spans="1:27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</row>
    <row r="3416" spans="1:27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</row>
    <row r="3417" spans="1:27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</row>
    <row r="3418" spans="1:27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</row>
    <row r="3419" spans="1:27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</row>
    <row r="3420" spans="1:27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</row>
    <row r="3421" spans="1:27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</row>
    <row r="3422" spans="1:27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</row>
    <row r="3423" spans="1:27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</row>
    <row r="3424" spans="1:27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</row>
    <row r="3425" spans="1:27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</row>
    <row r="3426" spans="1:27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</row>
    <row r="3427" spans="1:27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</row>
    <row r="3428" spans="1:27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</row>
    <row r="3429" spans="1:27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</row>
    <row r="3430" spans="1:27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</row>
    <row r="3431" spans="1:27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</row>
    <row r="3432" spans="1:27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</row>
    <row r="3433" spans="1:27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</row>
    <row r="3434" spans="1:27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</row>
    <row r="3435" spans="1:27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</row>
    <row r="3436" spans="1:27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</row>
    <row r="3437" spans="1:27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</row>
    <row r="3438" spans="1:27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</row>
    <row r="3439" spans="1:27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</row>
    <row r="3440" spans="1:27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</row>
    <row r="3441" spans="1:27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</row>
    <row r="3442" spans="1:27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</row>
    <row r="3443" spans="1:27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</row>
    <row r="3444" spans="1:27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</row>
    <row r="3445" spans="1:27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</row>
    <row r="3446" spans="1:27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</row>
    <row r="3447" spans="1:27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</row>
    <row r="3448" spans="1:27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</row>
    <row r="3449" spans="1:27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</row>
    <row r="3450" spans="1:27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</row>
    <row r="3451" spans="1:27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</row>
    <row r="3452" spans="1:27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</row>
    <row r="3453" spans="1:27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</row>
    <row r="3454" spans="1:27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</row>
    <row r="3455" spans="1:27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</row>
    <row r="3456" spans="1:27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</row>
    <row r="3457" spans="1:27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</row>
    <row r="3458" spans="1:27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</row>
    <row r="3459" spans="1:27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</row>
    <row r="3460" spans="1:27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</row>
    <row r="3461" spans="1:27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</row>
    <row r="3462" spans="1:27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</row>
    <row r="3463" spans="1:27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</row>
    <row r="3464" spans="1:27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</row>
    <row r="3465" spans="1:27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</row>
    <row r="3466" spans="1:27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</row>
    <row r="3467" spans="1:27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</row>
    <row r="3468" spans="1:27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</row>
    <row r="3469" spans="1:27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</row>
    <row r="3470" spans="1:27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</row>
    <row r="3471" spans="1:27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</row>
    <row r="3472" spans="1:27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</row>
    <row r="3473" spans="1:27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</row>
    <row r="3474" spans="1:27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</row>
    <row r="3475" spans="1:27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</row>
    <row r="3476" spans="1:27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</row>
    <row r="3477" spans="1:27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</row>
    <row r="3478" spans="1:27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</row>
    <row r="3479" spans="1:27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</row>
    <row r="3480" spans="1:27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</row>
    <row r="3481" spans="1:27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</row>
    <row r="3482" spans="1:27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</row>
    <row r="3483" spans="1:27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</row>
    <row r="3484" spans="1:27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</row>
    <row r="3485" spans="1:27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</row>
    <row r="3486" spans="1:27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</row>
    <row r="3487" spans="1:27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</row>
    <row r="3488" spans="1:27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</row>
    <row r="3489" spans="1:27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</row>
    <row r="3490" spans="1:27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</row>
    <row r="3491" spans="1:27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</row>
    <row r="3492" spans="1:27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</row>
    <row r="3493" spans="1:27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</row>
    <row r="3494" spans="1:27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</row>
    <row r="3495" spans="1:27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</row>
    <row r="3496" spans="1:27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</row>
    <row r="3497" spans="1:27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</row>
    <row r="3498" spans="1:27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</row>
    <row r="3499" spans="1:27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</row>
    <row r="3500" spans="1:27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</row>
    <row r="3501" spans="1:27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</row>
    <row r="3502" spans="1:27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</row>
    <row r="3503" spans="1:27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</row>
    <row r="3504" spans="1:27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</row>
    <row r="3505" spans="1:27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</row>
    <row r="3506" spans="1:27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</row>
    <row r="3507" spans="1:27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</row>
    <row r="3508" spans="1:27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</row>
    <row r="3509" spans="1:27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</row>
    <row r="3510" spans="1:27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</row>
    <row r="3511" spans="1:27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</row>
    <row r="3512" spans="1:27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</row>
    <row r="3513" spans="1:27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</row>
    <row r="3514" spans="1:27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</row>
    <row r="3515" spans="1:27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</row>
    <row r="3516" spans="1:27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</row>
    <row r="3517" spans="1:27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</row>
    <row r="3518" spans="1:27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</row>
    <row r="3519" spans="1:27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</row>
    <row r="3520" spans="1:27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</row>
    <row r="3521" spans="1:27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</row>
    <row r="3522" spans="1:27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</row>
    <row r="3523" spans="1:27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</row>
    <row r="3524" spans="1:27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</row>
    <row r="3525" spans="1:27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</row>
    <row r="3526" spans="1:27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</row>
    <row r="3527" spans="1:27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</row>
    <row r="3528" spans="1:27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</row>
    <row r="3529" spans="1:27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</row>
    <row r="3530" spans="1:27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</row>
    <row r="3531" spans="1:27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</row>
    <row r="3532" spans="1:27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</row>
    <row r="3533" spans="1:27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</row>
    <row r="3534" spans="1:27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</row>
    <row r="3535" spans="1:27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</row>
    <row r="3536" spans="1:27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</row>
    <row r="3537" spans="1:27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</row>
    <row r="3538" spans="1:27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</row>
    <row r="3539" spans="1:27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</row>
    <row r="3540" spans="1:27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</row>
    <row r="3541" spans="1:27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</row>
    <row r="3542" spans="1:27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</row>
    <row r="3543" spans="1:27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</row>
    <row r="3544" spans="1:27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</row>
    <row r="3545" spans="1:27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</row>
    <row r="3546" spans="1:27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</row>
    <row r="3547" spans="1:27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</row>
    <row r="3548" spans="1:27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</row>
    <row r="3549" spans="1:27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</row>
    <row r="3550" spans="1:27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</row>
    <row r="3551" spans="1:27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</row>
    <row r="3552" spans="1:27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</row>
    <row r="3553" spans="1:27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</row>
    <row r="3554" spans="1:27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</row>
    <row r="3555" spans="1:27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</row>
    <row r="3556" spans="1:27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</row>
    <row r="3557" spans="1:27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</row>
    <row r="3558" spans="1:27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</row>
    <row r="3559" spans="1:27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</row>
    <row r="3560" spans="1:27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</row>
    <row r="3561" spans="1:27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</row>
    <row r="3562" spans="1:27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</row>
    <row r="3563" spans="1:27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</row>
    <row r="3564" spans="1:27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</row>
    <row r="3565" spans="1:27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</row>
    <row r="3566" spans="1:27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</row>
    <row r="3567" spans="1:27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</row>
    <row r="3568" spans="1:27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</row>
    <row r="3569" spans="1:27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</row>
    <row r="3570" spans="1:27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</row>
    <row r="3571" spans="1:27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</row>
    <row r="3572" spans="1:27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</row>
    <row r="3573" spans="1:27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</row>
    <row r="3574" spans="1:27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</row>
    <row r="3575" spans="1:27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</row>
    <row r="3576" spans="1:27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</row>
    <row r="3577" spans="1:27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</row>
    <row r="3578" spans="1:27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</row>
    <row r="3579" spans="1:27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</row>
    <row r="3580" spans="1:27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</row>
    <row r="3581" spans="1:27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</row>
    <row r="3582" spans="1:27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</row>
    <row r="3583" spans="1:27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</row>
    <row r="3584" spans="1:27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</row>
    <row r="3585" spans="1:27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</row>
    <row r="3586" spans="1:27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</row>
    <row r="3587" spans="1:27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</row>
    <row r="3588" spans="1:27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</row>
    <row r="3589" spans="1:27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</row>
    <row r="3590" spans="1:27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</row>
    <row r="3591" spans="1:27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</row>
    <row r="3592" spans="1:27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</row>
    <row r="3593" spans="1:27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</row>
    <row r="3594" spans="1:27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</row>
    <row r="3595" spans="1:27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</row>
    <row r="3596" spans="1:27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</row>
    <row r="3597" spans="1:27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</row>
    <row r="3598" spans="1:27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</row>
    <row r="3599" spans="1:27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</row>
    <row r="3600" spans="1:27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</row>
    <row r="3601" spans="1:27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</row>
    <row r="3602" spans="1:27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</row>
    <row r="3603" spans="1:27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</row>
    <row r="3604" spans="1:27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</row>
    <row r="3605" spans="1:27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</row>
    <row r="3606" spans="1:27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</row>
    <row r="3607" spans="1:27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</row>
    <row r="3608" spans="1:27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</row>
    <row r="3609" spans="1:27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</row>
    <row r="3610" spans="1:27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</row>
    <row r="3611" spans="1:27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</row>
    <row r="3612" spans="1:27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</row>
    <row r="3613" spans="1:27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</row>
    <row r="3614" spans="1:27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</row>
    <row r="3615" spans="1:27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</row>
    <row r="3616" spans="1:27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</row>
    <row r="3617" spans="1:27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</row>
    <row r="3618" spans="1:27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</row>
    <row r="3619" spans="1:27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</row>
    <row r="3620" spans="1:27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</row>
    <row r="3621" spans="1:27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</row>
    <row r="3622" spans="1:27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</row>
    <row r="3623" spans="1:27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</row>
    <row r="3624" spans="1:27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</row>
    <row r="3625" spans="1:27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</row>
    <row r="3626" spans="1:27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</row>
    <row r="3627" spans="1:27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</row>
    <row r="3628" spans="1:27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</row>
    <row r="3629" spans="1:27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</row>
    <row r="3630" spans="1:27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</row>
    <row r="3631" spans="1:27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</row>
    <row r="3632" spans="1:27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</row>
    <row r="3633" spans="1:27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</row>
    <row r="3634" spans="1:27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</row>
    <row r="3635" spans="1:27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</row>
    <row r="3636" spans="1:27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</row>
    <row r="3637" spans="1:27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</row>
    <row r="3638" spans="1:27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</row>
    <row r="3639" spans="1:27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</row>
    <row r="3640" spans="1:27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</row>
    <row r="3641" spans="1:27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</row>
    <row r="3642" spans="1:27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</row>
    <row r="3643" spans="1:27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</row>
    <row r="3644" spans="1:27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</row>
    <row r="3645" spans="1:27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</row>
    <row r="3646" spans="1:27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</row>
    <row r="3647" spans="1:27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</row>
    <row r="3648" spans="1:27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</row>
    <row r="3649" spans="1:27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</row>
    <row r="3650" spans="1:27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</row>
    <row r="3651" spans="1:27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</row>
    <row r="3652" spans="1:27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</row>
    <row r="3653" spans="1:27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</row>
    <row r="3654" spans="1:27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</row>
    <row r="3655" spans="1:27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</row>
    <row r="3656" spans="1:27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</row>
    <row r="3657" spans="1:27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</row>
    <row r="3658" spans="1:27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</row>
    <row r="3659" spans="1:27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</row>
    <row r="3660" spans="1:27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</row>
    <row r="3661" spans="1:27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</row>
    <row r="3662" spans="1:27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</row>
    <row r="3663" spans="1:27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</row>
    <row r="3664" spans="1:27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</row>
    <row r="3665" spans="1:27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</row>
    <row r="3666" spans="1:27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</row>
    <row r="3667" spans="1:27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</row>
    <row r="3668" spans="1:27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</row>
    <row r="3669" spans="1:27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</row>
    <row r="3670" spans="1:27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</row>
    <row r="3671" spans="1:27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</row>
    <row r="3672" spans="1:27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</row>
    <row r="3673" spans="1:27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</row>
    <row r="3674" spans="1:27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</row>
    <row r="3675" spans="1:27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</row>
    <row r="3676" spans="1:27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</row>
    <row r="3677" spans="1:27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</row>
    <row r="3678" spans="1:27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</row>
    <row r="3679" spans="1:27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</row>
    <row r="3680" spans="1:27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</row>
    <row r="3681" spans="1:27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</row>
    <row r="3682" spans="1:27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</row>
    <row r="3683" spans="1:27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</row>
    <row r="3684" spans="1:27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</row>
    <row r="3685" spans="1:27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</row>
    <row r="3686" spans="1:27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</row>
    <row r="3687" spans="1:27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</row>
    <row r="3688" spans="1:27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</row>
    <row r="3689" spans="1:27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</row>
    <row r="3690" spans="1:27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</row>
    <row r="3691" spans="1:27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</row>
    <row r="3692" spans="1:27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</row>
    <row r="3693" spans="1:27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</row>
    <row r="3694" spans="1:27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</row>
    <row r="3695" spans="1:27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</row>
    <row r="3696" spans="1:27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</row>
    <row r="3697" spans="1:27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</row>
    <row r="3698" spans="1:27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</row>
    <row r="3699" spans="1:27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</row>
    <row r="3700" spans="1:27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</row>
    <row r="3701" spans="1:27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</row>
    <row r="3702" spans="1:27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</row>
    <row r="3703" spans="1:27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</row>
    <row r="3704" spans="1:27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</row>
    <row r="3705" spans="1:27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</row>
    <row r="3706" spans="1:27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</row>
    <row r="3707" spans="1:27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</row>
    <row r="3708" spans="1:27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</row>
    <row r="3709" spans="1:27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</row>
    <row r="3710" spans="1:27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</row>
    <row r="3711" spans="1:27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</row>
    <row r="3712" spans="1:27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</row>
    <row r="3713" spans="1:27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</row>
    <row r="3714" spans="1:27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</row>
    <row r="3715" spans="1:27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</row>
    <row r="3716" spans="1:27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</row>
    <row r="3717" spans="1:27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</row>
    <row r="3718" spans="1:27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</row>
    <row r="3719" spans="1:27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</row>
    <row r="3720" spans="1:27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</row>
    <row r="3721" spans="1:27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</row>
    <row r="3722" spans="1:27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</row>
    <row r="3723" spans="1:27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</row>
    <row r="3724" spans="1:27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</row>
    <row r="3725" spans="1:27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</row>
    <row r="3726" spans="1:27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</row>
    <row r="3727" spans="1:27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</row>
    <row r="3728" spans="1:27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</row>
    <row r="3729" spans="1:27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</row>
    <row r="3730" spans="1:27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</row>
    <row r="3731" spans="1:27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</row>
    <row r="3732" spans="1:27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</row>
    <row r="3733" spans="1:27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</row>
    <row r="3734" spans="1:27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</row>
    <row r="3735" spans="1:27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</row>
    <row r="3736" spans="1:27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</row>
    <row r="3737" spans="1:27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</row>
    <row r="3738" spans="1:27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</row>
    <row r="3739" spans="1:27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</row>
    <row r="3740" spans="1:27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</row>
    <row r="3741" spans="1:27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</row>
    <row r="3742" spans="1:27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</row>
    <row r="3743" spans="1:27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</row>
    <row r="3744" spans="1:27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</row>
    <row r="3745" spans="1:27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</row>
    <row r="3746" spans="1:27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</row>
    <row r="3747" spans="1:27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</row>
    <row r="3748" spans="1:27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</row>
    <row r="3749" spans="1:27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</row>
    <row r="3750" spans="1:27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</row>
    <row r="3751" spans="1:27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</row>
    <row r="3752" spans="1:27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</row>
    <row r="3753" spans="1:27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</row>
    <row r="3754" spans="1:27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</row>
    <row r="3755" spans="1:27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</row>
    <row r="3756" spans="1:27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</row>
    <row r="3757" spans="1:27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</row>
    <row r="3758" spans="1:27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</row>
    <row r="3759" spans="1:27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</row>
    <row r="3760" spans="1:27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</row>
    <row r="3761" spans="1:27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</row>
    <row r="3762" spans="1:27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</row>
    <row r="3763" spans="1:27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</row>
    <row r="3764" spans="1:27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</row>
    <row r="3765" spans="1:27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</row>
    <row r="3766" spans="1:27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</row>
    <row r="3767" spans="1:27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</row>
    <row r="3768" spans="1:27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</row>
    <row r="3769" spans="1:27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</row>
    <row r="3770" spans="1:27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</row>
    <row r="3771" spans="1:27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</row>
    <row r="3772" spans="1:27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</row>
    <row r="3773" spans="1:27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</row>
    <row r="3774" spans="1:27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</row>
    <row r="3775" spans="1:27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</row>
    <row r="3776" spans="1:27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</row>
    <row r="3777" spans="1:27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</row>
    <row r="3778" spans="1:27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</row>
    <row r="3779" spans="1:27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</row>
    <row r="3780" spans="1:27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</row>
    <row r="3781" spans="1:27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</row>
    <row r="3782" spans="1:27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</row>
    <row r="3783" spans="1:27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</row>
    <row r="3784" spans="1:27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</row>
    <row r="3785" spans="1:27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</row>
    <row r="3786" spans="1:27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</row>
    <row r="3787" spans="1:27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</row>
    <row r="3788" spans="1:27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</row>
    <row r="3789" spans="1:27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</row>
    <row r="3790" spans="1:27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</row>
    <row r="3791" spans="1:27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</row>
    <row r="3792" spans="1:27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</row>
    <row r="3793" spans="1:27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</row>
    <row r="3794" spans="1:27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</row>
    <row r="3795" spans="1:27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</row>
    <row r="3796" spans="1:27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</row>
    <row r="3797" spans="1:27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</row>
    <row r="3798" spans="1:27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</row>
    <row r="3799" spans="1:27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</row>
    <row r="3800" spans="1:27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</row>
    <row r="3801" spans="1:27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</row>
    <row r="3802" spans="1:27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</row>
    <row r="3803" spans="1:27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</row>
    <row r="3804" spans="1:27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</row>
    <row r="3805" spans="1:27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</row>
    <row r="3806" spans="1:27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</row>
    <row r="3807" spans="1:27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</row>
    <row r="3808" spans="1:27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</row>
    <row r="3809" spans="1:27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</row>
    <row r="3810" spans="1:27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</row>
    <row r="3811" spans="1:27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</row>
    <row r="3812" spans="1:27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</row>
    <row r="3813" spans="1:27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</row>
    <row r="3814" spans="1:27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</row>
    <row r="3815" spans="1:27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</row>
    <row r="3816" spans="1:27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</row>
    <row r="3817" spans="1:27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</row>
    <row r="3818" spans="1:27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</row>
    <row r="3819" spans="1:27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</row>
    <row r="3820" spans="1:27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</row>
    <row r="3821" spans="1:27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</row>
    <row r="3822" spans="1:27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</row>
    <row r="3823" spans="1:27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</row>
    <row r="3824" spans="1:27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</row>
    <row r="3825" spans="1:27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</row>
    <row r="3826" spans="1:27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</row>
    <row r="3827" spans="1:27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</row>
    <row r="3828" spans="1:27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</row>
    <row r="3829" spans="1:27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</row>
    <row r="3830" spans="1:27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</row>
    <row r="3831" spans="1:27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</row>
    <row r="3832" spans="1:27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</row>
    <row r="3833" spans="1:27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</row>
    <row r="3834" spans="1:27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</row>
    <row r="3835" spans="1:27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</row>
    <row r="3836" spans="1:27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</row>
    <row r="3837" spans="1:27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</row>
    <row r="3838" spans="1:27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</row>
    <row r="3839" spans="1:27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</row>
    <row r="3840" spans="1:27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</row>
    <row r="3841" spans="1:27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</row>
    <row r="3842" spans="1:27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</row>
    <row r="3843" spans="1:27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</row>
    <row r="3844" spans="1:27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</row>
    <row r="3845" spans="1:27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</row>
    <row r="3846" spans="1:27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</row>
    <row r="3847" spans="1:27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</row>
    <row r="3848" spans="1:27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</row>
    <row r="3849" spans="1:27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</row>
    <row r="3850" spans="1:27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</row>
    <row r="3851" spans="1:27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</row>
    <row r="3852" spans="1:27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</row>
    <row r="3853" spans="1:27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</row>
    <row r="3854" spans="1:27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</row>
    <row r="3855" spans="1:27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</row>
    <row r="3856" spans="1:27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</row>
    <row r="3857" spans="1:27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</row>
    <row r="3858" spans="1:27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</row>
    <row r="3859" spans="1:27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</row>
    <row r="3860" spans="1:27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</row>
    <row r="3861" spans="1:27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</row>
    <row r="3862" spans="1:27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</row>
    <row r="3863" spans="1:27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</row>
    <row r="3864" spans="1:27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</row>
    <row r="3865" spans="1:27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</row>
    <row r="3866" spans="1:27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</row>
    <row r="3867" spans="1:27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</row>
    <row r="3868" spans="1:27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</row>
    <row r="3869" spans="1:27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</row>
    <row r="3870" spans="1:27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</row>
    <row r="3871" spans="1:27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</row>
    <row r="3872" spans="1:27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</row>
    <row r="3873" spans="1:27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</row>
    <row r="3874" spans="1:27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</row>
    <row r="3875" spans="1:27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</row>
    <row r="3876" spans="1:27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</row>
    <row r="3877" spans="1:27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</row>
    <row r="3878" spans="1:27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</row>
    <row r="3879" spans="1:27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</row>
    <row r="3880" spans="1:27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</row>
    <row r="3881" spans="1:27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</row>
    <row r="3882" spans="1:27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</row>
    <row r="3883" spans="1:27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</row>
    <row r="3884" spans="1:27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</row>
    <row r="3885" spans="1:27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</row>
    <row r="3886" spans="1:27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</row>
    <row r="3887" spans="1:27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</row>
    <row r="3888" spans="1:27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</row>
    <row r="3889" spans="1:27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</row>
    <row r="3890" spans="1:27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</row>
    <row r="3891" spans="1:27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</row>
    <row r="3892" spans="1:27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</row>
    <row r="3893" spans="1:27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</row>
    <row r="3894" spans="1:27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</row>
    <row r="3895" spans="1:27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</row>
    <row r="3896" spans="1:27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</row>
    <row r="3897" spans="1:27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</row>
    <row r="3898" spans="1:27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</row>
    <row r="3899" spans="1:27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</row>
    <row r="3900" spans="1:27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</row>
    <row r="3901" spans="1:27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</row>
    <row r="3902" spans="1:27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</row>
    <row r="3903" spans="1:27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</row>
    <row r="3904" spans="1:27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</row>
    <row r="3905" spans="1:27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</row>
    <row r="3906" spans="1:27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</row>
    <row r="3907" spans="1:27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</row>
    <row r="3908" spans="1:27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</row>
    <row r="3909" spans="1:27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</row>
    <row r="3910" spans="1:27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</row>
    <row r="3911" spans="1:27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</row>
    <row r="3912" spans="1:27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</row>
    <row r="3913" spans="1:27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</row>
    <row r="3914" spans="1:27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</row>
    <row r="3915" spans="1:27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</row>
    <row r="3916" spans="1:27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</row>
    <row r="3917" spans="1:27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</row>
    <row r="3918" spans="1:27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</row>
    <row r="3919" spans="1:27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</row>
    <row r="3920" spans="1:27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</row>
    <row r="3921" spans="1:27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</row>
    <row r="3922" spans="1:27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</row>
    <row r="3923" spans="1:27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</row>
    <row r="3924" spans="1:27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</row>
    <row r="3925" spans="1:27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</row>
    <row r="3926" spans="1:27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</row>
    <row r="3927" spans="1:27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</row>
    <row r="3928" spans="1:27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</row>
    <row r="3929" spans="1:27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</row>
    <row r="3930" spans="1:27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</row>
    <row r="3931" spans="1:27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</row>
    <row r="3932" spans="1:27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</row>
    <row r="3933" spans="1:27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</row>
    <row r="3934" spans="1:27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</row>
    <row r="3935" spans="1:27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</row>
    <row r="3936" spans="1:27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</row>
    <row r="3937" spans="1:27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</row>
    <row r="3938" spans="1:27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</row>
    <row r="3939" spans="1:27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</row>
    <row r="3940" spans="1:27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</row>
    <row r="3941" spans="1:27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</row>
    <row r="3942" spans="1:27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</row>
    <row r="3943" spans="1:27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</row>
    <row r="3944" spans="1:27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</row>
    <row r="3945" spans="1:27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</row>
    <row r="3946" spans="1:27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</row>
    <row r="3947" spans="1:27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</row>
    <row r="3948" spans="1:27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</row>
    <row r="3949" spans="1:27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</row>
    <row r="3950" spans="1:27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</row>
    <row r="3951" spans="1:27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</row>
    <row r="3952" spans="1:27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</row>
    <row r="3953" spans="1:27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</row>
    <row r="3954" spans="1:27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</row>
    <row r="3955" spans="1:27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</row>
    <row r="3956" spans="1:27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</row>
    <row r="3957" spans="1:27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</row>
    <row r="3958" spans="1:27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</row>
    <row r="3959" spans="1:27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</row>
    <row r="3960" spans="1:27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</row>
    <row r="3961" spans="1:27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</row>
    <row r="3962" spans="1:27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</row>
    <row r="3963" spans="1:27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</row>
    <row r="3964" spans="1:27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</row>
    <row r="3965" spans="1:27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</row>
    <row r="3966" spans="1:27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</row>
    <row r="3967" spans="1:27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</row>
    <row r="3968" spans="1:27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</row>
    <row r="3969" spans="1:27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</row>
    <row r="3970" spans="1:27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</row>
    <row r="3971" spans="1:27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</row>
    <row r="3972" spans="1:27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</row>
    <row r="3973" spans="1:27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</row>
    <row r="3974" spans="1:27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</row>
    <row r="3975" spans="1:27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</row>
    <row r="3976" spans="1:27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</row>
    <row r="3977" spans="1:27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</row>
    <row r="3978" spans="1:27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</row>
    <row r="3979" spans="1:27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</row>
    <row r="3980" spans="1:27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</row>
    <row r="3981" spans="1:27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</row>
    <row r="3982" spans="1:27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</row>
    <row r="3983" spans="1:27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</row>
    <row r="3984" spans="1:27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</row>
    <row r="3985" spans="1:27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</row>
    <row r="3986" spans="1:27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</row>
    <row r="3987" spans="1:27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</row>
    <row r="3988" spans="1:27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</row>
    <row r="3989" spans="1:27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</row>
    <row r="3990" spans="1:27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</row>
    <row r="3991" spans="1:27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</row>
    <row r="3992" spans="1:27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</row>
    <row r="3993" spans="1:27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</row>
    <row r="3994" spans="1:27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</row>
    <row r="3995" spans="1:27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</row>
    <row r="3996" spans="1:27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</row>
    <row r="3997" spans="1:27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</row>
    <row r="3998" spans="1:27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</row>
    <row r="3999" spans="1:27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</row>
    <row r="4000" spans="1:27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</row>
    <row r="4001" spans="1:27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</row>
    <row r="4002" spans="1:27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</row>
    <row r="4003" spans="1:27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</row>
    <row r="4004" spans="1:27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</row>
    <row r="4005" spans="1:27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</row>
    <row r="4006" spans="1:27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</row>
    <row r="4007" spans="1:27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</row>
    <row r="4008" spans="1:27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</row>
    <row r="4009" spans="1:27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</row>
    <row r="4010" spans="1:27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</row>
    <row r="4011" spans="1:27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</row>
    <row r="4012" spans="1:27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</row>
    <row r="4013" spans="1:27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</row>
    <row r="4014" spans="1:27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</row>
    <row r="4015" spans="1:27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</row>
    <row r="4016" spans="1:27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</row>
    <row r="4017" spans="1:27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</row>
    <row r="4018" spans="1:27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</row>
    <row r="4019" spans="1:27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</row>
    <row r="4020" spans="1:27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</row>
    <row r="4021" spans="1:27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</row>
    <row r="4022" spans="1:27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</row>
    <row r="4023" spans="1:27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</row>
    <row r="4024" spans="1:27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</row>
    <row r="4025" spans="1:27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</row>
    <row r="4026" spans="1:27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</row>
    <row r="4027" spans="1:27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</row>
    <row r="4028" spans="1:27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</row>
    <row r="4029" spans="1:27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</row>
    <row r="4030" spans="1:27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</row>
    <row r="4031" spans="1:27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</row>
    <row r="4032" spans="1:27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</row>
    <row r="4033" spans="1:27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</row>
    <row r="4034" spans="1:27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</row>
    <row r="4035" spans="1:27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</row>
    <row r="4036" spans="1:27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</row>
    <row r="4037" spans="1:27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</row>
    <row r="4038" spans="1:27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</row>
    <row r="4039" spans="1:27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</row>
    <row r="4040" spans="1:27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</row>
    <row r="4041" spans="1:27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</row>
    <row r="4042" spans="1:27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</row>
    <row r="4043" spans="1:27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</row>
    <row r="4044" spans="1:27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</row>
    <row r="4045" spans="1:27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</row>
    <row r="4046" spans="1:27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</row>
    <row r="4047" spans="1:27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</row>
    <row r="4048" spans="1:27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</row>
    <row r="4049" spans="1:27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</row>
    <row r="4050" spans="1:27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</row>
    <row r="4051" spans="1:27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</row>
    <row r="4052" spans="1:27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</row>
    <row r="4053" spans="1:27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</row>
    <row r="4054" spans="1:27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</row>
    <row r="4055" spans="1:27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</row>
    <row r="4056" spans="1:27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</row>
    <row r="4057" spans="1:27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</row>
    <row r="4058" spans="1:27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</row>
    <row r="4059" spans="1:27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</row>
    <row r="4060" spans="1:27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</row>
    <row r="4061" spans="1:27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</row>
    <row r="4062" spans="1:27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</row>
    <row r="4063" spans="1:27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</row>
    <row r="4064" spans="1:27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</row>
    <row r="4065" spans="1:27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</row>
    <row r="4066" spans="1:27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</row>
    <row r="4067" spans="1:27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</row>
    <row r="4068" spans="1:27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</row>
    <row r="4069" spans="1:27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</row>
    <row r="4070" spans="1:27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</row>
    <row r="4071" spans="1:27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</row>
    <row r="4072" spans="1:27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</row>
    <row r="4073" spans="1:27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</row>
    <row r="4074" spans="1:27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</row>
    <row r="4075" spans="1:27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</row>
    <row r="4076" spans="1:27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</row>
    <row r="4077" spans="1:27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</row>
    <row r="4078" spans="1:27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</row>
    <row r="4079" spans="1:27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</row>
    <row r="4080" spans="1:27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</row>
    <row r="4081" spans="1:27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</row>
    <row r="4082" spans="1:27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</row>
    <row r="4083" spans="1:27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</row>
    <row r="4084" spans="1:27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</row>
    <row r="4085" spans="1:27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</row>
    <row r="4086" spans="1:27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</row>
    <row r="4087" spans="1:27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</row>
    <row r="4088" spans="1:27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</row>
    <row r="4089" spans="1:27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</row>
    <row r="4090" spans="1:27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</row>
    <row r="4091" spans="1:27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</row>
    <row r="4092" spans="1:27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</row>
    <row r="4093" spans="1:27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</row>
    <row r="4094" spans="1:27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</row>
    <row r="4095" spans="1:27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</row>
    <row r="4096" spans="1:27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</row>
    <row r="4097" spans="1:27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</row>
    <row r="4098" spans="1:27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</row>
    <row r="4099" spans="1:27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</row>
    <row r="4100" spans="1:27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</row>
    <row r="4101" spans="1:27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</row>
    <row r="4102" spans="1:27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</row>
    <row r="4103" spans="1:27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</row>
    <row r="4104" spans="1:27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</row>
    <row r="4105" spans="1:27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</row>
    <row r="4106" spans="1:27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</row>
    <row r="4107" spans="1:27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</row>
    <row r="4108" spans="1:27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</row>
    <row r="4109" spans="1:27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</row>
    <row r="4110" spans="1:27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</row>
    <row r="4111" spans="1:27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</row>
    <row r="4112" spans="1:27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</row>
    <row r="4113" spans="1:27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</row>
    <row r="4114" spans="1:27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</row>
    <row r="4115" spans="1:27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</row>
    <row r="4116" spans="1:27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</row>
    <row r="4117" spans="1:27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</row>
    <row r="4118" spans="1:27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</row>
    <row r="4119" spans="1:27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</row>
    <row r="4120" spans="1:27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</row>
    <row r="4121" spans="1:27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</row>
    <row r="4122" spans="1:27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</row>
    <row r="4123" spans="1:27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</row>
    <row r="4124" spans="1:27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</row>
    <row r="4125" spans="1:27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</row>
    <row r="4126" spans="1:27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</row>
    <row r="4127" spans="1:27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</row>
    <row r="4128" spans="1:27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</row>
    <row r="4129" spans="1:27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</row>
    <row r="4130" spans="1:27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</row>
    <row r="4131" spans="1:27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</row>
    <row r="4132" spans="1:27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</row>
    <row r="4133" spans="1:27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</row>
    <row r="4134" spans="1:27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</row>
    <row r="4135" spans="1:27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</row>
    <row r="4136" spans="1:27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</row>
    <row r="4137" spans="1:27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</row>
    <row r="4138" spans="1:27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</row>
    <row r="4139" spans="1:27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</row>
    <row r="4140" spans="1:27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</row>
    <row r="4141" spans="1:27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</row>
    <row r="4142" spans="1:27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</row>
    <row r="4143" spans="1:27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</row>
    <row r="4144" spans="1:27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</row>
    <row r="4145" spans="1:27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</row>
    <row r="4146" spans="1:27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</row>
    <row r="4147" spans="1:27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</row>
    <row r="4148" spans="1:27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</row>
    <row r="4149" spans="1:27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</row>
    <row r="4150" spans="1:27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</row>
    <row r="4151" spans="1:27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</row>
    <row r="4152" spans="1:27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</row>
    <row r="4153" spans="1:27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</row>
    <row r="4154" spans="1:27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</row>
    <row r="4155" spans="1:27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</row>
    <row r="4156" spans="1:27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</row>
    <row r="4157" spans="1:27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</row>
    <row r="4158" spans="1:27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</row>
    <row r="4159" spans="1:27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</row>
    <row r="4160" spans="1:27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</row>
    <row r="4161" spans="1:27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</row>
    <row r="4162" spans="1:27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</row>
    <row r="4163" spans="1:27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</row>
    <row r="4164" spans="1:27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</row>
    <row r="4165" spans="1:27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</row>
    <row r="4166" spans="1:27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</row>
    <row r="4167" spans="1:27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</row>
    <row r="4168" spans="1:27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</row>
    <row r="4169" spans="1:27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</row>
    <row r="4170" spans="1:27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</row>
    <row r="4171" spans="1:27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</row>
    <row r="4172" spans="1:27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</row>
    <row r="4173" spans="1:27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</row>
    <row r="4174" spans="1:27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</row>
    <row r="4175" spans="1:27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</row>
    <row r="4176" spans="1:27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</row>
    <row r="4177" spans="1:27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</row>
    <row r="4178" spans="1:27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</row>
    <row r="4179" spans="1:27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</row>
    <row r="4180" spans="1:27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</row>
    <row r="4181" spans="1:27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</row>
    <row r="4182" spans="1:27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</row>
    <row r="4183" spans="1:27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</row>
    <row r="4184" spans="1:27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</row>
    <row r="4185" spans="1:27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</row>
    <row r="4186" spans="1:27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</row>
    <row r="4187" spans="1:27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</row>
    <row r="4188" spans="1:27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</row>
    <row r="4189" spans="1:27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</row>
    <row r="4190" spans="1:27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</row>
    <row r="4191" spans="1:27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</row>
    <row r="4192" spans="1:27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</row>
    <row r="4193" spans="1:27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</row>
    <row r="4194" spans="1:27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</row>
    <row r="4195" spans="1:27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</row>
    <row r="4196" spans="1:27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</row>
    <row r="4197" spans="1:27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</row>
    <row r="4198" spans="1:27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</row>
    <row r="4199" spans="1:27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</row>
    <row r="4200" spans="1:27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</row>
    <row r="4201" spans="1:27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</row>
    <row r="4202" spans="1:27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</row>
    <row r="4203" spans="1:27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</row>
    <row r="4204" spans="1:27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</row>
    <row r="4205" spans="1:27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</row>
    <row r="4206" spans="1:27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</row>
    <row r="4207" spans="1:27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</row>
    <row r="4208" spans="1:27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</row>
    <row r="4209" spans="1:27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</row>
    <row r="4210" spans="1:27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</row>
    <row r="4211" spans="1:27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</row>
    <row r="4212" spans="1:27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</row>
    <row r="4213" spans="1:27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</row>
    <row r="4214" spans="1:27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</row>
    <row r="4215" spans="1:27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</row>
    <row r="4216" spans="1:27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</row>
    <row r="4217" spans="1:27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</row>
    <row r="4218" spans="1:27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</row>
    <row r="4219" spans="1:27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</row>
    <row r="4220" spans="1:27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</row>
    <row r="4221" spans="1:27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</row>
    <row r="4222" spans="1:27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</row>
    <row r="4223" spans="1:27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</row>
    <row r="4224" spans="1:27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</row>
    <row r="4225" spans="1:27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</row>
    <row r="4226" spans="1:27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</row>
    <row r="4227" spans="1:27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</row>
    <row r="4228" spans="1:27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</row>
    <row r="4229" spans="1:27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</row>
    <row r="4230" spans="1:27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</row>
    <row r="4231" spans="1:27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</row>
    <row r="4232" spans="1:27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</row>
    <row r="4233" spans="1:27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</row>
    <row r="4234" spans="1:27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</row>
    <row r="4235" spans="1:27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</row>
    <row r="4236" spans="1:27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</row>
    <row r="4237" spans="1:27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</row>
    <row r="4238" spans="1:27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</row>
    <row r="4239" spans="1:27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</row>
    <row r="4240" spans="1:27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</row>
    <row r="4241" spans="1:27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</row>
    <row r="4242" spans="1:27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</row>
    <row r="4243" spans="1:27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</row>
    <row r="4244" spans="1:27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</row>
    <row r="4245" spans="1:27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</row>
    <row r="4246" spans="1:27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</row>
    <row r="4247" spans="1:27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</row>
    <row r="4248" spans="1:27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</row>
    <row r="4249" spans="1:27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</row>
    <row r="4250" spans="1:27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</row>
    <row r="4251" spans="1:27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</row>
    <row r="4252" spans="1:27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</row>
    <row r="4253" spans="1:27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</row>
    <row r="4254" spans="1:27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</row>
    <row r="4255" spans="1:27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</row>
    <row r="4256" spans="1:27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</row>
    <row r="4257" spans="1:27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</row>
    <row r="4258" spans="1:27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</row>
    <row r="4259" spans="1:27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</row>
    <row r="4260" spans="1:27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</row>
    <row r="4261" spans="1:27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</row>
    <row r="4262" spans="1:27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</row>
    <row r="4263" spans="1:27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</row>
    <row r="4264" spans="1:27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</row>
    <row r="4265" spans="1:27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</row>
    <row r="4266" spans="1:27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</row>
    <row r="4267" spans="1:27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</row>
    <row r="4268" spans="1:27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</row>
    <row r="4269" spans="1:27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</row>
    <row r="4270" spans="1:27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</row>
    <row r="4271" spans="1:27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</row>
    <row r="4272" spans="1:27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</row>
    <row r="4273" spans="1:27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</row>
    <row r="4274" spans="1:27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</row>
    <row r="4275" spans="1:27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</row>
    <row r="4276" spans="1:27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</row>
    <row r="4277" spans="1:27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</row>
    <row r="4278" spans="1:27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</row>
    <row r="4279" spans="1:27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</row>
    <row r="4280" spans="1:27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</row>
    <row r="4281" spans="1:27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</row>
    <row r="4282" spans="1:27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</row>
    <row r="4283" spans="1:27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</row>
    <row r="4284" spans="1:27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</row>
    <row r="4285" spans="1:27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</row>
    <row r="4286" spans="1:27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</row>
    <row r="4287" spans="1:27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</row>
    <row r="4288" spans="1:27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</row>
    <row r="4289" spans="1:27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</row>
    <row r="4290" spans="1:27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</row>
    <row r="4291" spans="1:27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</row>
    <row r="4292" spans="1:27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</row>
    <row r="4293" spans="1:27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</row>
    <row r="4294" spans="1:27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</row>
    <row r="4295" spans="1:27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</row>
    <row r="4296" spans="1:27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</row>
    <row r="4297" spans="1:27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</row>
    <row r="4298" spans="1:27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</row>
    <row r="4299" spans="1:27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</row>
    <row r="4300" spans="1:27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</row>
    <row r="4301" spans="1:27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</row>
    <row r="4302" spans="1:27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</row>
    <row r="4303" spans="1:27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</row>
    <row r="4304" spans="1:27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</row>
    <row r="4305" spans="1:27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</row>
    <row r="4306" spans="1:27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</row>
    <row r="4307" spans="1:27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</row>
    <row r="4308" spans="1:27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</row>
    <row r="4309" spans="1:27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</row>
    <row r="4310" spans="1:27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</row>
    <row r="4311" spans="1:27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</row>
    <row r="4312" spans="1:27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</row>
    <row r="4313" spans="1:27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</row>
    <row r="4314" spans="1:27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</row>
    <row r="4315" spans="1:27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</row>
    <row r="4316" spans="1:27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</row>
    <row r="4317" spans="1:27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</row>
    <row r="4318" spans="1:27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</row>
    <row r="4319" spans="1:27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</row>
    <row r="4320" spans="1:27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</row>
    <row r="4321" spans="1:27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</row>
    <row r="4322" spans="1:27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</row>
    <row r="4323" spans="1:27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</row>
    <row r="4324" spans="1:27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</row>
    <row r="4325" spans="1:27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</row>
    <row r="4326" spans="1:27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</row>
    <row r="4327" spans="1:27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</row>
    <row r="4328" spans="1:27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</row>
    <row r="4329" spans="1:27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</row>
    <row r="4330" spans="1:27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</row>
    <row r="4331" spans="1:27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</row>
    <row r="4332" spans="1:27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</row>
    <row r="4333" spans="1:27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</row>
    <row r="4334" spans="1:27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</row>
    <row r="4335" spans="1:27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</row>
    <row r="4336" spans="1:27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</row>
    <row r="4337" spans="1:27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</row>
    <row r="4338" spans="1:27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</row>
    <row r="4339" spans="1:27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</row>
    <row r="4340" spans="1:27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</row>
    <row r="4341" spans="1:27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</row>
    <row r="4342" spans="1:27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</row>
    <row r="4343" spans="1:27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</row>
    <row r="4344" spans="1:27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</row>
    <row r="4345" spans="1:27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</row>
    <row r="4346" spans="1:27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</row>
    <row r="4347" spans="1:27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</row>
    <row r="4348" spans="1:27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</row>
    <row r="4349" spans="1:27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</row>
    <row r="4350" spans="1:27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</row>
    <row r="4351" spans="1:27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</row>
    <row r="4352" spans="1:27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</row>
    <row r="4353" spans="1:27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</row>
    <row r="4354" spans="1:27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</row>
    <row r="4355" spans="1:27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</row>
    <row r="4356" spans="1:27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</row>
    <row r="4357" spans="1:27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</row>
    <row r="4358" spans="1:27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</row>
    <row r="4359" spans="1:27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</row>
    <row r="4360" spans="1:27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</row>
    <row r="4361" spans="1:27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</row>
    <row r="4362" spans="1:27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</row>
    <row r="4363" spans="1:27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</row>
    <row r="4364" spans="1:27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</row>
    <row r="4365" spans="1:27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</row>
    <row r="4366" spans="1:27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</row>
    <row r="4367" spans="1:27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</row>
    <row r="4368" spans="1:27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</row>
    <row r="4369" spans="1:27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</row>
    <row r="4370" spans="1:27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</row>
    <row r="4371" spans="1:27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</row>
    <row r="4372" spans="1:27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</row>
    <row r="4373" spans="1:27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</row>
    <row r="4374" spans="1:27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</row>
    <row r="4375" spans="1:27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</row>
    <row r="4376" spans="1:27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</row>
    <row r="4377" spans="1:27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</row>
    <row r="4378" spans="1:27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</row>
    <row r="4379" spans="1:27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</row>
    <row r="4380" spans="1:27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</row>
    <row r="4381" spans="1:27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</row>
    <row r="4382" spans="1:27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</row>
    <row r="4383" spans="1:27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</row>
    <row r="4384" spans="1:27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</row>
    <row r="4385" spans="1:27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</row>
    <row r="4386" spans="1:27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</row>
    <row r="4387" spans="1:27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</row>
    <row r="4388" spans="1:27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</row>
    <row r="4389" spans="1:27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</row>
    <row r="4390" spans="1:27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</row>
    <row r="4391" spans="1:27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</row>
    <row r="4392" spans="1:27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</row>
    <row r="4393" spans="1:27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</row>
    <row r="4394" spans="1:27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</row>
    <row r="4395" spans="1:27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</row>
    <row r="4396" spans="1:27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</row>
    <row r="4397" spans="1:27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</row>
    <row r="4398" spans="1:27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</row>
    <row r="4399" spans="1:27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</row>
    <row r="4400" spans="1:27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</row>
    <row r="4401" spans="1:27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</row>
    <row r="4402" spans="1:27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</row>
    <row r="4403" spans="1:27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</row>
    <row r="4404" spans="1:27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</row>
    <row r="4405" spans="1:27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</row>
    <row r="4406" spans="1:27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</row>
    <row r="4407" spans="1:27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</row>
    <row r="4408" spans="1:27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</row>
    <row r="4409" spans="1:27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</row>
    <row r="4410" spans="1:27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</row>
    <row r="4411" spans="1:27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</row>
    <row r="4412" spans="1:27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</row>
    <row r="4413" spans="1:27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</row>
    <row r="4414" spans="1:27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</row>
    <row r="4415" spans="1:27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</row>
    <row r="4416" spans="1:27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</row>
    <row r="4417" spans="1:27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</row>
    <row r="4418" spans="1:27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</row>
    <row r="4419" spans="1:27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</row>
    <row r="4420" spans="1:27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</row>
    <row r="4421" spans="1:27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</row>
    <row r="4422" spans="1:27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</row>
    <row r="4423" spans="1:27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</row>
    <row r="4424" spans="1:27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</row>
    <row r="4425" spans="1:27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</row>
    <row r="4426" spans="1:27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</row>
    <row r="4427" spans="1:27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</row>
    <row r="4428" spans="1:27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</row>
    <row r="4429" spans="1:27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</row>
    <row r="4430" spans="1:27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</row>
    <row r="4431" spans="1:27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</row>
    <row r="4432" spans="1:27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</row>
    <row r="4433" spans="1:27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</row>
    <row r="4434" spans="1:27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</row>
    <row r="4435" spans="1:27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</row>
    <row r="4436" spans="1:27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</row>
    <row r="4437" spans="1:27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</row>
    <row r="4438" spans="1:27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</row>
    <row r="4439" spans="1:27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</row>
    <row r="4440" spans="1:27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</row>
    <row r="4441" spans="1:27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</row>
    <row r="4442" spans="1:27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</row>
    <row r="4443" spans="1:27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</row>
    <row r="4444" spans="1:27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</row>
    <row r="4445" spans="1:27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</row>
    <row r="4446" spans="1:27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</row>
    <row r="4447" spans="1:27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</row>
    <row r="4448" spans="1:27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</row>
    <row r="4449" spans="1:27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</row>
    <row r="4450" spans="1:27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</row>
    <row r="4451" spans="1:27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</row>
    <row r="4452" spans="1:27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</row>
    <row r="4453" spans="1:27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</row>
    <row r="4454" spans="1:27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</row>
    <row r="4455" spans="1:27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</row>
    <row r="4456" spans="1:27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</row>
    <row r="4457" spans="1:27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</row>
    <row r="4458" spans="1:27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</row>
    <row r="4459" spans="1:27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</row>
    <row r="4460" spans="1:27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</row>
    <row r="4461" spans="1:27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</row>
    <row r="4462" spans="1:27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</row>
    <row r="4463" spans="1:27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</row>
    <row r="4464" spans="1:27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</row>
    <row r="4465" spans="1:27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</row>
    <row r="4466" spans="1:27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</row>
    <row r="4467" spans="1:27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</row>
    <row r="4468" spans="1:27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</row>
    <row r="4469" spans="1:27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</row>
    <row r="4470" spans="1:27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</row>
    <row r="4471" spans="1:27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</row>
    <row r="4472" spans="1:27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</row>
    <row r="4473" spans="1:27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</row>
    <row r="4474" spans="1:27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</row>
    <row r="4475" spans="1:27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</row>
    <row r="4476" spans="1:27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</row>
    <row r="4477" spans="1:27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</row>
    <row r="4478" spans="1:27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</row>
    <row r="4479" spans="1:27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</row>
    <row r="4480" spans="1:27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</row>
    <row r="4481" spans="1:27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</row>
    <row r="4482" spans="1:27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</row>
    <row r="4483" spans="1:27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</row>
    <row r="4484" spans="1:27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</row>
    <row r="4485" spans="1:27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</row>
    <row r="4486" spans="1:27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</row>
    <row r="4487" spans="1:27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</row>
    <row r="4488" spans="1:27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</row>
    <row r="4489" spans="1:27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</row>
    <row r="4490" spans="1:27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</row>
    <row r="4491" spans="1:27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</row>
    <row r="4492" spans="1:27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</row>
    <row r="4493" spans="1:27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</row>
    <row r="4494" spans="1:27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</row>
    <row r="4495" spans="1:27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</row>
    <row r="4496" spans="1:27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</row>
    <row r="4497" spans="1:27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</row>
    <row r="4498" spans="1:27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</row>
    <row r="4499" spans="1:27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</row>
    <row r="4500" spans="1:27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</row>
    <row r="4501" spans="1:27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</row>
    <row r="4502" spans="1:27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</row>
    <row r="4503" spans="1:27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</row>
    <row r="4504" spans="1:27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</row>
    <row r="4505" spans="1:27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</row>
    <row r="4506" spans="1:27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</row>
    <row r="4507" spans="1:27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</row>
    <row r="4508" spans="1:27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</row>
    <row r="4509" spans="1:27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</row>
    <row r="4510" spans="1:27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</row>
    <row r="4511" spans="1:27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</row>
    <row r="4512" spans="1:27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</row>
    <row r="4513" spans="1:27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</row>
    <row r="4514" spans="1:27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</row>
    <row r="4515" spans="1:27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</row>
    <row r="4516" spans="1:27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</row>
    <row r="4517" spans="1:27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</row>
    <row r="4518" spans="1:27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</row>
    <row r="4519" spans="1:27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</row>
    <row r="4520" spans="1:27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</row>
    <row r="4521" spans="1:27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</row>
    <row r="4522" spans="1:27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</row>
    <row r="4523" spans="1:27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</row>
    <row r="4524" spans="1:27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</row>
    <row r="4525" spans="1:27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</row>
    <row r="4526" spans="1:27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</row>
    <row r="4527" spans="1:27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</row>
    <row r="4528" spans="1:27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</row>
    <row r="4529" spans="1:27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</row>
    <row r="4530" spans="1:27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</row>
    <row r="4531" spans="1:27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</row>
    <row r="4532" spans="1:27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</row>
    <row r="4533" spans="1:27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</row>
    <row r="4534" spans="1:27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</row>
    <row r="4535" spans="1:27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</row>
    <row r="4536" spans="1:27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</row>
    <row r="4537" spans="1:27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</row>
    <row r="4538" spans="1:27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</row>
    <row r="4539" spans="1:27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</row>
    <row r="4540" spans="1:27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</row>
    <row r="4541" spans="1:27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</row>
    <row r="4542" spans="1:27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</row>
    <row r="4543" spans="1:27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</row>
    <row r="4544" spans="1:27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</row>
    <row r="4545" spans="1:27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</row>
    <row r="4546" spans="1:27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</row>
    <row r="4547" spans="1:27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</row>
    <row r="4548" spans="1:27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</row>
    <row r="4549" spans="1:27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</row>
    <row r="4550" spans="1:27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</row>
    <row r="4551" spans="1:27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</row>
    <row r="4552" spans="1:27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</row>
    <row r="4553" spans="1:27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</row>
    <row r="4554" spans="1:27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</row>
    <row r="4555" spans="1:27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</row>
    <row r="4556" spans="1:27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</row>
    <row r="4557" spans="1:27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</row>
    <row r="4558" spans="1:27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</row>
    <row r="4559" spans="1:27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</row>
    <row r="4560" spans="1:27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</row>
    <row r="4561" spans="1:27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</row>
    <row r="4562" spans="1:27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</row>
    <row r="4563" spans="1:27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</row>
    <row r="4564" spans="1:27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</row>
    <row r="4565" spans="1:27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</row>
    <row r="4566" spans="1:27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</row>
    <row r="4567" spans="1:27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</row>
    <row r="4568" spans="1:27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</row>
    <row r="4569" spans="1:27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</row>
    <row r="4570" spans="1:27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</row>
    <row r="4571" spans="1:27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</row>
    <row r="4572" spans="1:27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</row>
    <row r="4573" spans="1:27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</row>
    <row r="4574" spans="1:27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</row>
    <row r="4575" spans="1:27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</row>
    <row r="4576" spans="1:27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</row>
    <row r="4577" spans="1:27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</row>
    <row r="4578" spans="1:27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</row>
    <row r="4579" spans="1:27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</row>
    <row r="4580" spans="1:27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</row>
    <row r="4581" spans="1:27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</row>
    <row r="4582" spans="1:27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</row>
    <row r="4583" spans="1:27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</row>
    <row r="4584" spans="1:27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</row>
    <row r="4585" spans="1:27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</row>
    <row r="4586" spans="1:27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</row>
    <row r="4587" spans="1:27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</row>
    <row r="4588" spans="1:27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</row>
    <row r="4589" spans="1:27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</row>
    <row r="4590" spans="1:27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</row>
    <row r="4591" spans="1:27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</row>
    <row r="4592" spans="1:27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</row>
    <row r="4593" spans="1:27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</row>
    <row r="4594" spans="1:27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</row>
    <row r="4595" spans="1:27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</row>
    <row r="4596" spans="1:27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</row>
    <row r="4597" spans="1:27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</row>
    <row r="4598" spans="1:27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</row>
    <row r="4599" spans="1:27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</row>
    <row r="4600" spans="1:27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</row>
    <row r="4601" spans="1:27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</row>
    <row r="4602" spans="1:27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</row>
    <row r="4603" spans="1:27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</row>
    <row r="4604" spans="1:27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</row>
    <row r="4605" spans="1:27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</row>
    <row r="4606" spans="1:27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</row>
    <row r="4607" spans="1:27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</row>
    <row r="4608" spans="1:27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</row>
    <row r="4609" spans="1:27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</row>
    <row r="4610" spans="1:27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</row>
    <row r="4611" spans="1:27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</row>
    <row r="4612" spans="1:27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</row>
    <row r="4613" spans="1:27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</row>
    <row r="4614" spans="1:27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</row>
    <row r="4615" spans="1:27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</row>
    <row r="4616" spans="1:27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</row>
    <row r="4617" spans="1:27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</row>
    <row r="4618" spans="1:27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</row>
    <row r="4619" spans="1:27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</row>
    <row r="4620" spans="1:27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</row>
    <row r="4621" spans="1:27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</row>
    <row r="4622" spans="1:27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</row>
    <row r="4623" spans="1:27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</row>
    <row r="4624" spans="1:27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</row>
    <row r="4625" spans="1:27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</row>
    <row r="4626" spans="1:27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</row>
    <row r="4627" spans="1:27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</row>
    <row r="4628" spans="1:27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</row>
    <row r="4629" spans="1:27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</row>
    <row r="4630" spans="1:27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</row>
    <row r="4631" spans="1:27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</row>
    <row r="4632" spans="1:27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</row>
    <row r="4633" spans="1:27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</row>
    <row r="4634" spans="1:27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</row>
    <row r="4635" spans="1:27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</row>
    <row r="4636" spans="1:27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</row>
    <row r="4637" spans="1:27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</row>
    <row r="4638" spans="1:27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</row>
    <row r="4639" spans="1:27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</row>
    <row r="4640" spans="1:27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</row>
    <row r="4641" spans="1:27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</row>
    <row r="4642" spans="1:27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</row>
    <row r="4643" spans="1:27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</row>
    <row r="4644" spans="1:27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</row>
    <row r="4645" spans="1:27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</row>
    <row r="4646" spans="1:27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</row>
    <row r="4647" spans="1:27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</row>
    <row r="4648" spans="1:27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</row>
    <row r="4649" spans="1:27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</row>
    <row r="4650" spans="1:27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</row>
    <row r="4651" spans="1:27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</row>
    <row r="4652" spans="1:27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</row>
    <row r="4653" spans="1:27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</row>
    <row r="4654" spans="1:27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</row>
    <row r="4655" spans="1:27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</row>
    <row r="4656" spans="1:27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</row>
    <row r="4657" spans="1:27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</row>
    <row r="4658" spans="1:27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</row>
    <row r="4659" spans="1:27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</row>
    <row r="4660" spans="1:27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</row>
    <row r="4661" spans="1:27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</row>
    <row r="4662" spans="1:27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</row>
    <row r="4663" spans="1:27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</row>
    <row r="4664" spans="1:27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</row>
    <row r="4665" spans="1:27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</row>
    <row r="4666" spans="1:27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</row>
    <row r="4667" spans="1:27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</row>
    <row r="4668" spans="1:27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</row>
    <row r="4669" spans="1:27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</row>
    <row r="4670" spans="1:27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</row>
    <row r="4671" spans="1:27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</row>
    <row r="4672" spans="1:27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</row>
    <row r="4673" spans="1:27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</row>
    <row r="4674" spans="1:27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</row>
    <row r="4675" spans="1:27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</row>
    <row r="4676" spans="1:27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</row>
    <row r="4677" spans="1:27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</row>
    <row r="4678" spans="1:27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</row>
    <row r="4679" spans="1:27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</row>
    <row r="4680" spans="1:27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</row>
    <row r="4681" spans="1:27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</row>
    <row r="4682" spans="1:27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</row>
    <row r="4683" spans="1:27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</row>
    <row r="4684" spans="1:27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</row>
    <row r="4685" spans="1:27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</row>
    <row r="4686" spans="1:27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</row>
    <row r="4687" spans="1:27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</row>
    <row r="4688" spans="1:27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</row>
    <row r="4689" spans="1:27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</row>
    <row r="4690" spans="1:27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</row>
    <row r="4691" spans="1:27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</row>
    <row r="4692" spans="1:27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</row>
    <row r="4693" spans="1:27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</row>
    <row r="4694" spans="1:27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</row>
    <row r="4695" spans="1:27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</row>
    <row r="4696" spans="1:27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</row>
    <row r="4697" spans="1:27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</row>
    <row r="4698" spans="1:27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</row>
    <row r="4699" spans="1:27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</row>
    <row r="4700" spans="1:27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</row>
    <row r="4701" spans="1:27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</row>
    <row r="4702" spans="1:27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</row>
    <row r="4703" spans="1:27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</row>
    <row r="4704" spans="1:27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</row>
    <row r="4705" spans="1:27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</row>
    <row r="4706" spans="1:27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</row>
    <row r="4707" spans="1:27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</row>
    <row r="4708" spans="1:27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</row>
    <row r="4709" spans="1:27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</row>
    <row r="4710" spans="1:27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</row>
    <row r="4711" spans="1:27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</row>
    <row r="4712" spans="1:27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</row>
    <row r="4713" spans="1:27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</row>
    <row r="4714" spans="1:27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</row>
    <row r="4715" spans="1:27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</row>
    <row r="4716" spans="1:27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</row>
    <row r="4717" spans="1:27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</row>
    <row r="4718" spans="1:27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</row>
    <row r="4719" spans="1:27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</row>
    <row r="4720" spans="1:27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</row>
    <row r="4721" spans="1:27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</row>
    <row r="4722" spans="1:27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</row>
    <row r="4723" spans="1:27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</row>
    <row r="4724" spans="1:27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</row>
    <row r="4725" spans="1:27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</row>
    <row r="4726" spans="1:27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</row>
    <row r="4727" spans="1:27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</row>
    <row r="4728" spans="1:27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</row>
    <row r="4729" spans="1:27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</row>
    <row r="4730" spans="1:27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</row>
    <row r="4731" spans="1:27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</row>
    <row r="4732" spans="1:27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</row>
    <row r="4733" spans="1:27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</row>
    <row r="4734" spans="1:27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</row>
    <row r="4735" spans="1:27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</row>
    <row r="4736" spans="1:27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</row>
    <row r="4737" spans="1:27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</row>
    <row r="4738" spans="1:27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</row>
    <row r="4739" spans="1:27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</row>
    <row r="4740" spans="1:27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</row>
    <row r="4741" spans="1:27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</row>
    <row r="4742" spans="1:27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</row>
    <row r="4743" spans="1:27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</row>
    <row r="4744" spans="1:27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</row>
    <row r="4745" spans="1:27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</row>
    <row r="4746" spans="1:27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</row>
    <row r="4747" spans="1:27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</row>
    <row r="4748" spans="1:27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</row>
    <row r="4749" spans="1:27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</row>
    <row r="4750" spans="1:27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</row>
    <row r="4751" spans="1:27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</row>
    <row r="4752" spans="1:27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</row>
    <row r="4753" spans="1:27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</row>
    <row r="4754" spans="1:27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</row>
    <row r="4755" spans="1:27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</row>
    <row r="4756" spans="1:27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</row>
    <row r="4757" spans="1:27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</row>
    <row r="4758" spans="1:27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</row>
    <row r="4759" spans="1:27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</row>
    <row r="4760" spans="1:27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</row>
    <row r="4761" spans="1:27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</row>
    <row r="4762" spans="1:27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</row>
    <row r="4763" spans="1:27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</row>
    <row r="4764" spans="1:27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</row>
    <row r="4765" spans="1:27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</row>
    <row r="4766" spans="1:27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</row>
    <row r="4767" spans="1:27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</row>
    <row r="4768" spans="1:27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</row>
    <row r="4769" spans="1:27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</row>
    <row r="4770" spans="1:27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</row>
    <row r="4771" spans="1:27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</row>
    <row r="4772" spans="1:27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</row>
    <row r="4773" spans="1:27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</row>
    <row r="4774" spans="1:27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</row>
    <row r="4775" spans="1:27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</row>
    <row r="4776" spans="1:27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</row>
    <row r="4777" spans="1:27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</row>
    <row r="4778" spans="1:27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</row>
    <row r="4779" spans="1:27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</row>
    <row r="4780" spans="1:27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</row>
    <row r="4781" spans="1:27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</row>
    <row r="4782" spans="1:27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</row>
    <row r="4783" spans="1:27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</row>
    <row r="4784" spans="1:27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</row>
    <row r="4785" spans="1:27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</row>
    <row r="4786" spans="1:27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</row>
    <row r="4787" spans="1:27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</row>
    <row r="4788" spans="1:27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</row>
    <row r="4789" spans="1:27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</row>
    <row r="4790" spans="1:27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</row>
    <row r="4791" spans="1:27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</row>
    <row r="4792" spans="1:27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</row>
    <row r="4793" spans="1:27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</row>
    <row r="4794" spans="1:27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</row>
    <row r="4795" spans="1:27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</row>
    <row r="4796" spans="1:27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</row>
    <row r="4797" spans="1:27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</row>
    <row r="4798" spans="1:27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</row>
    <row r="4799" spans="1:27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</row>
    <row r="4800" spans="1:27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</row>
    <row r="4801" spans="1:27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</row>
    <row r="4802" spans="1:27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</row>
    <row r="4803" spans="1:27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</row>
    <row r="4804" spans="1:27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</row>
    <row r="4805" spans="1:27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</row>
    <row r="4806" spans="1:27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</row>
    <row r="4807" spans="1:27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</row>
    <row r="4808" spans="1:27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</row>
    <row r="4809" spans="1:27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</row>
    <row r="4810" spans="1:27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</row>
    <row r="4811" spans="1:27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</row>
    <row r="4812" spans="1:27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</row>
    <row r="4813" spans="1:27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</row>
    <row r="4814" spans="1:27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</row>
    <row r="4815" spans="1:27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</row>
    <row r="4816" spans="1:27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</row>
    <row r="4817" spans="1:27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</row>
    <row r="4818" spans="1:27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</row>
    <row r="4819" spans="1:27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</row>
    <row r="4820" spans="1:27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</row>
    <row r="4821" spans="1:27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</row>
    <row r="4822" spans="1:27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</row>
    <row r="4823" spans="1:27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</row>
    <row r="4824" spans="1:27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</row>
    <row r="4825" spans="1:27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</row>
    <row r="4826" spans="1:27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</row>
    <row r="4827" spans="1:27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</row>
    <row r="4828" spans="1:27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</row>
    <row r="4829" spans="1:27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</row>
    <row r="4830" spans="1:27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</row>
    <row r="4831" spans="1:27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</row>
    <row r="4832" spans="1:27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</row>
    <row r="4833" spans="1:27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</row>
    <row r="4834" spans="1:27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</row>
    <row r="4835" spans="1:27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</row>
    <row r="4836" spans="1:27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</row>
    <row r="4837" spans="1:27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</row>
    <row r="4838" spans="1:27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</row>
    <row r="4839" spans="1:27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</row>
    <row r="4840" spans="1:27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</row>
    <row r="4841" spans="1:27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</row>
    <row r="4842" spans="1:27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</row>
    <row r="4843" spans="1:27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</row>
    <row r="4844" spans="1:27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</row>
    <row r="4845" spans="1:27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</row>
    <row r="4846" spans="1:27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</row>
    <row r="4847" spans="1:27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</row>
    <row r="4848" spans="1:27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</row>
    <row r="4849" spans="1:27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</row>
    <row r="4850" spans="1:27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</row>
    <row r="4851" spans="1:27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</row>
    <row r="4852" spans="1:27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</row>
    <row r="4853" spans="1:27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</row>
    <row r="4854" spans="1:27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</row>
    <row r="4855" spans="1:27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</row>
    <row r="4856" spans="1:27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</row>
    <row r="4857" spans="1:27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</row>
    <row r="4858" spans="1:27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</row>
    <row r="4859" spans="1:27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</row>
    <row r="4860" spans="1:27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</row>
    <row r="4861" spans="1:27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</row>
    <row r="4862" spans="1:27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</row>
    <row r="4863" spans="1:27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</row>
    <row r="4864" spans="1:27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</row>
    <row r="4865" spans="1:27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</row>
    <row r="4866" spans="1:27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</row>
    <row r="4867" spans="1:27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</row>
    <row r="4868" spans="1:27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</row>
    <row r="4869" spans="1:27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</row>
    <row r="4870" spans="1:27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</row>
    <row r="4871" spans="1:27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</row>
    <row r="4872" spans="1:27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</row>
    <row r="4873" spans="1:27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</row>
    <row r="4874" spans="1:27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</row>
    <row r="4875" spans="1:27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</row>
    <row r="4876" spans="1:27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</row>
    <row r="4877" spans="1:27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</row>
    <row r="4878" spans="1:27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</row>
    <row r="4879" spans="1:27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</row>
    <row r="4880" spans="1:27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</row>
    <row r="4881" spans="1:27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</row>
    <row r="4882" spans="1:27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</row>
    <row r="4883" spans="1:27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</row>
    <row r="4884" spans="1:27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</row>
    <row r="4885" spans="1:27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</row>
    <row r="4886" spans="1:27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</row>
    <row r="4887" spans="1:27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</row>
    <row r="4888" spans="1:27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</row>
    <row r="4889" spans="1:27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</row>
    <row r="4890" spans="1:27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</row>
    <row r="4891" spans="1:27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</row>
    <row r="4892" spans="1:27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</row>
    <row r="4893" spans="1:27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</row>
    <row r="4894" spans="1:27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</row>
    <row r="4895" spans="1:27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</row>
    <row r="4896" spans="1:27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</row>
    <row r="4897" spans="1:27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</row>
    <row r="4898" spans="1:27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</row>
    <row r="4899" spans="1:27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</row>
    <row r="4900" spans="1:27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</row>
    <row r="4901" spans="1:27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</row>
    <row r="4902" spans="1:27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</row>
    <row r="4903" spans="1:27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</row>
    <row r="4904" spans="1:27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</row>
    <row r="4905" spans="1:27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</row>
    <row r="4906" spans="1:27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</row>
    <row r="4907" spans="1:27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</row>
    <row r="4908" spans="1:27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</row>
    <row r="4909" spans="1:27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</row>
    <row r="4910" spans="1:27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</row>
    <row r="4911" spans="1:27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</row>
    <row r="4912" spans="1:27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</row>
    <row r="4913" spans="1:27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</row>
    <row r="4914" spans="1:27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</row>
    <row r="4915" spans="1:27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</row>
    <row r="4916" spans="1:27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</row>
    <row r="4917" spans="1:27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</row>
    <row r="4918" spans="1:27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</row>
    <row r="4919" spans="1:27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</row>
    <row r="4920" spans="1:27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</row>
    <row r="4921" spans="1:27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</row>
    <row r="4922" spans="1:27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</row>
    <row r="4923" spans="1:27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</row>
    <row r="4924" spans="1:27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</row>
    <row r="4925" spans="1:27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</row>
    <row r="4926" spans="1:27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</row>
    <row r="4927" spans="1:27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</row>
    <row r="4928" spans="1:27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</row>
    <row r="4929" spans="1:27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</row>
    <row r="4930" spans="1:27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</row>
    <row r="4931" spans="1:27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</row>
    <row r="4932" spans="1:27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</row>
    <row r="4933" spans="1:27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</row>
    <row r="4934" spans="1:27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</row>
    <row r="4935" spans="1:27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</row>
    <row r="4936" spans="1:27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</row>
    <row r="4937" spans="1:27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</row>
    <row r="4938" spans="1:27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</row>
    <row r="4939" spans="1:27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</row>
    <row r="4940" spans="1:27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</row>
    <row r="4941" spans="1:27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</row>
    <row r="4942" spans="1:27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</row>
    <row r="4943" spans="1:27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</row>
    <row r="4944" spans="1:27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</row>
    <row r="4945" spans="1:27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</row>
    <row r="4946" spans="1:27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</row>
    <row r="4947" spans="1:27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</row>
    <row r="4948" spans="1:27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</row>
    <row r="4949" spans="1:27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</row>
    <row r="4950" spans="1:27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</row>
    <row r="4951" spans="1:27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</row>
    <row r="4952" spans="1:27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</row>
    <row r="4953" spans="1:27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</row>
    <row r="4954" spans="1:27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</row>
    <row r="4955" spans="1:27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</row>
    <row r="4956" spans="1:27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</row>
    <row r="4957" spans="1:27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</row>
    <row r="4958" spans="1:27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</row>
    <row r="4959" spans="1:27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</row>
    <row r="4960" spans="1:27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</row>
    <row r="4961" spans="1:27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</row>
    <row r="4962" spans="1:27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</row>
    <row r="4963" spans="1:27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</row>
    <row r="4964" spans="1:27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</row>
    <row r="4965" spans="1:27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</row>
    <row r="4966" spans="1:27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</row>
    <row r="4967" spans="1:27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</row>
    <row r="4968" spans="1:27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</row>
    <row r="4969" spans="1:27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</row>
    <row r="4970" spans="1:27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</row>
    <row r="4971" spans="1:27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</row>
    <row r="4972" spans="1:27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</row>
    <row r="4973" spans="1:27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</row>
    <row r="4974" spans="1:27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</row>
    <row r="4975" spans="1:27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</row>
    <row r="4976" spans="1:27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</row>
    <row r="4977" spans="1:27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</row>
    <row r="4978" spans="1:27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</row>
    <row r="4979" spans="1:27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</row>
    <row r="4980" spans="1:27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</row>
    <row r="4981" spans="1:27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</row>
    <row r="4982" spans="1:27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</row>
    <row r="4983" spans="1:27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</row>
    <row r="4984" spans="1:27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</row>
    <row r="4985" spans="1:27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</row>
    <row r="4986" spans="1:27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</row>
    <row r="4987" spans="1:27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</row>
    <row r="4988" spans="1:27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</row>
    <row r="4989" spans="1:27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</row>
    <row r="4990" spans="1:27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</row>
    <row r="4991" spans="1:27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</row>
    <row r="4992" spans="1:27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</row>
    <row r="4993" spans="1:27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</row>
    <row r="4994" spans="1:27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</row>
    <row r="4995" spans="1:27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</row>
    <row r="4996" spans="1:27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</row>
    <row r="4997" spans="1:27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</row>
    <row r="4998" spans="1:27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</row>
    <row r="4999" spans="1:27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</row>
    <row r="5000" spans="1:27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</row>
    <row r="5001" spans="1:27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</row>
    <row r="5002" spans="1:27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</row>
    <row r="5003" spans="1:27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</row>
    <row r="5004" spans="1:27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</row>
    <row r="5005" spans="1:27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</row>
    <row r="5006" spans="1:27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</row>
    <row r="5007" spans="1:27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</row>
    <row r="5008" spans="1:27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</row>
    <row r="5009" spans="1:27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</row>
    <row r="5010" spans="1:27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</row>
    <row r="5011" spans="1:27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</row>
    <row r="5012" spans="1:27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</row>
    <row r="5013" spans="1:27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</row>
    <row r="5014" spans="1:27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</row>
    <row r="5015" spans="1:27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</row>
    <row r="5016" spans="1:27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</row>
    <row r="5017" spans="1:27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</row>
    <row r="5018" spans="1:27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</row>
    <row r="5019" spans="1:27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</row>
    <row r="5020" spans="1:27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</row>
    <row r="5021" spans="1:27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</row>
    <row r="5022" spans="1:27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</row>
    <row r="5023" spans="1:27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</row>
    <row r="5024" spans="1:27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</row>
    <row r="5025" spans="1:27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</row>
    <row r="5026" spans="1:27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</row>
    <row r="5027" spans="1:27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</row>
    <row r="5028" spans="1:27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</row>
    <row r="5029" spans="1:27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</row>
    <row r="5030" spans="1:27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</row>
    <row r="5031" spans="1:27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</row>
    <row r="5032" spans="1:27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</row>
    <row r="5033" spans="1:27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</row>
    <row r="5034" spans="1:27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</row>
    <row r="5035" spans="1:27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</row>
    <row r="5036" spans="1:27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</row>
    <row r="5037" spans="1:27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</row>
    <row r="5038" spans="1:27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</row>
    <row r="5039" spans="1:27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</row>
    <row r="5040" spans="1:27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</row>
    <row r="5041" spans="1:27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</row>
    <row r="5042" spans="1:27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</row>
    <row r="5043" spans="1:27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</row>
    <row r="5044" spans="1:27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</row>
    <row r="5045" spans="1:27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</row>
    <row r="5046" spans="1:27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</row>
    <row r="5047" spans="1:27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</row>
    <row r="5048" spans="1:27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</row>
    <row r="5049" spans="1:27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</row>
    <row r="5050" spans="1:27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</row>
    <row r="5051" spans="1:27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</row>
    <row r="5052" spans="1:27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</row>
    <row r="5053" spans="1:27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</row>
    <row r="5054" spans="1:27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</row>
    <row r="5055" spans="1:27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</row>
    <row r="5056" spans="1:27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</row>
    <row r="5057" spans="1:27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</row>
    <row r="5058" spans="1:27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</row>
    <row r="5059" spans="1:27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</row>
    <row r="5060" spans="1:27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</row>
    <row r="5061" spans="1:27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</row>
    <row r="5062" spans="1:27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</row>
    <row r="5063" spans="1:27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</row>
    <row r="5064" spans="1:27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</row>
    <row r="5065" spans="1:27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</row>
    <row r="5066" spans="1:27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</row>
    <row r="5067" spans="1:27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</row>
    <row r="5068" spans="1:27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</row>
    <row r="5069" spans="1:27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</row>
    <row r="5070" spans="1:27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</row>
    <row r="5071" spans="1:27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</row>
    <row r="5072" spans="1:27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</row>
    <row r="5073" spans="1:27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</row>
    <row r="5074" spans="1:27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</row>
    <row r="5075" spans="1:27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</row>
    <row r="5076" spans="1:27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</row>
    <row r="5077" spans="1:27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</row>
    <row r="5078" spans="1:27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</row>
    <row r="5079" spans="1:27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</row>
    <row r="5080" spans="1:27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</row>
    <row r="5081" spans="1:27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</row>
    <row r="5082" spans="1:27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</row>
    <row r="5083" spans="1:27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</row>
    <row r="5084" spans="1:27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</row>
    <row r="5085" spans="1:27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</row>
    <row r="5086" spans="1:27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</row>
    <row r="5087" spans="1:27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</row>
    <row r="5088" spans="1:27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</row>
    <row r="5089" spans="1:27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</row>
    <row r="5090" spans="1:27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</row>
    <row r="5091" spans="1:27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</row>
    <row r="5092" spans="1:27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</row>
    <row r="5093" spans="1:27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</row>
    <row r="5094" spans="1:27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</row>
    <row r="5095" spans="1:27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</row>
    <row r="5096" spans="1:27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</row>
    <row r="5097" spans="1:27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</row>
    <row r="5098" spans="1:27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</row>
    <row r="5099" spans="1:27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</row>
    <row r="5100" spans="1:27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</row>
    <row r="5101" spans="1:27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</row>
    <row r="5102" spans="1:27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</row>
    <row r="5103" spans="1:27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</row>
    <row r="5104" spans="1:27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</row>
    <row r="5105" spans="1:27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</row>
    <row r="5106" spans="1:27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</row>
    <row r="5107" spans="1:27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</row>
    <row r="5108" spans="1:27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</row>
    <row r="5109" spans="1:27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</row>
    <row r="5110" spans="1:27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</row>
    <row r="5111" spans="1:27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</row>
    <row r="5112" spans="1:27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</row>
    <row r="5113" spans="1:27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</row>
    <row r="5114" spans="1:27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</row>
    <row r="5115" spans="1:27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</row>
    <row r="5116" spans="1:27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</row>
    <row r="5117" spans="1:27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</row>
    <row r="5118" spans="1:27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</row>
    <row r="5119" spans="1:27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</row>
    <row r="5120" spans="1:27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</row>
    <row r="5121" spans="1:27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</row>
    <row r="5122" spans="1:27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</row>
    <row r="5123" spans="1:27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</row>
    <row r="5124" spans="1:27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</row>
    <row r="5125" spans="1:27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</row>
    <row r="5126" spans="1:27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</row>
    <row r="5127" spans="1:27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</row>
    <row r="5128" spans="1:27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</row>
    <row r="5129" spans="1:27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</row>
    <row r="5130" spans="1:27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</row>
    <row r="5131" spans="1:27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</row>
    <row r="5132" spans="1:27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</row>
    <row r="5133" spans="1:27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</row>
    <row r="5134" spans="1:27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</row>
    <row r="5135" spans="1:27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</row>
    <row r="5136" spans="1:27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</row>
    <row r="5137" spans="1:27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</row>
    <row r="5138" spans="1:27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</row>
    <row r="5139" spans="1:27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</row>
    <row r="5140" spans="1:27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</row>
    <row r="5141" spans="1:27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</row>
    <row r="5142" spans="1:27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</row>
    <row r="5143" spans="1:27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</row>
    <row r="5144" spans="1:27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</row>
    <row r="5145" spans="1:27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</row>
    <row r="5146" spans="1:27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</row>
    <row r="5147" spans="1:27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</row>
    <row r="5148" spans="1:27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</row>
    <row r="5149" spans="1:27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</row>
    <row r="5150" spans="1:27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</row>
    <row r="5151" spans="1:27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</row>
    <row r="5152" spans="1:27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</row>
    <row r="5153" spans="1:27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</row>
    <row r="5154" spans="1:27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</row>
    <row r="5155" spans="1:27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</row>
    <row r="5156" spans="1:27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</row>
    <row r="5157" spans="1:27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</row>
    <row r="5158" spans="1:27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</row>
    <row r="5159" spans="1:27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</row>
    <row r="5160" spans="1:27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</row>
    <row r="5161" spans="1:27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</row>
    <row r="5162" spans="1:27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</row>
    <row r="5163" spans="1:27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</row>
    <row r="5164" spans="1:27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</row>
    <row r="5165" spans="1:27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</row>
    <row r="5166" spans="1:27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</row>
    <row r="5167" spans="1:27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</row>
    <row r="5168" spans="1:27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</row>
    <row r="5169" spans="1:27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</row>
    <row r="5170" spans="1:27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</row>
    <row r="5171" spans="1:27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</row>
    <row r="5172" spans="1:27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</row>
    <row r="5173" spans="1:27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</row>
    <row r="5174" spans="1:27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</row>
    <row r="5175" spans="1:27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</row>
    <row r="5176" spans="1:27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</row>
    <row r="5177" spans="1:27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</row>
    <row r="5178" spans="1:27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</row>
    <row r="5179" spans="1:27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</row>
    <row r="5180" spans="1:27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</row>
    <row r="5181" spans="1:27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</row>
    <row r="5182" spans="1:27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</row>
    <row r="5183" spans="1:27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</row>
    <row r="5184" spans="1:27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</row>
    <row r="5185" spans="1:27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</row>
    <row r="5186" spans="1:27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</row>
    <row r="5187" spans="1:27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</row>
    <row r="5188" spans="1:27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</row>
    <row r="5189" spans="1:27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</row>
    <row r="5190" spans="1:27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</row>
    <row r="5191" spans="1:27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</row>
    <row r="5192" spans="1:27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</row>
    <row r="5193" spans="1:27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</row>
    <row r="5194" spans="1:27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</row>
    <row r="5195" spans="1:27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</row>
    <row r="5196" spans="1:27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</row>
    <row r="5197" spans="1:27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</row>
    <row r="5198" spans="1:27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</row>
    <row r="5199" spans="1:27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</row>
    <row r="5200" spans="1:27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</row>
    <row r="5201" spans="1:27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</row>
    <row r="5202" spans="1:27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</row>
    <row r="5203" spans="1:27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</row>
    <row r="5204" spans="1:27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</row>
    <row r="5205" spans="1:27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</row>
    <row r="5206" spans="1:27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</row>
    <row r="5207" spans="1:27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</row>
    <row r="5208" spans="1:27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</row>
    <row r="5209" spans="1:27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</row>
    <row r="5210" spans="1:27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</row>
    <row r="5211" spans="1:27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</row>
    <row r="5212" spans="1:27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</row>
    <row r="5213" spans="1:27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</row>
    <row r="5214" spans="1:27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</row>
    <row r="5215" spans="1:27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</row>
    <row r="5216" spans="1:27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</row>
    <row r="5217" spans="1:27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</row>
    <row r="5218" spans="1:27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</row>
    <row r="5219" spans="1:27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</row>
    <row r="5220" spans="1:27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</row>
    <row r="5221" spans="1:27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</row>
    <row r="5222" spans="1:27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</row>
    <row r="5223" spans="1:27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</row>
    <row r="5224" spans="1:27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</row>
    <row r="5225" spans="1:27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</row>
    <row r="5226" spans="1:27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</row>
    <row r="5227" spans="1:27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</row>
    <row r="5228" spans="1:27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</row>
    <row r="5229" spans="1:27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</row>
    <row r="5230" spans="1:27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</row>
    <row r="5231" spans="1:27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</row>
    <row r="5232" spans="1:27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</row>
    <row r="5233" spans="1:27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</row>
    <row r="5234" spans="1:27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</row>
    <row r="5235" spans="1:27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</row>
    <row r="5236" spans="1:27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</row>
    <row r="5237" spans="1:27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</row>
    <row r="5238" spans="1:27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</row>
    <row r="5239" spans="1:27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</row>
    <row r="5240" spans="1:27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</row>
    <row r="5241" spans="1:27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</row>
    <row r="5242" spans="1:27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</row>
    <row r="5243" spans="1:27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</row>
    <row r="5244" spans="1:27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</row>
    <row r="5245" spans="1:27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</row>
    <row r="5246" spans="1:27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</row>
    <row r="5247" spans="1:27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</row>
    <row r="5248" spans="1:27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</row>
    <row r="5249" spans="1:27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</row>
    <row r="5250" spans="1:27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</row>
    <row r="5251" spans="1:27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</row>
    <row r="5252" spans="1:27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</row>
    <row r="5253" spans="1:27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</row>
    <row r="5254" spans="1:27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</row>
    <row r="5255" spans="1:27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</row>
    <row r="5256" spans="1:27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</row>
    <row r="5257" spans="1:27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</row>
    <row r="5258" spans="1:27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</row>
    <row r="5259" spans="1:27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</row>
    <row r="5260" spans="1:27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</row>
    <row r="5261" spans="1:27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</row>
    <row r="5262" spans="1:27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</row>
    <row r="5263" spans="1:27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</row>
    <row r="5264" spans="1:27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</row>
    <row r="5265" spans="1:27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</row>
    <row r="5266" spans="1:27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</row>
    <row r="5267" spans="1:27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</row>
    <row r="5268" spans="1:27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</row>
    <row r="5269" spans="1:27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</row>
    <row r="5270" spans="1:27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</row>
    <row r="5271" spans="1:27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</row>
    <row r="5272" spans="1:27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</row>
    <row r="5273" spans="1:27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</row>
    <row r="5274" spans="1:27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</row>
    <row r="5275" spans="1:27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</row>
    <row r="5276" spans="1:27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</row>
    <row r="5277" spans="1:27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</row>
    <row r="5278" spans="1:27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</row>
    <row r="5279" spans="1:27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</row>
    <row r="5280" spans="1:27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</row>
    <row r="5281" spans="1:27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</row>
    <row r="5282" spans="1:27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</row>
    <row r="5283" spans="1:27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</row>
    <row r="5284" spans="1:27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</row>
    <row r="5285" spans="1:27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</row>
    <row r="5286" spans="1:27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</row>
    <row r="5287" spans="1:27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</row>
    <row r="5288" spans="1:27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</row>
    <row r="5289" spans="1:27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</row>
    <row r="5290" spans="1:27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</row>
    <row r="5291" spans="1:27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</row>
    <row r="5292" spans="1:27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</row>
    <row r="5293" spans="1:27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</row>
    <row r="5294" spans="1:27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</row>
    <row r="5295" spans="1:27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</row>
    <row r="5296" spans="1:27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</row>
    <row r="5297" spans="1:27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</row>
    <row r="5298" spans="1:27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</row>
    <row r="5299" spans="1:27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</row>
    <row r="5300" spans="1:27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</row>
    <row r="5301" spans="1:27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</row>
    <row r="5302" spans="1:27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</row>
    <row r="5303" spans="1:27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</row>
    <row r="5304" spans="1:27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</row>
    <row r="5305" spans="1:27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</row>
    <row r="5306" spans="1:27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</row>
    <row r="5307" spans="1:27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</row>
    <row r="5308" spans="1:27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</row>
    <row r="5309" spans="1:27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</row>
    <row r="5310" spans="1:27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</row>
    <row r="5311" spans="1:27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</row>
    <row r="5312" spans="1:27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</row>
    <row r="5313" spans="1:27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</row>
    <row r="5314" spans="1:27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</row>
    <row r="5315" spans="1:27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</row>
    <row r="5316" spans="1:27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</row>
    <row r="5317" spans="1:27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</row>
    <row r="5318" spans="1:27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</row>
    <row r="5319" spans="1:27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</row>
    <row r="5320" spans="1:27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</row>
    <row r="5321" spans="1:27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</row>
    <row r="5322" spans="1:27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</row>
    <row r="5323" spans="1:27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</row>
    <row r="5324" spans="1:27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</row>
    <row r="5325" spans="1:27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</row>
    <row r="5326" spans="1:27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</row>
    <row r="5327" spans="1:27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</row>
    <row r="5328" spans="1:27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</row>
    <row r="5329" spans="1:27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</row>
    <row r="5330" spans="1:27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</row>
    <row r="5331" spans="1:27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</row>
    <row r="5332" spans="1:27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</row>
    <row r="5333" spans="1:27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</row>
    <row r="5334" spans="1:27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</row>
    <row r="5335" spans="1:27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</row>
    <row r="5336" spans="1:27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</row>
    <row r="5337" spans="1:27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</row>
    <row r="5338" spans="1:27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</row>
    <row r="5339" spans="1:27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</row>
    <row r="5340" spans="1:27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</row>
    <row r="5341" spans="1:27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</row>
    <row r="5342" spans="1:27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</row>
    <row r="5343" spans="1:27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</row>
    <row r="5344" spans="1:27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</row>
    <row r="5345" spans="1:27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</row>
    <row r="5346" spans="1:27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</row>
    <row r="5347" spans="1:27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</row>
    <row r="5348" spans="1:27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</row>
    <row r="5349" spans="1:27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</row>
    <row r="5350" spans="1:27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</row>
    <row r="5351" spans="1:27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</row>
    <row r="5352" spans="1:27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</row>
    <row r="5353" spans="1:27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</row>
    <row r="5354" spans="1:27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</row>
    <row r="5355" spans="1:27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</row>
    <row r="5356" spans="1:27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</row>
    <row r="5357" spans="1:27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</row>
    <row r="5358" spans="1:27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</row>
    <row r="5359" spans="1:27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</row>
    <row r="5360" spans="1:27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</row>
    <row r="5361" spans="1:27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</row>
    <row r="5362" spans="1:27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</row>
    <row r="5363" spans="1:27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</row>
    <row r="5364" spans="1:27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</row>
    <row r="5365" spans="1:27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</row>
    <row r="5366" spans="1:27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</row>
    <row r="5367" spans="1:27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</row>
    <row r="5368" spans="1:27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</row>
    <row r="5369" spans="1:27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</row>
    <row r="5370" spans="1:27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</row>
    <row r="5371" spans="1:27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</row>
    <row r="5372" spans="1:27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</row>
    <row r="5373" spans="1:27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</row>
    <row r="5374" spans="1:27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</row>
    <row r="5375" spans="1:27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</row>
    <row r="5376" spans="1:27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</row>
    <row r="5377" spans="1:27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</row>
    <row r="5378" spans="1:27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</row>
    <row r="5379" spans="1:27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</row>
    <row r="5380" spans="1:27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</row>
    <row r="5381" spans="1:27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</row>
    <row r="5382" spans="1:27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</row>
    <row r="5383" spans="1:27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</row>
    <row r="5384" spans="1:27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</row>
    <row r="5385" spans="1:27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</row>
    <row r="5386" spans="1:27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</row>
    <row r="5387" spans="1:27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</row>
    <row r="5388" spans="1:27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</row>
    <row r="5389" spans="1:27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</row>
    <row r="5390" spans="1:27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</row>
    <row r="5391" spans="1:27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</row>
    <row r="5392" spans="1:27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</row>
    <row r="5393" spans="1:27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</row>
    <row r="5394" spans="1:27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</row>
    <row r="5395" spans="1:27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</row>
    <row r="5396" spans="1:27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</row>
    <row r="5397" spans="1:27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</row>
    <row r="5398" spans="1:27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</row>
    <row r="5399" spans="1:27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</row>
    <row r="5400" spans="1:27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</row>
    <row r="5401" spans="1:27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</row>
    <row r="5402" spans="1:27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</row>
    <row r="5403" spans="1:27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</row>
    <row r="5404" spans="1:27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</row>
    <row r="5405" spans="1:27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</row>
    <row r="5406" spans="1:27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</row>
    <row r="5407" spans="1:27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</row>
    <row r="5408" spans="1:27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</row>
    <row r="5409" spans="1:27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</row>
    <row r="5410" spans="1:27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</row>
    <row r="5411" spans="1:27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</row>
    <row r="5412" spans="1:27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</row>
    <row r="5413" spans="1:27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</row>
    <row r="5414" spans="1:27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</row>
    <row r="5415" spans="1:27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</row>
    <row r="5416" spans="1:27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</row>
    <row r="5417" spans="1:27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</row>
    <row r="5418" spans="1:27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</row>
    <row r="5419" spans="1:27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</row>
    <row r="5420" spans="1:27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</row>
    <row r="5421" spans="1:27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</row>
    <row r="5422" spans="1:27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</row>
    <row r="5423" spans="1:27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</row>
    <row r="5424" spans="1:27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</row>
    <row r="5425" spans="1:27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</row>
    <row r="5426" spans="1:27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</row>
    <row r="5427" spans="1:27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</row>
    <row r="5428" spans="1:27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</row>
    <row r="5429" spans="1:27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</row>
    <row r="5430" spans="1:27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</row>
    <row r="5431" spans="1:27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</row>
    <row r="5432" spans="1:27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</row>
    <row r="5433" spans="1:27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</row>
    <row r="5434" spans="1:27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</row>
    <row r="5435" spans="1:27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</row>
    <row r="5436" spans="1:27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</row>
    <row r="5437" spans="1:27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</row>
    <row r="5438" spans="1:27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</row>
    <row r="5439" spans="1:27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</row>
    <row r="5440" spans="1:27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</row>
    <row r="5441" spans="1:27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</row>
    <row r="5442" spans="1:27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</row>
    <row r="5443" spans="1:27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</row>
    <row r="5444" spans="1:27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</row>
    <row r="5445" spans="1:27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</row>
    <row r="5446" spans="1:27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</row>
    <row r="5447" spans="1:27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</row>
    <row r="5448" spans="1:27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</row>
    <row r="5449" spans="1:27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</row>
    <row r="5450" spans="1:27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</row>
    <row r="5451" spans="1:27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</row>
    <row r="5452" spans="1:27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</row>
    <row r="5453" spans="1:27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</row>
    <row r="5454" spans="1:27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</row>
    <row r="5455" spans="1:27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</row>
    <row r="5456" spans="1:27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</row>
    <row r="5457" spans="1:27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</row>
    <row r="5458" spans="1:27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</row>
    <row r="5459" spans="1:27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</row>
    <row r="5460" spans="1:27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</row>
    <row r="5461" spans="1:27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</row>
    <row r="5462" spans="1:27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</row>
    <row r="5463" spans="1:27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</row>
    <row r="5464" spans="1:27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</row>
    <row r="5465" spans="1:27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</row>
    <row r="5466" spans="1:27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</row>
    <row r="5467" spans="1:27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</row>
    <row r="5468" spans="1:27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</row>
    <row r="5469" spans="1:27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</row>
    <row r="5470" spans="1:27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</row>
    <row r="5471" spans="1:27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</row>
    <row r="5472" spans="1:27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</row>
    <row r="5473" spans="1:27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</row>
    <row r="5474" spans="1:27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</row>
    <row r="5475" spans="1:27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</row>
    <row r="5476" spans="1:27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</row>
    <row r="5477" spans="1:27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</row>
    <row r="5478" spans="1:27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</row>
    <row r="5479" spans="1:27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</row>
    <row r="5480" spans="1:27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</row>
    <row r="5481" spans="1:27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</row>
    <row r="5482" spans="1:27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</row>
    <row r="5483" spans="1:27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</row>
    <row r="5484" spans="1:27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</row>
    <row r="5485" spans="1:27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</row>
    <row r="5486" spans="1:27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</row>
    <row r="5487" spans="1:27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</row>
    <row r="5488" spans="1:27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</row>
    <row r="5489" spans="1:27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</row>
    <row r="5490" spans="1:27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</row>
    <row r="5491" spans="1:27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</row>
    <row r="5492" spans="1:27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</row>
    <row r="5493" spans="1:27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</row>
    <row r="5494" spans="1:27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</row>
    <row r="5495" spans="1:27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</row>
    <row r="5496" spans="1:27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</row>
    <row r="5497" spans="1:27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</row>
    <row r="5498" spans="1:27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</row>
    <row r="5499" spans="1:27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</row>
    <row r="5500" spans="1:27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</row>
    <row r="5501" spans="1:27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</row>
    <row r="5502" spans="1:27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</row>
    <row r="5503" spans="1:27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</row>
    <row r="5504" spans="1:27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</row>
    <row r="5505" spans="1:27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</row>
    <row r="5506" spans="1:27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</row>
    <row r="5507" spans="1:27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</row>
    <row r="5508" spans="1:27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</row>
    <row r="5509" spans="1:27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</row>
    <row r="5510" spans="1:27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</row>
    <row r="5511" spans="1:27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</row>
    <row r="5512" spans="1:27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</row>
    <row r="5513" spans="1:27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</row>
    <row r="5514" spans="1:27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</row>
    <row r="5515" spans="1:27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</row>
    <row r="5516" spans="1:27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</row>
    <row r="5517" spans="1:27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</row>
    <row r="5518" spans="1:27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</row>
    <row r="5519" spans="1:27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</row>
    <row r="5520" spans="1:27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</row>
    <row r="5521" spans="1:27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</row>
    <row r="5522" spans="1:27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</row>
    <row r="5523" spans="1:27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</row>
    <row r="5524" spans="1:27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</row>
    <row r="5525" spans="1:27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</row>
    <row r="5526" spans="1:27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</row>
    <row r="5527" spans="1:27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</row>
    <row r="5528" spans="1:27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</row>
    <row r="5529" spans="1:27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</row>
    <row r="5530" spans="1:27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</row>
    <row r="5531" spans="1:27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</row>
    <row r="5532" spans="1:27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</row>
    <row r="5533" spans="1:27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</row>
    <row r="5534" spans="1:27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</row>
    <row r="5535" spans="1:27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</row>
    <row r="5536" spans="1:27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</row>
    <row r="5537" spans="1:27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</row>
    <row r="5538" spans="1:27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</row>
    <row r="5539" spans="1:27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</row>
    <row r="5540" spans="1:27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</row>
    <row r="5541" spans="1:27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</row>
    <row r="5542" spans="1:27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</row>
    <row r="5543" spans="1:27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</row>
    <row r="5544" spans="1:27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</row>
    <row r="5545" spans="1:27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</row>
    <row r="5546" spans="1:27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</row>
    <row r="5547" spans="1:27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</row>
    <row r="5548" spans="1:27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</row>
    <row r="5549" spans="1:27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</row>
    <row r="5550" spans="1:27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</row>
    <row r="5551" spans="1:27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</row>
    <row r="5552" spans="1:27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</row>
    <row r="5553" spans="1:27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</row>
    <row r="5554" spans="1:27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</row>
    <row r="5555" spans="1:27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</row>
    <row r="5556" spans="1:27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</row>
    <row r="5557" spans="1:27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</row>
    <row r="5558" spans="1:27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</row>
    <row r="5559" spans="1:27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</row>
    <row r="5560" spans="1:27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</row>
    <row r="5561" spans="1:27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</row>
    <row r="5562" spans="1:27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</row>
    <row r="5563" spans="1:27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</row>
    <row r="5564" spans="1:27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</row>
    <row r="5565" spans="1:27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</row>
    <row r="5566" spans="1:27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</row>
    <row r="5567" spans="1:27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</row>
    <row r="5568" spans="1:27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</row>
    <row r="5569" spans="1:27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</row>
    <row r="5570" spans="1:27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</row>
    <row r="5571" spans="1:27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</row>
    <row r="5572" spans="1:27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</row>
    <row r="5573" spans="1:27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</row>
    <row r="5574" spans="1:27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</row>
    <row r="5575" spans="1:27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</row>
    <row r="5576" spans="1:27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</row>
    <row r="5577" spans="1:27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</row>
    <row r="5578" spans="1:27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</row>
    <row r="5579" spans="1:27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</row>
    <row r="5580" spans="1:27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</row>
    <row r="5581" spans="1:27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</row>
    <row r="5582" spans="1:27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</row>
    <row r="5583" spans="1:27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</row>
    <row r="5584" spans="1:27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</row>
    <row r="5585" spans="1:27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</row>
    <row r="5586" spans="1:27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</row>
    <row r="5587" spans="1:27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</row>
    <row r="5588" spans="1:27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</row>
    <row r="5589" spans="1:27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</row>
    <row r="5590" spans="1:27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</row>
    <row r="5591" spans="1:27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</row>
    <row r="5592" spans="1:27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</row>
    <row r="5593" spans="1:27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</row>
    <row r="5594" spans="1:27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</row>
    <row r="5595" spans="1:27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</row>
    <row r="5596" spans="1:27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</row>
    <row r="5597" spans="1:27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</row>
    <row r="5598" spans="1:27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</row>
    <row r="5599" spans="1:27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</row>
    <row r="5600" spans="1:27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</row>
    <row r="5601" spans="1:27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</row>
    <row r="5602" spans="1:27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</row>
    <row r="5603" spans="1:27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</row>
    <row r="5604" spans="1:27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</row>
    <row r="5605" spans="1:27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</row>
    <row r="5606" spans="1:27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</row>
    <row r="5607" spans="1:27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</row>
    <row r="5608" spans="1:27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</row>
    <row r="5609" spans="1:27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</row>
    <row r="5610" spans="1:27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</row>
    <row r="5611" spans="1:27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</row>
    <row r="5612" spans="1:27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</row>
    <row r="5613" spans="1:27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</row>
    <row r="5614" spans="1:27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</row>
    <row r="5615" spans="1:27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</row>
    <row r="5616" spans="1:27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</row>
    <row r="5617" spans="1:27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</row>
    <row r="5618" spans="1:27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</row>
    <row r="5619" spans="1:27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</row>
    <row r="5620" spans="1:27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</row>
    <row r="5621" spans="1:27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</row>
    <row r="5622" spans="1:27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</row>
    <row r="5623" spans="1:27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</row>
    <row r="5624" spans="1:27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</row>
    <row r="5625" spans="1:27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</row>
    <row r="5626" spans="1:27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</row>
    <row r="5627" spans="1:27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</row>
    <row r="5628" spans="1:27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</row>
    <row r="5629" spans="1:27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</row>
    <row r="5630" spans="1:27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</row>
    <row r="5631" spans="1:27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</row>
    <row r="5632" spans="1:27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</row>
    <row r="5633" spans="1:27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</row>
    <row r="5634" spans="1:27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</row>
    <row r="5635" spans="1:27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</row>
    <row r="5636" spans="1:27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</row>
    <row r="5637" spans="1:27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</row>
    <row r="5638" spans="1:27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</row>
    <row r="5639" spans="1:27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</row>
    <row r="5640" spans="1:27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</row>
    <row r="5641" spans="1:27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</row>
    <row r="5642" spans="1:27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</row>
    <row r="5643" spans="1:27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</row>
    <row r="5644" spans="1:27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</row>
    <row r="5645" spans="1:27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</row>
    <row r="5646" spans="1:27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</row>
    <row r="5647" spans="1:27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</row>
    <row r="5648" spans="1:27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</row>
    <row r="5649" spans="1:27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</row>
    <row r="5650" spans="1:27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</row>
    <row r="5651" spans="1:27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</row>
    <row r="5652" spans="1:27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</row>
    <row r="5653" spans="1:27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</row>
    <row r="5654" spans="1:27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</row>
    <row r="5655" spans="1:27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</row>
    <row r="5656" spans="1:27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</row>
    <row r="5657" spans="1:27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</row>
    <row r="5658" spans="1:27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</row>
    <row r="5659" spans="1:27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</row>
    <row r="5660" spans="1:27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</row>
    <row r="5661" spans="1:27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</row>
    <row r="5662" spans="1:27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</row>
    <row r="5663" spans="1:27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</row>
    <row r="5664" spans="1:27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</row>
    <row r="5665" spans="1:27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</row>
    <row r="5666" spans="1:27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</row>
    <row r="5667" spans="1:27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</row>
    <row r="5668" spans="1:27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</row>
    <row r="5669" spans="1:27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</row>
    <row r="5670" spans="1:27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</row>
    <row r="5671" spans="1:27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</row>
    <row r="5672" spans="1:27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</row>
    <row r="5673" spans="1:27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</row>
    <row r="5674" spans="1:27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</row>
    <row r="5675" spans="1:27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</row>
    <row r="5676" spans="1:27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</row>
    <row r="5677" spans="1:27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</row>
    <row r="5678" spans="1:27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</row>
    <row r="5679" spans="1:27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</row>
    <row r="5680" spans="1:27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</row>
    <row r="5681" spans="1:27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</row>
    <row r="5682" spans="1:27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</row>
    <row r="5683" spans="1:27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</row>
    <row r="5684" spans="1:27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</row>
    <row r="5685" spans="1:27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</row>
    <row r="5686" spans="1:27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</row>
    <row r="5687" spans="1:27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</row>
    <row r="5688" spans="1:27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</row>
    <row r="5689" spans="1:27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</row>
    <row r="5690" spans="1:27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</row>
    <row r="5691" spans="1:27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</row>
    <row r="5692" spans="1:27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</row>
    <row r="5693" spans="1:27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</row>
    <row r="5694" spans="1:27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</row>
    <row r="5695" spans="1:27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</row>
    <row r="5696" spans="1:27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</row>
    <row r="5697" spans="1:27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</row>
    <row r="5698" spans="1:27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</row>
    <row r="5699" spans="1:27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</row>
    <row r="5700" spans="1:27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</row>
    <row r="5701" spans="1:27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</row>
    <row r="5702" spans="1:27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</row>
    <row r="5703" spans="1:27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</row>
    <row r="5704" spans="1:27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</row>
    <row r="5705" spans="1:27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</row>
    <row r="5706" spans="1:27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</row>
    <row r="5707" spans="1:27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</row>
    <row r="5708" spans="1:27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</row>
    <row r="5709" spans="1:27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</row>
    <row r="5710" spans="1:27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</row>
    <row r="5711" spans="1:27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</row>
    <row r="5712" spans="1:27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</row>
    <row r="5713" spans="1:27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</row>
    <row r="5714" spans="1:27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</row>
    <row r="5715" spans="1:27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</row>
    <row r="5716" spans="1:27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</row>
    <row r="5717" spans="1:27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</row>
    <row r="5718" spans="1:27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</row>
    <row r="5719" spans="1:27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</row>
    <row r="5720" spans="1:27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</row>
    <row r="5721" spans="1:27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</row>
    <row r="5722" spans="1:27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</row>
    <row r="5723" spans="1:27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</row>
    <row r="5724" spans="1:27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</row>
    <row r="5725" spans="1:27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</row>
    <row r="5726" spans="1:27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</row>
    <row r="5727" spans="1:27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</row>
    <row r="5728" spans="1:27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</row>
    <row r="5729" spans="1:27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</row>
    <row r="5730" spans="1:27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</row>
    <row r="5731" spans="1:27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</row>
    <row r="5732" spans="1:27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</row>
    <row r="5733" spans="1:27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</row>
    <row r="5734" spans="1:27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</row>
    <row r="5735" spans="1:27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</row>
    <row r="5736" spans="1:27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</row>
    <row r="5737" spans="1:27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</row>
    <row r="5738" spans="1:27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</row>
    <row r="5739" spans="1:27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</row>
    <row r="5740" spans="1:27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</row>
    <row r="5741" spans="1:27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</row>
    <row r="5742" spans="1:27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</row>
    <row r="5743" spans="1:27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</row>
    <row r="5744" spans="1:27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</row>
    <row r="5745" spans="1:27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</row>
    <row r="5746" spans="1:27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</row>
    <row r="5747" spans="1:27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</row>
    <row r="5748" spans="1:27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</row>
    <row r="5749" spans="1:27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</row>
    <row r="5750" spans="1:27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</row>
    <row r="5751" spans="1:27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</row>
    <row r="5752" spans="1:27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</row>
    <row r="5753" spans="1:27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</row>
    <row r="5754" spans="1:27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</row>
    <row r="5755" spans="1:27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</row>
    <row r="5756" spans="1:27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</row>
    <row r="5757" spans="1:27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</row>
    <row r="5758" spans="1:27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</row>
    <row r="5759" spans="1:27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</row>
    <row r="5760" spans="1:27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</row>
    <row r="5761" spans="1:27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</row>
    <row r="5762" spans="1:27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</row>
    <row r="5763" spans="1:27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</row>
    <row r="5764" spans="1:27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</row>
    <row r="5765" spans="1:27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</row>
    <row r="5766" spans="1:27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</row>
    <row r="5767" spans="1:27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</row>
    <row r="5768" spans="1:27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</row>
    <row r="5769" spans="1:27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</row>
    <row r="5770" spans="1:27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</row>
    <row r="5771" spans="1:27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</row>
    <row r="5772" spans="1:27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</row>
    <row r="5773" spans="1:27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</row>
    <row r="5774" spans="1:27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</row>
    <row r="5775" spans="1:27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</row>
    <row r="5776" spans="1:27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</row>
    <row r="5777" spans="1:27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</row>
    <row r="5778" spans="1:27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</row>
    <row r="5779" spans="1:27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</row>
    <row r="5780" spans="1:27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</row>
    <row r="5781" spans="1:27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</row>
    <row r="5782" spans="1:27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</row>
    <row r="5783" spans="1:27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</row>
    <row r="5784" spans="1:27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</row>
    <row r="5785" spans="1:27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</row>
    <row r="5786" spans="1:27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</row>
    <row r="5787" spans="1:27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</row>
    <row r="5788" spans="1:27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</row>
    <row r="5789" spans="1:27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</row>
    <row r="5790" spans="1:27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</row>
    <row r="5791" spans="1:27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</row>
    <row r="5792" spans="1:27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</row>
    <row r="5793" spans="1:27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</row>
    <row r="5794" spans="1:27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</row>
    <row r="5795" spans="1:27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</row>
    <row r="5796" spans="1:27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</row>
    <row r="5797" spans="1:27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</row>
    <row r="5798" spans="1:27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</row>
    <row r="5799" spans="1:27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</row>
    <row r="5800" spans="1:27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</row>
    <row r="5801" spans="1:27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</row>
    <row r="5802" spans="1:27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</row>
    <row r="5803" spans="1:27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</row>
    <row r="5804" spans="1:27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</row>
    <row r="5805" spans="1:27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</row>
    <row r="5806" spans="1:27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</row>
    <row r="5807" spans="1:27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</row>
    <row r="5808" spans="1:27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</row>
    <row r="5809" spans="1:27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</row>
    <row r="5810" spans="1:27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</row>
    <row r="5811" spans="1:27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</row>
    <row r="5812" spans="1:27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</row>
    <row r="5813" spans="1:27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</row>
    <row r="5814" spans="1:27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</row>
    <row r="5815" spans="1:27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</row>
    <row r="5816" spans="1:27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</row>
    <row r="5817" spans="1:27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</row>
    <row r="5818" spans="1:27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</row>
    <row r="5819" spans="1:27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</row>
    <row r="5820" spans="1:27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</row>
    <row r="5821" spans="1:27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</row>
    <row r="5822" spans="1:27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</row>
    <row r="5823" spans="1:27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</row>
    <row r="5824" spans="1:27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</row>
    <row r="5825" spans="1:27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</row>
    <row r="5826" spans="1:27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</row>
    <row r="5827" spans="1:27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</row>
    <row r="5828" spans="1:27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</row>
    <row r="5829" spans="1:27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</row>
    <row r="5830" spans="1:27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</row>
    <row r="5831" spans="1:27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</row>
    <row r="5832" spans="1:27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</row>
    <row r="5833" spans="1:27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</row>
    <row r="5834" spans="1:27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</row>
    <row r="5835" spans="1:27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</row>
    <row r="5836" spans="1:27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</row>
    <row r="5837" spans="1:27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</row>
    <row r="5838" spans="1:27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</row>
    <row r="5839" spans="1:27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</row>
    <row r="5840" spans="1:27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</row>
    <row r="5841" spans="1:27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</row>
    <row r="5842" spans="1:27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</row>
    <row r="5843" spans="1:27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</row>
    <row r="5844" spans="1:27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</row>
    <row r="5845" spans="1:27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</row>
    <row r="5846" spans="1:27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</row>
    <row r="5847" spans="1:27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</row>
    <row r="5848" spans="1:27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</row>
    <row r="5849" spans="1:27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</row>
    <row r="5850" spans="1:27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</row>
    <row r="5851" spans="1:27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</row>
    <row r="5852" spans="1:27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</row>
    <row r="5853" spans="1:27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</row>
    <row r="5854" spans="1:27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</row>
    <row r="5855" spans="1:27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</row>
    <row r="5856" spans="1:27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</row>
    <row r="5857" spans="1:27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</row>
    <row r="5858" spans="1:27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</row>
    <row r="5859" spans="1:27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</row>
    <row r="5860" spans="1:27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</row>
    <row r="5861" spans="1:27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</row>
    <row r="5862" spans="1:27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</row>
    <row r="5863" spans="1:27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</row>
    <row r="5864" spans="1:27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</row>
    <row r="5865" spans="1:27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</row>
    <row r="5866" spans="1:27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</row>
    <row r="5867" spans="1:27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</row>
    <row r="5868" spans="1:27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</row>
    <row r="5869" spans="1:27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</row>
    <row r="5870" spans="1:27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</row>
    <row r="5871" spans="1:27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</row>
    <row r="5872" spans="1:27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</row>
    <row r="5873" spans="1:27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</row>
    <row r="5874" spans="1:27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</row>
    <row r="5875" spans="1:27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</row>
    <row r="5876" spans="1:27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</row>
    <row r="5877" spans="1:27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</row>
    <row r="5878" spans="1:27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</row>
    <row r="5879" spans="1:27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</row>
    <row r="5880" spans="1:27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</row>
    <row r="5881" spans="1:27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</row>
    <row r="5882" spans="1:27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</row>
    <row r="5883" spans="1:27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</row>
    <row r="5884" spans="1:27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</row>
    <row r="5885" spans="1:27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</row>
    <row r="5886" spans="1:27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</row>
    <row r="5887" spans="1:27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</row>
    <row r="5888" spans="1:27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</row>
    <row r="5889" spans="1:27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</row>
    <row r="5890" spans="1:27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</row>
    <row r="5891" spans="1:27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</row>
    <row r="5892" spans="1:27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</row>
    <row r="5893" spans="1:27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</row>
    <row r="5894" spans="1:27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</row>
    <row r="5895" spans="1:27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</row>
    <row r="5896" spans="1:27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</row>
    <row r="5897" spans="1:27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</row>
    <row r="5898" spans="1:27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</row>
    <row r="5899" spans="1:27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</row>
    <row r="5900" spans="1:27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</row>
    <row r="5901" spans="1:27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</row>
    <row r="5902" spans="1:27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</row>
    <row r="5903" spans="1:27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</row>
    <row r="5904" spans="1:27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</row>
    <row r="5905" spans="1:27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</row>
    <row r="5906" spans="1:27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</row>
    <row r="5907" spans="1:27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</row>
    <row r="5908" spans="1:27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</row>
    <row r="5909" spans="1:27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</row>
    <row r="5910" spans="1:27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</row>
    <row r="5911" spans="1:27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</row>
    <row r="5912" spans="1:27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</row>
    <row r="5913" spans="1:27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</row>
    <row r="5914" spans="1:27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</row>
    <row r="5915" spans="1:27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</row>
    <row r="5916" spans="1:27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</row>
    <row r="5917" spans="1:27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</row>
    <row r="5918" spans="1:27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</row>
    <row r="5919" spans="1:27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</row>
    <row r="5920" spans="1:27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</row>
    <row r="5921" spans="1:27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</row>
    <row r="5922" spans="1:27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</row>
    <row r="5923" spans="1:27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</row>
    <row r="5924" spans="1:27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</row>
    <row r="5925" spans="1:27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</row>
    <row r="5926" spans="1:27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</row>
    <row r="5927" spans="1:27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</row>
    <row r="5928" spans="1:27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</row>
    <row r="5929" spans="1:27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</row>
    <row r="5930" spans="1:27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</row>
    <row r="5931" spans="1:27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</row>
    <row r="5932" spans="1:27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</row>
    <row r="5933" spans="1:27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</row>
    <row r="5934" spans="1:27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</row>
    <row r="5935" spans="1:27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</row>
    <row r="5936" spans="1:27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</row>
    <row r="5937" spans="1:27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</row>
    <row r="5938" spans="1:27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</row>
    <row r="5939" spans="1:27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</row>
    <row r="5940" spans="1:27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</row>
    <row r="5941" spans="1:27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</row>
    <row r="5942" spans="1:27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</row>
    <row r="5943" spans="1:27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</row>
    <row r="5944" spans="1:27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</row>
    <row r="5945" spans="1:27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</row>
    <row r="5946" spans="1:27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</row>
    <row r="5947" spans="1:27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</row>
    <row r="5948" spans="1:27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</row>
    <row r="5949" spans="1:27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</row>
    <row r="5950" spans="1:27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</row>
    <row r="5951" spans="1:27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</row>
    <row r="5952" spans="1:27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</row>
    <row r="5953" spans="1:27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</row>
    <row r="5954" spans="1:27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</row>
    <row r="5955" spans="1:27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</row>
    <row r="5956" spans="1:27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</row>
    <row r="5957" spans="1:27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</row>
    <row r="5958" spans="1:27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</row>
    <row r="5959" spans="1:27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</row>
    <row r="5960" spans="1:27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</row>
    <row r="5961" spans="1:27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</row>
    <row r="5962" spans="1:27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</row>
    <row r="5963" spans="1:27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</row>
    <row r="5964" spans="1:27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</row>
    <row r="5965" spans="1:27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</row>
    <row r="5966" spans="1:27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</row>
    <row r="5967" spans="1:27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</row>
    <row r="5968" spans="1:27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</row>
    <row r="5969" spans="1:27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</row>
    <row r="5970" spans="1:27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</row>
    <row r="5971" spans="1:27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</row>
    <row r="5972" spans="1:27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</row>
    <row r="5973" spans="1:27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</row>
    <row r="5974" spans="1:27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</row>
    <row r="5975" spans="1:27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</row>
    <row r="5976" spans="1:27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</row>
    <row r="5977" spans="1:27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</row>
    <row r="5978" spans="1:27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</row>
    <row r="5979" spans="1:27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</row>
    <row r="5980" spans="1:27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</row>
    <row r="5981" spans="1:27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</row>
    <row r="5982" spans="1:27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</row>
    <row r="5983" spans="1:27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</row>
    <row r="5984" spans="1:27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</row>
    <row r="5985" spans="1:27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</row>
    <row r="5986" spans="1:27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</row>
    <row r="5987" spans="1:27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</row>
    <row r="5988" spans="1:27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</row>
    <row r="5989" spans="1:27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</row>
    <row r="5990" spans="1:27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</row>
    <row r="5991" spans="1:27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</row>
    <row r="5992" spans="1:27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</row>
    <row r="5993" spans="1:27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</row>
    <row r="5994" spans="1:27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</row>
    <row r="5995" spans="1:27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</row>
    <row r="5996" spans="1:27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</row>
    <row r="5997" spans="1:27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</row>
    <row r="5998" spans="1:27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</row>
    <row r="5999" spans="1:27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</row>
    <row r="6000" spans="1:27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</row>
    <row r="6001" spans="1:27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</row>
    <row r="6002" spans="1:27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</row>
    <row r="6003" spans="1:27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</row>
    <row r="6004" spans="1:27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</row>
    <row r="6005" spans="1:27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</row>
    <row r="6006" spans="1:27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</row>
    <row r="6007" spans="1:27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</row>
    <row r="6008" spans="1:27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</row>
    <row r="6009" spans="1:27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</row>
    <row r="6010" spans="1:27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</row>
    <row r="6011" spans="1:27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</row>
    <row r="6012" spans="1:27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</row>
    <row r="6013" spans="1:27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</row>
    <row r="6014" spans="1:27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</row>
    <row r="6015" spans="1:27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</row>
    <row r="6016" spans="1:27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</row>
    <row r="6017" spans="1:27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</row>
    <row r="6018" spans="1:27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</row>
    <row r="6019" spans="1:27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</row>
    <row r="6020" spans="1:27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</row>
    <row r="6021" spans="1:27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</row>
    <row r="6022" spans="1:27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</row>
    <row r="6023" spans="1:27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</row>
    <row r="6024" spans="1:27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</row>
    <row r="6025" spans="1:27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</row>
    <row r="6026" spans="1:27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</row>
    <row r="6027" spans="1:27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</row>
    <row r="6028" spans="1:27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</row>
    <row r="6029" spans="1:27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</row>
    <row r="6030" spans="1:27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</row>
    <row r="6031" spans="1:27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</row>
    <row r="6032" spans="1:27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</row>
    <row r="6033" spans="1:27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</row>
    <row r="6034" spans="1:27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</row>
    <row r="6035" spans="1:27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</row>
    <row r="6036" spans="1:27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</row>
    <row r="6037" spans="1:27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</row>
    <row r="6038" spans="1:27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</row>
    <row r="6039" spans="1:27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</row>
    <row r="6040" spans="1:27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</row>
    <row r="6041" spans="1:27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</row>
    <row r="6042" spans="1:27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</row>
    <row r="6043" spans="1:27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</row>
    <row r="6044" spans="1:27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</row>
    <row r="6045" spans="1:27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</row>
    <row r="6046" spans="1:27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</row>
    <row r="6047" spans="1:27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</row>
    <row r="6048" spans="1:27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</row>
    <row r="6049" spans="1:27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</row>
    <row r="6050" spans="1:27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</row>
    <row r="6051" spans="1:27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</row>
    <row r="6052" spans="1:27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</row>
    <row r="6053" spans="1:27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</row>
    <row r="6054" spans="1:27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</row>
    <row r="6055" spans="1:27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</row>
    <row r="6056" spans="1:27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</row>
    <row r="6057" spans="1:27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</row>
    <row r="6058" spans="1:27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</row>
    <row r="6059" spans="1:27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</row>
    <row r="6060" spans="1:27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</row>
    <row r="6061" spans="1:27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</row>
    <row r="6062" spans="1:27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</row>
    <row r="6063" spans="1:27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</row>
    <row r="6064" spans="1:27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</row>
    <row r="6065" spans="1:27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</row>
    <row r="6066" spans="1:27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</row>
    <row r="6067" spans="1:27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</row>
    <row r="6068" spans="1:27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</row>
    <row r="6069" spans="1:27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</row>
    <row r="6070" spans="1:27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</row>
    <row r="6071" spans="1:27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</row>
    <row r="6072" spans="1:27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</row>
    <row r="6073" spans="1:27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</row>
    <row r="6074" spans="1:27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</row>
    <row r="6075" spans="1:27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</row>
    <row r="6076" spans="1:27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</row>
    <row r="6077" spans="1:27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</row>
    <row r="6078" spans="1:27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</row>
    <row r="6079" spans="1:27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</row>
    <row r="6080" spans="1:27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</row>
    <row r="6081" spans="1:27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</row>
    <row r="6082" spans="1:27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</row>
    <row r="6083" spans="1:27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</row>
    <row r="6084" spans="1:27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</row>
    <row r="6085" spans="1:27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</row>
    <row r="6086" spans="1:27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</row>
    <row r="6087" spans="1:27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</row>
    <row r="6088" spans="1:27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</row>
    <row r="6089" spans="1:27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</row>
    <row r="6090" spans="1:27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</row>
    <row r="6091" spans="1:27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</row>
    <row r="6092" spans="1:27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</row>
    <row r="6093" spans="1:27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</row>
    <row r="6094" spans="1:27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</row>
    <row r="6095" spans="1:27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</row>
    <row r="6096" spans="1:27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</row>
    <row r="6097" spans="1:27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</row>
    <row r="6098" spans="1:27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</row>
    <row r="6099" spans="1:27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</row>
    <row r="6100" spans="1:27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</row>
    <row r="6101" spans="1:27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</row>
    <row r="6102" spans="1:27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</row>
    <row r="6103" spans="1:27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</row>
    <row r="6104" spans="1:27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</row>
    <row r="6105" spans="1:27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</row>
    <row r="6106" spans="1:27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</row>
    <row r="6107" spans="1:27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</row>
    <row r="6108" spans="1:27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</row>
    <row r="6109" spans="1:27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</row>
    <row r="6110" spans="1:27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</row>
    <row r="6111" spans="1:27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</row>
    <row r="6112" spans="1:27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</row>
    <row r="6113" spans="1:27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</row>
    <row r="6114" spans="1:27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</row>
    <row r="6115" spans="1:27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</row>
    <row r="6116" spans="1:27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</row>
    <row r="6117" spans="1:27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</row>
    <row r="6118" spans="1:27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</row>
    <row r="6119" spans="1:27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</row>
    <row r="6120" spans="1:27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</row>
    <row r="6121" spans="1:27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</row>
    <row r="6122" spans="1:27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</row>
    <row r="6123" spans="1:27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</row>
    <row r="6124" spans="1:27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</row>
    <row r="6125" spans="1:27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</row>
    <row r="6126" spans="1:27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</row>
    <row r="6127" spans="1:27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</row>
    <row r="6128" spans="1:27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</row>
    <row r="6129" spans="1:27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</row>
    <row r="6130" spans="1:27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</row>
    <row r="6131" spans="1:27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</row>
    <row r="6132" spans="1:27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</row>
    <row r="6133" spans="1:27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</row>
    <row r="6134" spans="1:27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</row>
    <row r="6135" spans="1:27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</row>
    <row r="6136" spans="1:27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</row>
    <row r="6137" spans="1:27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</row>
    <row r="6138" spans="1:27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</row>
    <row r="6139" spans="1:27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</row>
    <row r="6140" spans="1:27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</row>
    <row r="6141" spans="1:27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</row>
    <row r="6142" spans="1:27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</row>
    <row r="6143" spans="1:27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</row>
    <row r="6144" spans="1:27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</row>
    <row r="6145" spans="1:27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</row>
    <row r="6146" spans="1:27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</row>
    <row r="6147" spans="1:27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</row>
    <row r="6148" spans="1:27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</row>
    <row r="6149" spans="1:27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</row>
    <row r="6150" spans="1:27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</row>
    <row r="6151" spans="1:27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</row>
    <row r="6152" spans="1:27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</row>
    <row r="6153" spans="1:27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</row>
    <row r="6154" spans="1:27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</row>
    <row r="6155" spans="1:27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</row>
    <row r="6156" spans="1:27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</row>
    <row r="6157" spans="1:27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</row>
    <row r="6158" spans="1:27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</row>
    <row r="6159" spans="1:27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</row>
    <row r="6160" spans="1:27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</row>
    <row r="6161" spans="1:27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</row>
    <row r="6162" spans="1:27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</row>
    <row r="6163" spans="1:27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</row>
    <row r="6164" spans="1:27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</row>
    <row r="6165" spans="1:27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</row>
    <row r="6166" spans="1:27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</row>
    <row r="6167" spans="1:27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</row>
    <row r="6168" spans="1:27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</row>
    <row r="6169" spans="1:27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</row>
    <row r="6170" spans="1:27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</row>
    <row r="6171" spans="1:27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</row>
    <row r="6172" spans="1:27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</row>
    <row r="6173" spans="1:27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</row>
    <row r="6174" spans="1:27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</row>
    <row r="6175" spans="1:27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</row>
    <row r="6176" spans="1:27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</row>
    <row r="6177" spans="1:27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</row>
    <row r="6178" spans="1:27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</row>
    <row r="6179" spans="1:27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</row>
    <row r="6180" spans="1:27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</row>
    <row r="6181" spans="1:27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</row>
    <row r="6182" spans="1:27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</row>
    <row r="6183" spans="1:27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</row>
    <row r="6184" spans="1:27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</row>
    <row r="6185" spans="1:27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</row>
    <row r="6186" spans="1:27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</row>
    <row r="6187" spans="1:27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</row>
    <row r="6188" spans="1:27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</row>
    <row r="6189" spans="1:27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</row>
    <row r="6190" spans="1:27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</row>
    <row r="6191" spans="1:27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</row>
    <row r="6192" spans="1:27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</row>
    <row r="6193" spans="1:27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</row>
    <row r="6194" spans="1:27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</row>
    <row r="6195" spans="1:27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</row>
    <row r="6196" spans="1:27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</row>
    <row r="6197" spans="1:27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</row>
    <row r="6198" spans="1:27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</row>
    <row r="6199" spans="1:27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</row>
    <row r="6200" spans="1:27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</row>
    <row r="6201" spans="1:27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</row>
    <row r="6202" spans="1:27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</row>
    <row r="6203" spans="1:27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</row>
    <row r="6204" spans="1:27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</row>
    <row r="6205" spans="1:27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</row>
    <row r="6206" spans="1:27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</row>
    <row r="6207" spans="1:27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</row>
    <row r="6208" spans="1:27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</row>
    <row r="6209" spans="1:27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</row>
    <row r="6210" spans="1:27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</row>
    <row r="6211" spans="1:27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</row>
    <row r="6212" spans="1:27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</row>
    <row r="6213" spans="1:27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</row>
    <row r="6214" spans="1:27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</row>
    <row r="6215" spans="1:27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</row>
    <row r="6216" spans="1:27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</row>
    <row r="6217" spans="1:27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</row>
    <row r="6218" spans="1:27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</row>
    <row r="6219" spans="1:27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</row>
    <row r="6220" spans="1:27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</row>
    <row r="6221" spans="1:27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</row>
    <row r="6222" spans="1:27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</row>
    <row r="6223" spans="1:27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</row>
    <row r="6224" spans="1:27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</row>
    <row r="6225" spans="1:27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</row>
    <row r="6226" spans="1:27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</row>
    <row r="6227" spans="1:27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</row>
    <row r="6228" spans="1:27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</row>
    <row r="6229" spans="1:27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</row>
    <row r="6230" spans="1:27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</row>
    <row r="6231" spans="1:27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</row>
    <row r="6232" spans="1:27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</row>
    <row r="6233" spans="1:27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</row>
    <row r="6234" spans="1:27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</row>
    <row r="6235" spans="1:27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</row>
    <row r="6236" spans="1:27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</row>
    <row r="6237" spans="1:27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</row>
    <row r="6238" spans="1:27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</row>
    <row r="6239" spans="1:27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</row>
    <row r="6240" spans="1:27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</row>
    <row r="6241" spans="1:27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</row>
    <row r="6242" spans="1:27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</row>
    <row r="6243" spans="1:27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</row>
    <row r="6244" spans="1:27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</row>
    <row r="6245" spans="1:27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</row>
    <row r="6246" spans="1:27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</row>
    <row r="6247" spans="1:27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</row>
    <row r="6248" spans="1:27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</row>
    <row r="6249" spans="1:27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</row>
    <row r="6250" spans="1:27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</row>
    <row r="6251" spans="1:27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</row>
    <row r="6252" spans="1:27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</row>
    <row r="6253" spans="1:27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</row>
    <row r="6254" spans="1:27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</row>
    <row r="6255" spans="1:27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</row>
    <row r="6256" spans="1:27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</row>
    <row r="6257" spans="1:27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</row>
    <row r="6258" spans="1:27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</row>
    <row r="6259" spans="1:27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</row>
    <row r="6260" spans="1:27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</row>
    <row r="6261" spans="1:27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</row>
    <row r="6262" spans="1:27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</row>
    <row r="6263" spans="1:27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</row>
    <row r="6264" spans="1:27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</row>
    <row r="6265" spans="1:27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</row>
    <row r="6266" spans="1:27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</row>
    <row r="6267" spans="1:27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</row>
    <row r="6268" spans="1:27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</row>
    <row r="6269" spans="1:27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</row>
    <row r="6270" spans="1:27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</row>
    <row r="6271" spans="1:27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</row>
    <row r="6272" spans="1:27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</row>
    <row r="6273" spans="1:27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</row>
    <row r="6274" spans="1:27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</row>
    <row r="6275" spans="1:27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</row>
    <row r="6276" spans="1:27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</row>
    <row r="6277" spans="1:27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</row>
    <row r="6278" spans="1:27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</row>
    <row r="6279" spans="1:27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</row>
    <row r="6280" spans="1:27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</row>
    <row r="6281" spans="1:27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</row>
    <row r="6282" spans="1:27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</row>
    <row r="6283" spans="1:27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</row>
    <row r="6284" spans="1:27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</row>
    <row r="6285" spans="1:27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</row>
    <row r="6286" spans="1:27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</row>
    <row r="6287" spans="1:27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</row>
    <row r="6288" spans="1:27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</row>
    <row r="6289" spans="1:27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</row>
    <row r="6290" spans="1:27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</row>
    <row r="6291" spans="1:27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</row>
    <row r="6292" spans="1:27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</row>
    <row r="6293" spans="1:27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</row>
    <row r="6294" spans="1:27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</row>
    <row r="6295" spans="1:27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</row>
    <row r="6296" spans="1:27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</row>
    <row r="6297" spans="1:27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</row>
    <row r="6298" spans="1:27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</row>
    <row r="6299" spans="1:27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</row>
    <row r="6300" spans="1:27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</row>
    <row r="6301" spans="1:27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</row>
    <row r="6302" spans="1:27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</row>
    <row r="6303" spans="1:27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</row>
    <row r="6304" spans="1:27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</row>
    <row r="6305" spans="1:27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</row>
    <row r="6306" spans="1:27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</row>
    <row r="6307" spans="1:27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</row>
    <row r="6308" spans="1:27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</row>
    <row r="6309" spans="1:27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</row>
    <row r="6310" spans="1:27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</row>
    <row r="6311" spans="1:27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</row>
    <row r="6312" spans="1:27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</row>
    <row r="6313" spans="1:27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</row>
    <row r="6314" spans="1:27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</row>
    <row r="6315" spans="1:27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</row>
    <row r="6316" spans="1:27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</row>
    <row r="6317" spans="1:27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</row>
    <row r="6318" spans="1:27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</row>
    <row r="6319" spans="1:27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</row>
    <row r="6320" spans="1:27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</row>
    <row r="6321" spans="1:27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</row>
    <row r="6322" spans="1:27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</row>
    <row r="6323" spans="1:27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</row>
    <row r="6324" spans="1:27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</row>
    <row r="6325" spans="1:27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</row>
    <row r="6326" spans="1:27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</row>
    <row r="6327" spans="1:27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</row>
    <row r="6328" spans="1:27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</row>
    <row r="6329" spans="1:27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</row>
    <row r="6330" spans="1:27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</row>
    <row r="6331" spans="1:27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</row>
    <row r="6332" spans="1:27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</row>
    <row r="6333" spans="1:27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</row>
    <row r="6334" spans="1:27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</row>
    <row r="6335" spans="1:27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</row>
    <row r="6336" spans="1:27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</row>
    <row r="6337" spans="1:27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</row>
    <row r="6338" spans="1:27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</row>
    <row r="6339" spans="1:27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</row>
    <row r="6340" spans="1:27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</row>
    <row r="6341" spans="1:27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</row>
    <row r="6342" spans="1:27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</row>
    <row r="6343" spans="1:27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</row>
    <row r="6344" spans="1:27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</row>
    <row r="6345" spans="1:27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</row>
    <row r="6346" spans="1:27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</row>
    <row r="6347" spans="1:27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</row>
    <row r="6348" spans="1:27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</row>
    <row r="6349" spans="1:27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</row>
    <row r="6350" spans="1:27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</row>
    <row r="6351" spans="1:27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</row>
    <row r="6352" spans="1:27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</row>
    <row r="6353" spans="1:27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</row>
    <row r="6354" spans="1:27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</row>
    <row r="6355" spans="1:27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</row>
    <row r="6356" spans="1:27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</row>
    <row r="6357" spans="1:27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</row>
    <row r="6358" spans="1:27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</row>
    <row r="6359" spans="1:27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</row>
    <row r="6360" spans="1:27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</row>
    <row r="6361" spans="1:27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</row>
    <row r="6362" spans="1:27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</row>
    <row r="6363" spans="1:27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</row>
    <row r="6364" spans="1:27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</row>
    <row r="6365" spans="1:27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</row>
    <row r="6366" spans="1:27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</row>
    <row r="6367" spans="1:27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</row>
    <row r="6368" spans="1:27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</row>
    <row r="6369" spans="1:27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</row>
    <row r="6370" spans="1:27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</row>
    <row r="6371" spans="1:27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</row>
    <row r="6372" spans="1:27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</row>
    <row r="6373" spans="1:27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</row>
    <row r="6374" spans="1:27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</row>
    <row r="6375" spans="1:27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</row>
    <row r="6376" spans="1:27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</row>
    <row r="6377" spans="1:27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</row>
    <row r="6378" spans="1:27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</row>
    <row r="6379" spans="1:27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</row>
    <row r="6380" spans="1:27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</row>
    <row r="6381" spans="1:27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</row>
    <row r="6382" spans="1:27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</row>
    <row r="6383" spans="1:27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</row>
    <row r="6384" spans="1:27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</row>
    <row r="6385" spans="1:27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</row>
    <row r="6386" spans="1:27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</row>
    <row r="6387" spans="1:27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</row>
    <row r="6388" spans="1:27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</row>
    <row r="6389" spans="1:27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</row>
    <row r="6390" spans="1:27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</row>
    <row r="6391" spans="1:27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</row>
    <row r="6392" spans="1:27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</row>
    <row r="6393" spans="1:27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</row>
    <row r="6394" spans="1:27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</row>
    <row r="6395" spans="1:27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</row>
    <row r="6396" spans="1:27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</row>
    <row r="6397" spans="1:27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</row>
    <row r="6398" spans="1:27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</row>
    <row r="6399" spans="1:27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</row>
    <row r="6400" spans="1:27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</row>
    <row r="6401" spans="1:27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</row>
    <row r="6402" spans="1:27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</row>
    <row r="6403" spans="1:27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</row>
    <row r="6404" spans="1:27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</row>
    <row r="6405" spans="1:27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</row>
    <row r="6406" spans="1:27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</row>
    <row r="6407" spans="1:27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</row>
    <row r="6408" spans="1:27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</row>
    <row r="6409" spans="1:27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</row>
    <row r="6410" spans="1:27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</row>
    <row r="6411" spans="1:27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</row>
    <row r="6412" spans="1:27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</row>
    <row r="6413" spans="1:27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</row>
    <row r="6414" spans="1:27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</row>
    <row r="6415" spans="1:27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</row>
    <row r="6416" spans="1:27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</row>
    <row r="6417" spans="1:27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</row>
    <row r="6418" spans="1:27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</row>
    <row r="6419" spans="1:27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</row>
    <row r="6420" spans="1:27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</row>
    <row r="6421" spans="1:27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</row>
    <row r="6422" spans="1:27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</row>
    <row r="6423" spans="1:27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</row>
    <row r="6424" spans="1:27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</row>
    <row r="6425" spans="1:27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</row>
    <row r="6426" spans="1:27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</row>
    <row r="6427" spans="1:27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</row>
    <row r="6428" spans="1:27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</row>
    <row r="6429" spans="1:27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</row>
    <row r="6430" spans="1:27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</row>
    <row r="6431" spans="1:27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</row>
    <row r="6432" spans="1:27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</row>
    <row r="6433" spans="1:27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</row>
    <row r="6434" spans="1:27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</row>
    <row r="6435" spans="1:27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</row>
    <row r="6436" spans="1:27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</row>
    <row r="6437" spans="1:27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</row>
    <row r="6438" spans="1:27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</row>
    <row r="6439" spans="1:27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</row>
    <row r="6440" spans="1:27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</row>
    <row r="6441" spans="1:27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</row>
    <row r="6442" spans="1:27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</row>
    <row r="6443" spans="1:27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</row>
    <row r="6444" spans="1:27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</row>
    <row r="6445" spans="1:27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</row>
    <row r="6446" spans="1:27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</row>
    <row r="6447" spans="1:27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</row>
    <row r="6448" spans="1:27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</row>
    <row r="6449" spans="1:27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</row>
    <row r="6450" spans="1:27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</row>
    <row r="6451" spans="1:27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</row>
    <row r="6452" spans="1:27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</row>
    <row r="6453" spans="1:27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</row>
    <row r="6454" spans="1:27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</row>
    <row r="6455" spans="1:27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</row>
    <row r="6456" spans="1:27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</row>
    <row r="6457" spans="1:27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</row>
    <row r="6458" spans="1:27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</row>
    <row r="6459" spans="1:27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</row>
    <row r="6460" spans="1:27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</row>
    <row r="6461" spans="1:27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</row>
    <row r="6462" spans="1:27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</row>
    <row r="6463" spans="1:27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</row>
    <row r="6464" spans="1:27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</row>
    <row r="6465" spans="1:27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</row>
    <row r="6466" spans="1:27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</row>
    <row r="6467" spans="1:27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</row>
    <row r="6468" spans="1:27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</row>
    <row r="6469" spans="1:27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</row>
    <row r="6470" spans="1:27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</row>
    <row r="6471" spans="1:27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</row>
    <row r="6472" spans="1:27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</row>
    <row r="6473" spans="1:27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</row>
    <row r="6474" spans="1:27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</row>
    <row r="6475" spans="1:27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</row>
    <row r="6476" spans="1:27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</row>
    <row r="6477" spans="1:27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</row>
    <row r="6478" spans="1:27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</row>
    <row r="6479" spans="1:27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</row>
    <row r="6480" spans="1:27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</row>
    <row r="6481" spans="1:27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</row>
    <row r="6482" spans="1:27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</row>
    <row r="6483" spans="1:27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</row>
    <row r="6484" spans="1:27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</row>
    <row r="6485" spans="1:27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</row>
    <row r="6486" spans="1:27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</row>
    <row r="6487" spans="1:27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</row>
    <row r="6488" spans="1:27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</row>
    <row r="6489" spans="1:27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</row>
    <row r="6490" spans="1:27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</row>
    <row r="6491" spans="1:27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</row>
    <row r="6492" spans="1:27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</row>
    <row r="6493" spans="1:27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</row>
    <row r="6494" spans="1:27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</row>
    <row r="6495" spans="1:27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</row>
    <row r="6496" spans="1:27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</row>
    <row r="6497" spans="1:27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</row>
    <row r="6498" spans="1:27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</row>
    <row r="6499" spans="1:27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</row>
    <row r="6500" spans="1:27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</row>
    <row r="6501" spans="1:27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</row>
    <row r="6502" spans="1:27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</row>
    <row r="6503" spans="1:27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</row>
    <row r="6504" spans="1:27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</row>
    <row r="6505" spans="1:27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</row>
    <row r="6506" spans="1:27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</row>
    <row r="6507" spans="1:27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</row>
    <row r="6508" spans="1:27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</row>
    <row r="6509" spans="1:27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</row>
    <row r="6510" spans="1:27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</row>
    <row r="6511" spans="1:27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</row>
    <row r="6512" spans="1:27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</row>
    <row r="6513" spans="1:27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</row>
    <row r="6514" spans="1:27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</row>
    <row r="6515" spans="1:27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</row>
    <row r="6516" spans="1:27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</row>
    <row r="6517" spans="1:27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</row>
    <row r="6518" spans="1:27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</row>
    <row r="6519" spans="1:27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</row>
    <row r="6520" spans="1:27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</row>
    <row r="6521" spans="1:27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</row>
    <row r="6522" spans="1:27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</row>
    <row r="6523" spans="1:27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</row>
    <row r="6524" spans="1:27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</row>
    <row r="6525" spans="1:27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</row>
    <row r="6526" spans="1:27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</row>
    <row r="6527" spans="1:27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</row>
    <row r="6528" spans="1:27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</row>
    <row r="6529" spans="1:27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</row>
    <row r="6530" spans="1:27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</row>
    <row r="6531" spans="1:27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</row>
    <row r="6532" spans="1:27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</row>
    <row r="6533" spans="1:27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</row>
    <row r="6534" spans="1:27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</row>
    <row r="6535" spans="1:27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</row>
    <row r="6536" spans="1:27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</row>
    <row r="6537" spans="1:27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</row>
    <row r="6538" spans="1:27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</row>
    <row r="6539" spans="1:27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</row>
    <row r="6540" spans="1:27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</row>
    <row r="6541" spans="1:27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</row>
    <row r="6542" spans="1:27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</row>
    <row r="6543" spans="1:27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</row>
    <row r="6544" spans="1:27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</row>
    <row r="6545" spans="1:27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</row>
    <row r="6546" spans="1:27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</row>
    <row r="6547" spans="1:27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</row>
    <row r="6548" spans="1:27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</row>
    <row r="6549" spans="1:27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</row>
    <row r="6550" spans="1:27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</row>
    <row r="6551" spans="1:27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</row>
    <row r="6552" spans="1:27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</row>
    <row r="6553" spans="1:27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</row>
    <row r="6554" spans="1:27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</row>
    <row r="6555" spans="1:27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</row>
    <row r="6556" spans="1:27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</row>
    <row r="6557" spans="1:27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</row>
    <row r="6558" spans="1:27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</row>
    <row r="6559" spans="1:27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</row>
    <row r="6560" spans="1:27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</row>
    <row r="6561" spans="1:27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</row>
    <row r="6562" spans="1:27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</row>
    <row r="6563" spans="1:27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</row>
    <row r="6564" spans="1:27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</row>
    <row r="6565" spans="1:27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</row>
    <row r="6566" spans="1:27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</row>
    <row r="6567" spans="1:27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</row>
    <row r="6568" spans="1:27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</row>
    <row r="6569" spans="1:27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</row>
    <row r="6570" spans="1:27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</row>
    <row r="6571" spans="1:27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</row>
    <row r="6572" spans="1:27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</row>
    <row r="6573" spans="1:27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</row>
    <row r="6574" spans="1:27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</row>
    <row r="6575" spans="1:27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</row>
    <row r="6576" spans="1:27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</row>
    <row r="6577" spans="1:27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</row>
    <row r="6578" spans="1:27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</row>
    <row r="6579" spans="1:27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</row>
    <row r="6580" spans="1:27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</row>
    <row r="6581" spans="1:27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</row>
    <row r="6582" spans="1:27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</row>
    <row r="6583" spans="1:27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</row>
    <row r="6584" spans="1:27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</row>
    <row r="6585" spans="1:27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</row>
    <row r="6586" spans="1:27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</row>
    <row r="6587" spans="1:27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</row>
    <row r="6588" spans="1:27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</row>
    <row r="6589" spans="1:27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</row>
    <row r="6590" spans="1:27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</row>
    <row r="6591" spans="1:27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</row>
    <row r="6592" spans="1:27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</row>
    <row r="6593" spans="1:27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</row>
    <row r="6594" spans="1:27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</row>
    <row r="6595" spans="1:27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</row>
    <row r="6596" spans="1:27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</row>
    <row r="6597" spans="1:27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</row>
    <row r="6598" spans="1:27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</row>
    <row r="6599" spans="1:27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</row>
    <row r="6600" spans="1:27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</row>
    <row r="6601" spans="1:27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</row>
    <row r="6602" spans="1:27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</row>
    <row r="6603" spans="1:27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</row>
    <row r="6604" spans="1:27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</row>
    <row r="6605" spans="1:27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</row>
    <row r="6606" spans="1:27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</row>
    <row r="6607" spans="1:27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</row>
    <row r="6608" spans="1:27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</row>
    <row r="6609" spans="1:27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</row>
    <row r="6610" spans="1:27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</row>
    <row r="6611" spans="1:27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</row>
    <row r="6612" spans="1:27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</row>
    <row r="6613" spans="1:27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</row>
    <row r="6614" spans="1:27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</row>
    <row r="6615" spans="1:27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</row>
    <row r="6616" spans="1:27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</row>
    <row r="6617" spans="1:27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</row>
    <row r="6618" spans="1:27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</row>
    <row r="6619" spans="1:27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</row>
    <row r="6620" spans="1:27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</row>
    <row r="6621" spans="1:27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</row>
    <row r="6622" spans="1:27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</row>
    <row r="6623" spans="1:27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</row>
    <row r="6624" spans="1:27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</row>
    <row r="6625" spans="1:27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</row>
    <row r="6626" spans="1:27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</row>
    <row r="6627" spans="1:27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</row>
    <row r="6628" spans="1:27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</row>
    <row r="6629" spans="1:27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</row>
    <row r="6630" spans="1:27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</row>
    <row r="6631" spans="1:27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</row>
    <row r="6632" spans="1:27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</row>
    <row r="6633" spans="1:27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</row>
    <row r="6634" spans="1:27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</row>
    <row r="6635" spans="1:27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</row>
    <row r="6636" spans="1:27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</row>
    <row r="6637" spans="1:27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</row>
    <row r="6638" spans="1:27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</row>
    <row r="6639" spans="1:27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</row>
    <row r="6640" spans="1:27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</row>
    <row r="6641" spans="1:27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</row>
    <row r="6642" spans="1:27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</row>
    <row r="6643" spans="1:27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</row>
    <row r="6644" spans="1:27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</row>
    <row r="6645" spans="1:27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</row>
    <row r="6646" spans="1:27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</row>
    <row r="6647" spans="1:27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</row>
    <row r="6648" spans="1:27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</row>
    <row r="6649" spans="1:27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</row>
    <row r="6650" spans="1:27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</row>
    <row r="6651" spans="1:27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</row>
    <row r="6652" spans="1:27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</row>
    <row r="6653" spans="1:27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</row>
    <row r="6654" spans="1:27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</row>
    <row r="6655" spans="1:27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</row>
    <row r="6656" spans="1:27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</row>
    <row r="6657" spans="1:27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</row>
    <row r="6658" spans="1:27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</row>
    <row r="6659" spans="1:27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</row>
    <row r="6660" spans="1:27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</row>
    <row r="6661" spans="1:27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</row>
    <row r="6662" spans="1:27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</row>
    <row r="6663" spans="1:27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</row>
    <row r="6664" spans="1:27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</row>
    <row r="6665" spans="1:27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</row>
    <row r="6666" spans="1:27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</row>
    <row r="6667" spans="1:27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</row>
    <row r="6668" spans="1:27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</row>
    <row r="6669" spans="1:27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</row>
    <row r="6670" spans="1:27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</row>
    <row r="6671" spans="1:27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</row>
    <row r="6672" spans="1:27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</row>
    <row r="6673" spans="1:27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</row>
    <row r="6674" spans="1:27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</row>
    <row r="6675" spans="1:27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</row>
    <row r="6676" spans="1:27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</row>
    <row r="6677" spans="1:27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</row>
    <row r="6678" spans="1:27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</row>
    <row r="6679" spans="1:27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</row>
    <row r="6680" spans="1:27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</row>
    <row r="6681" spans="1:27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</row>
    <row r="6682" spans="1:27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</row>
    <row r="6683" spans="1:27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</row>
    <row r="6684" spans="1:27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</row>
    <row r="6685" spans="1:27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</row>
    <row r="6686" spans="1:27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</row>
    <row r="6687" spans="1:27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</row>
    <row r="6688" spans="1:27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</row>
    <row r="6689" spans="1:27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</row>
    <row r="6690" spans="1:27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</row>
    <row r="6691" spans="1:27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</row>
    <row r="6692" spans="1:27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</row>
    <row r="6693" spans="1:27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</row>
    <row r="6694" spans="1:27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</row>
    <row r="6695" spans="1:27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</row>
    <row r="6696" spans="1:27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</row>
    <row r="6697" spans="1:27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</row>
    <row r="6698" spans="1:27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</row>
    <row r="6699" spans="1:27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</row>
    <row r="6700" spans="1:27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</row>
    <row r="6701" spans="1:27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</row>
    <row r="6702" spans="1:27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</row>
    <row r="6703" spans="1:27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</row>
    <row r="6704" spans="1:27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</row>
    <row r="6705" spans="1:27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</row>
    <row r="6706" spans="1:27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</row>
    <row r="6707" spans="1:27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</row>
    <row r="6708" spans="1:27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</row>
    <row r="6709" spans="1:27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</row>
    <row r="6710" spans="1:27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</row>
    <row r="6711" spans="1:27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</row>
    <row r="6712" spans="1:27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</row>
    <row r="6713" spans="1:27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</row>
    <row r="6714" spans="1:27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</row>
    <row r="6715" spans="1:27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</row>
    <row r="6716" spans="1:27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</row>
    <row r="6717" spans="1:27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</row>
    <row r="6718" spans="1:27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</row>
    <row r="6719" spans="1:27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</row>
    <row r="6720" spans="1:27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</row>
    <row r="6721" spans="1:27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</row>
    <row r="6722" spans="1:27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</row>
    <row r="6723" spans="1:27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</row>
    <row r="6724" spans="1:27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</row>
    <row r="6725" spans="1:27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</row>
    <row r="6726" spans="1:27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</row>
    <row r="6727" spans="1:27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</row>
    <row r="6728" spans="1:27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</row>
    <row r="6729" spans="1:27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</row>
    <row r="6730" spans="1:27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</row>
    <row r="6731" spans="1:27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</row>
    <row r="6732" spans="1:27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</row>
    <row r="6733" spans="1:27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</row>
    <row r="6734" spans="1:27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</row>
    <row r="6735" spans="1:27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</row>
    <row r="6736" spans="1:27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</row>
    <row r="6737" spans="1:27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</row>
    <row r="6738" spans="1:27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</row>
    <row r="6739" spans="1:27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</row>
    <row r="6740" spans="1:27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</row>
    <row r="6741" spans="1:27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</row>
    <row r="6742" spans="1:27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</row>
    <row r="6743" spans="1:27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</row>
    <row r="6744" spans="1:27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</row>
    <row r="6745" spans="1:27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</row>
    <row r="6746" spans="1:27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</row>
    <row r="6747" spans="1:27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</row>
    <row r="6748" spans="1:27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</row>
    <row r="6749" spans="1:27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</row>
    <row r="6750" spans="1:27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</row>
    <row r="6751" spans="1:27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</row>
    <row r="6752" spans="1:27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</row>
    <row r="6753" spans="1:27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</row>
    <row r="6754" spans="1:27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</row>
    <row r="6755" spans="1:27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</row>
    <row r="6756" spans="1:27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</row>
    <row r="6757" spans="1:27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</row>
    <row r="6758" spans="1:27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</row>
    <row r="6759" spans="1:27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</row>
    <row r="6760" spans="1:27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</row>
    <row r="6761" spans="1:27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</row>
    <row r="6762" spans="1:27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</row>
    <row r="6763" spans="1:27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</row>
    <row r="6764" spans="1:27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</row>
    <row r="6765" spans="1:27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</row>
    <row r="6766" spans="1:27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</row>
    <row r="6767" spans="1:27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</row>
    <row r="6768" spans="1:27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</row>
    <row r="6769" spans="1:27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</row>
    <row r="6770" spans="1:27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</row>
    <row r="6771" spans="1:27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</row>
    <row r="6772" spans="1:27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</row>
    <row r="6773" spans="1:27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</row>
    <row r="6774" spans="1:27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</row>
    <row r="6775" spans="1:27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</row>
    <row r="6776" spans="1:27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</row>
    <row r="6777" spans="1:27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</row>
    <row r="6778" spans="1:27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</row>
    <row r="6779" spans="1:27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</row>
    <row r="6780" spans="1:27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</row>
    <row r="6781" spans="1:27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</row>
    <row r="6782" spans="1:27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</row>
    <row r="6783" spans="1:27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</row>
    <row r="6784" spans="1:27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</row>
    <row r="6785" spans="1:27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</row>
    <row r="6786" spans="1:27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</row>
    <row r="6787" spans="1:27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</row>
    <row r="6788" spans="1:27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</row>
    <row r="6789" spans="1:27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</row>
    <row r="6790" spans="1:27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</row>
    <row r="6791" spans="1:27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</row>
    <row r="6792" spans="1:27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</row>
    <row r="6793" spans="1:27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</row>
    <row r="6794" spans="1:27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</row>
    <row r="6795" spans="1:27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</row>
    <row r="6796" spans="1:27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</row>
    <row r="6797" spans="1:27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</row>
    <row r="6798" spans="1:27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</row>
    <row r="6799" spans="1:27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</row>
    <row r="6800" spans="1:27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</row>
    <row r="6801" spans="1:27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</row>
    <row r="6802" spans="1:27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</row>
    <row r="6803" spans="1:27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</row>
    <row r="6804" spans="1:27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</row>
    <row r="6805" spans="1:27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</row>
    <row r="6806" spans="1:27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</row>
    <row r="6807" spans="1:27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</row>
    <row r="6808" spans="1:27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</row>
    <row r="6809" spans="1:27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</row>
    <row r="6810" spans="1:27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</row>
    <row r="6811" spans="1:27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</row>
    <row r="6812" spans="1:27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</row>
    <row r="6813" spans="1:27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</row>
    <row r="6814" spans="1:27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</row>
    <row r="6815" spans="1:27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</row>
    <row r="6816" spans="1:27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</row>
    <row r="6817" spans="1:27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</row>
    <row r="6818" spans="1:27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</row>
    <row r="6819" spans="1:27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</row>
    <row r="6820" spans="1:27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</row>
    <row r="6821" spans="1:27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</row>
    <row r="6822" spans="1:27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</row>
    <row r="6823" spans="1:27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</row>
    <row r="6824" spans="1:27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</row>
    <row r="6825" spans="1:27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</row>
    <row r="6826" spans="1:27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</row>
    <row r="6827" spans="1:27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</row>
    <row r="6828" spans="1:27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</row>
    <row r="6829" spans="1:27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</row>
    <row r="6830" spans="1:27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</row>
    <row r="6831" spans="1:27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</row>
    <row r="6832" spans="1:27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</row>
    <row r="6833" spans="1:27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</row>
    <row r="6834" spans="1:27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</row>
    <row r="6835" spans="1:27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</row>
    <row r="6836" spans="1:27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</row>
    <row r="6837" spans="1:27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</row>
    <row r="6838" spans="1:27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</row>
    <row r="6839" spans="1:27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</row>
    <row r="6840" spans="1:27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</row>
    <row r="6841" spans="1:27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</row>
    <row r="6842" spans="1:27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</row>
    <row r="6843" spans="1:27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</row>
    <row r="6844" spans="1:27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7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27" t="s">
        <v>3</v>
      </c>
      <c r="F3" s="28"/>
    </row>
    <row r="4" spans="2:13" ht="12.75" customHeight="1" x14ac:dyDescent="0.2">
      <c r="B4" s="1" t="s">
        <v>1</v>
      </c>
      <c r="C4" s="3">
        <v>115200</v>
      </c>
      <c r="E4" s="29"/>
      <c r="F4" s="30"/>
    </row>
    <row r="5" spans="2:13" ht="12.75" customHeight="1" x14ac:dyDescent="0.2">
      <c r="B5" s="1" t="s">
        <v>2</v>
      </c>
      <c r="C5" s="2" t="b">
        <v>1</v>
      </c>
      <c r="E5" s="29"/>
      <c r="F5" s="30"/>
    </row>
    <row r="6" spans="2:13" ht="12.75" customHeight="1" x14ac:dyDescent="0.2">
      <c r="B6" s="1" t="s">
        <v>6</v>
      </c>
      <c r="C6" s="2" t="b">
        <v>1</v>
      </c>
      <c r="E6" s="29"/>
      <c r="F6" s="30"/>
    </row>
    <row r="7" spans="2:13" ht="12.75" customHeight="1" x14ac:dyDescent="0.2">
      <c r="B7" s="1" t="s">
        <v>7</v>
      </c>
      <c r="C7" s="2" t="b">
        <v>1</v>
      </c>
      <c r="E7" s="29"/>
      <c r="F7" s="30"/>
      <c r="M7" s="1"/>
    </row>
    <row r="8" spans="2:13" ht="12.75" customHeight="1" x14ac:dyDescent="0.2">
      <c r="B8" s="1" t="s">
        <v>8</v>
      </c>
      <c r="C8" s="2" t="b">
        <v>0</v>
      </c>
      <c r="E8" s="29"/>
      <c r="F8" s="30"/>
      <c r="L8" s="1"/>
      <c r="M8" s="1"/>
    </row>
    <row r="9" spans="2:13" ht="12.75" customHeight="1" x14ac:dyDescent="0.2">
      <c r="B9" s="1" t="s">
        <v>4</v>
      </c>
      <c r="C9" s="3" t="s">
        <v>5</v>
      </c>
      <c r="E9" s="29"/>
      <c r="F9" s="30"/>
      <c r="M9" s="1"/>
    </row>
    <row r="10" spans="2:13" ht="13.5" customHeight="1" x14ac:dyDescent="0.2">
      <c r="B10" s="1" t="s">
        <v>10</v>
      </c>
      <c r="C10" s="2" t="b">
        <v>1</v>
      </c>
      <c r="E10" s="29"/>
      <c r="F10" s="30"/>
    </row>
    <row r="11" spans="2:13" ht="13.5" customHeight="1" x14ac:dyDescent="0.2">
      <c r="B11" s="1" t="s">
        <v>9</v>
      </c>
      <c r="C11" s="2" t="b">
        <v>1</v>
      </c>
      <c r="E11" s="29"/>
      <c r="F11" s="30"/>
    </row>
    <row r="12" spans="2:13" ht="12.75" customHeight="1" x14ac:dyDescent="0.2">
      <c r="B12" s="1" t="s">
        <v>11</v>
      </c>
      <c r="C12" s="2" t="b">
        <v>1</v>
      </c>
      <c r="E12" s="29"/>
      <c r="F12" s="30"/>
    </row>
    <row r="13" spans="2:13" ht="12.75" customHeight="1" x14ac:dyDescent="0.2">
      <c r="B13" s="1" t="s">
        <v>12</v>
      </c>
      <c r="C13" s="2" t="b">
        <v>1</v>
      </c>
      <c r="E13" s="29"/>
      <c r="F13" s="30"/>
    </row>
    <row r="14" spans="2:13" ht="13.5" customHeight="1" x14ac:dyDescent="0.2">
      <c r="B14" s="1" t="s">
        <v>13</v>
      </c>
      <c r="C14" s="2">
        <v>529.25</v>
      </c>
      <c r="E14" s="29"/>
      <c r="F14" s="30"/>
    </row>
    <row r="15" spans="2:13" x14ac:dyDescent="0.2">
      <c r="B15" s="1" t="s">
        <v>14</v>
      </c>
      <c r="C15" s="3">
        <v>1024</v>
      </c>
      <c r="E15" s="29"/>
      <c r="F15" s="30"/>
    </row>
    <row r="16" spans="2:13" x14ac:dyDescent="0.2">
      <c r="B16" s="1" t="s">
        <v>15</v>
      </c>
      <c r="C16" s="3">
        <v>1024</v>
      </c>
      <c r="E16" s="29"/>
      <c r="F16" s="30"/>
    </row>
    <row r="17" spans="2:6" x14ac:dyDescent="0.2">
      <c r="B17" s="1" t="s">
        <v>16</v>
      </c>
      <c r="C17" s="3">
        <v>1024</v>
      </c>
      <c r="E17" s="29"/>
      <c r="F17" s="30"/>
    </row>
    <row r="18" spans="2:6" ht="13.5" thickBot="1" x14ac:dyDescent="0.25">
      <c r="B18" s="1" t="s">
        <v>17</v>
      </c>
      <c r="C18" s="3">
        <v>64</v>
      </c>
      <c r="E18" s="31"/>
      <c r="F18" s="3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2024-11-27T21:43:01Z</dcterms:modified>
</cp:coreProperties>
</file>