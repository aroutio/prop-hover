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28" i="35"/>
  <c r="H229" i="35"/>
  <c r="H230" i="35"/>
  <c r="H231" i="35"/>
  <c r="H232" i="35"/>
  <c r="H233" i="35"/>
  <c r="H234" i="35"/>
  <c r="H235" i="35"/>
  <c r="H236" i="35"/>
  <c r="H237" i="35"/>
  <c r="H238" i="35"/>
  <c r="H239" i="35"/>
  <c r="H240" i="35"/>
  <c r="H241" i="35"/>
  <c r="H242" i="35"/>
  <c r="H243" i="35"/>
  <c r="H244" i="35"/>
  <c r="H245" i="35"/>
  <c r="H246" i="35"/>
  <c r="H247" i="35"/>
  <c r="H248" i="35"/>
  <c r="H249" i="35"/>
  <c r="H250" i="35"/>
  <c r="H251" i="35"/>
  <c r="H252" i="35"/>
  <c r="H253" i="35"/>
  <c r="H254" i="35"/>
  <c r="H255" i="35"/>
  <c r="H256" i="35"/>
  <c r="H257" i="35"/>
  <c r="H258" i="35"/>
  <c r="H259" i="35"/>
  <c r="H260" i="35"/>
  <c r="H261" i="35"/>
  <c r="H262" i="35"/>
  <c r="H263" i="35"/>
  <c r="H264" i="35"/>
  <c r="H265" i="35"/>
  <c r="H266" i="35"/>
  <c r="H267" i="35"/>
  <c r="H268" i="35"/>
  <c r="H269" i="35"/>
  <c r="H270" i="35"/>
  <c r="H271" i="35"/>
  <c r="H272" i="35"/>
  <c r="H273" i="35"/>
  <c r="H274" i="35"/>
  <c r="H275" i="35"/>
  <c r="H276" i="35"/>
  <c r="H277" i="35"/>
  <c r="H278" i="35"/>
  <c r="H279" i="35"/>
  <c r="H280" i="35"/>
  <c r="H281" i="35"/>
  <c r="H282" i="35"/>
  <c r="H283" i="35"/>
  <c r="H284" i="35"/>
  <c r="H285" i="35"/>
  <c r="H286" i="35"/>
  <c r="H287" i="35"/>
  <c r="H288" i="35"/>
  <c r="H289" i="35"/>
  <c r="H290" i="35"/>
  <c r="H291" i="35"/>
  <c r="H292" i="35"/>
  <c r="H293" i="35"/>
  <c r="H294" i="35"/>
  <c r="H295" i="35"/>
  <c r="H296" i="35"/>
  <c r="H297" i="35"/>
  <c r="H298" i="35"/>
  <c r="H299" i="35"/>
  <c r="H300" i="35"/>
  <c r="H301" i="35"/>
  <c r="H302" i="35"/>
  <c r="H303" i="35"/>
  <c r="H304" i="35"/>
  <c r="H305" i="35"/>
  <c r="H306" i="35"/>
  <c r="H307" i="35"/>
  <c r="H308" i="35"/>
  <c r="H309" i="35"/>
  <c r="H310" i="35"/>
  <c r="H311" i="35"/>
  <c r="H312" i="35"/>
  <c r="H313" i="35"/>
  <c r="H314" i="35"/>
  <c r="H315" i="35"/>
  <c r="H316" i="35"/>
  <c r="H317" i="35"/>
  <c r="H318" i="35"/>
  <c r="H319" i="35"/>
  <c r="H320" i="35"/>
  <c r="H321" i="35"/>
  <c r="H322" i="35"/>
  <c r="H323" i="35"/>
  <c r="H324" i="35"/>
  <c r="H325" i="35"/>
  <c r="H326" i="35"/>
  <c r="H327" i="35"/>
  <c r="H328" i="35"/>
  <c r="H329" i="35"/>
  <c r="H330" i="35"/>
  <c r="H331" i="35"/>
  <c r="H332" i="35"/>
  <c r="H2" i="35"/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<sst xmlns="http://schemas.openxmlformats.org/spreadsheetml/2006/main" count="37" uniqueCount="37">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</sst>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21</c:v>
                </c:pt>
                <c:pt idx="61">
                  <c:v>21</c:v>
                </c:pt>
                <c:pt idx="62">
                  <c:v>22</c:v>
                </c:pt>
                <c:pt idx="63">
                  <c:v>22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24</c:v>
                </c:pt>
                <c:pt idx="68">
                  <c:v>24</c:v>
                </c:pt>
                <c:pt idx="69">
                  <c:v>25</c:v>
                </c:pt>
                <c:pt idx="70">
                  <c:v>25</c:v>
                </c:pt>
                <c:pt idx="71">
                  <c:v>26</c:v>
                </c:pt>
                <c:pt idx="72">
                  <c:v>27</c:v>
                </c:pt>
                <c:pt idx="73">
                  <c:v>27</c:v>
                </c:pt>
                <c:pt idx="74">
                  <c:v>28</c:v>
                </c:pt>
                <c:pt idx="75">
                  <c:v>28</c:v>
                </c:pt>
                <c:pt idx="76">
                  <c:v>29</c:v>
                </c:pt>
                <c:pt idx="77">
                  <c:v>30</c:v>
                </c:pt>
                <c:pt idx="78">
                  <c:v>30</c:v>
                </c:pt>
                <c:pt idx="79">
                  <c:v>31</c:v>
                </c:pt>
                <c:pt idx="80">
                  <c:v>32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34</c:v>
                </c:pt>
                <c:pt idx="85">
                  <c:v>35</c:v>
                </c:pt>
                <c:pt idx="86">
                  <c:v>36</c:v>
                </c:pt>
                <c:pt idx="87">
                  <c:v>37</c:v>
                </c:pt>
                <c:pt idx="88">
                  <c:v>37</c:v>
                </c:pt>
                <c:pt idx="89">
                  <c:v>38</c:v>
                </c:pt>
                <c:pt idx="90">
                  <c:v>38</c:v>
                </c:pt>
                <c:pt idx="91">
                  <c:v>39</c:v>
                </c:pt>
                <c:pt idx="92">
                  <c:v>40</c:v>
                </c:pt>
                <c:pt idx="93">
                  <c:v>41</c:v>
                </c:pt>
                <c:pt idx="94">
                  <c:v>41</c:v>
                </c:pt>
                <c:pt idx="95">
                  <c:v>42</c:v>
                </c:pt>
                <c:pt idx="96">
                  <c:v>42</c:v>
                </c:pt>
                <c:pt idx="97">
                  <c:v>43</c:v>
                </c:pt>
                <c:pt idx="98">
                  <c:v>43</c:v>
                </c:pt>
                <c:pt idx="99">
                  <c:v>44</c:v>
                </c:pt>
                <c:pt idx="100">
                  <c:v>46</c:v>
                </c:pt>
                <c:pt idx="101">
                  <c:v>46</c:v>
                </c:pt>
                <c:pt idx="102">
                  <c:v>46</c:v>
                </c:pt>
                <c:pt idx="103">
                  <c:v>47</c:v>
                </c:pt>
                <c:pt idx="104">
                  <c:v>48</c:v>
                </c:pt>
                <c:pt idx="105">
                  <c:v>48</c:v>
                </c:pt>
                <c:pt idx="106">
                  <c:v>48</c:v>
                </c:pt>
                <c:pt idx="107">
                  <c:v>45</c:v>
                </c:pt>
                <c:pt idx="108">
                  <c:v>47</c:v>
                </c:pt>
                <c:pt idx="109">
                  <c:v>47</c:v>
                </c:pt>
                <c:pt idx="110">
                  <c:v>45</c:v>
                </c:pt>
                <c:pt idx="111">
                  <c:v>47</c:v>
                </c:pt>
                <c:pt idx="112">
                  <c:v>48</c:v>
                </c:pt>
                <c:pt idx="113">
                  <c:v>50</c:v>
                </c:pt>
                <c:pt idx="114">
                  <c:v>50</c:v>
                </c:pt>
                <c:pt idx="115">
                  <c:v>51</c:v>
                </c:pt>
                <c:pt idx="116">
                  <c:v>55</c:v>
                </c:pt>
                <c:pt idx="117">
                  <c:v>56</c:v>
                </c:pt>
                <c:pt idx="118">
                  <c:v>50</c:v>
                </c:pt>
                <c:pt idx="119">
                  <c:v>51</c:v>
                </c:pt>
                <c:pt idx="120">
                  <c:v>53</c:v>
                </c:pt>
                <c:pt idx="121">
                  <c:v>53</c:v>
                </c:pt>
                <c:pt idx="122">
                  <c:v>54</c:v>
                </c:pt>
                <c:pt idx="123">
                  <c:v>55</c:v>
                </c:pt>
                <c:pt idx="124">
                  <c:v>56</c:v>
                </c:pt>
                <c:pt idx="125">
                  <c:v>57</c:v>
                </c:pt>
                <c:pt idx="126">
                  <c:v>51</c:v>
                </c:pt>
                <c:pt idx="127">
                  <c:v>55</c:v>
                </c:pt>
                <c:pt idx="128">
                  <c:v>57</c:v>
                </c:pt>
                <c:pt idx="129">
                  <c:v>56</c:v>
                </c:pt>
                <c:pt idx="130">
                  <c:v>58</c:v>
                </c:pt>
                <c:pt idx="131">
                  <c:v>59</c:v>
                </c:pt>
                <c:pt idx="132">
                  <c:v>60</c:v>
                </c:pt>
                <c:pt idx="133">
                  <c:v>61</c:v>
                </c:pt>
                <c:pt idx="134">
                  <c:v>62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64</c:v>
                </c:pt>
                <c:pt idx="140">
                  <c:v>64</c:v>
                </c:pt>
                <c:pt idx="141">
                  <c:v>61</c:v>
                </c:pt>
                <c:pt idx="142">
                  <c:v>57</c:v>
                </c:pt>
                <c:pt idx="143">
                  <c:v>54</c:v>
                </c:pt>
                <c:pt idx="144">
                  <c:v>58</c:v>
                </c:pt>
                <c:pt idx="145">
                  <c:v>61</c:v>
                </c:pt>
                <c:pt idx="146">
                  <c:v>63</c:v>
                </c:pt>
                <c:pt idx="147">
                  <c:v>64</c:v>
                </c:pt>
                <c:pt idx="148">
                  <c:v>65</c:v>
                </c:pt>
                <c:pt idx="149">
                  <c:v>66</c:v>
                </c:pt>
                <c:pt idx="150">
                  <c:v>67</c:v>
                </c:pt>
                <c:pt idx="151">
                  <c:v>67</c:v>
                </c:pt>
                <c:pt idx="152">
                  <c:v>67</c:v>
                </c:pt>
                <c:pt idx="153">
                  <c:v>67</c:v>
                </c:pt>
                <c:pt idx="154">
                  <c:v>65</c:v>
                </c:pt>
                <c:pt idx="155">
                  <c:v>67</c:v>
                </c:pt>
                <c:pt idx="156">
                  <c:v>68</c:v>
                </c:pt>
                <c:pt idx="157">
                  <c:v>69</c:v>
                </c:pt>
                <c:pt idx="158">
                  <c:v>70</c:v>
                </c:pt>
                <c:pt idx="159">
                  <c:v>74</c:v>
                </c:pt>
                <c:pt idx="160">
                  <c:v>75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72</c:v>
                </c:pt>
                <c:pt idx="165">
                  <c:v>74</c:v>
                </c:pt>
                <c:pt idx="166">
                  <c:v>73</c:v>
                </c:pt>
                <c:pt idx="167">
                  <c:v>72</c:v>
                </c:pt>
                <c:pt idx="168">
                  <c:v>72</c:v>
                </c:pt>
                <c:pt idx="169">
                  <c:v>70</c:v>
                </c:pt>
                <c:pt idx="170">
                  <c:v>66</c:v>
                </c:pt>
                <c:pt idx="171">
                  <c:v>61</c:v>
                </c:pt>
                <c:pt idx="172">
                  <c:v>59</c:v>
                </c:pt>
                <c:pt idx="173">
                  <c:v>56</c:v>
                </c:pt>
                <c:pt idx="174">
                  <c:v>63</c:v>
                </c:pt>
                <c:pt idx="175">
                  <c:v>68</c:v>
                </c:pt>
                <c:pt idx="176">
                  <c:v>71</c:v>
                </c:pt>
                <c:pt idx="177">
                  <c:v>70</c:v>
                </c:pt>
                <c:pt idx="178">
                  <c:v>73</c:v>
                </c:pt>
                <c:pt idx="179">
                  <c:v>74</c:v>
                </c:pt>
                <c:pt idx="180">
                  <c:v>76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75</c:v>
                </c:pt>
                <c:pt idx="185">
                  <c:v>73</c:v>
                </c:pt>
                <c:pt idx="186">
                  <c:v>65</c:v>
                </c:pt>
                <c:pt idx="187">
                  <c:v>65</c:v>
                </c:pt>
                <c:pt idx="188">
                  <c:v>64</c:v>
                </c:pt>
                <c:pt idx="189">
                  <c:v>63</c:v>
                </c:pt>
                <c:pt idx="190">
                  <c:v>69</c:v>
                </c:pt>
                <c:pt idx="191">
                  <c:v>73</c:v>
                </c:pt>
                <c:pt idx="192">
                  <c:v>71</c:v>
                </c:pt>
                <c:pt idx="193">
                  <c:v>74</c:v>
                </c:pt>
                <c:pt idx="194">
                  <c:v>77</c:v>
                </c:pt>
                <c:pt idx="195">
                  <c:v>79</c:v>
                </c:pt>
                <c:pt idx="196">
                  <c:v>65</c:v>
                </c:pt>
                <c:pt idx="197">
                  <c:v>71</c:v>
                </c:pt>
                <c:pt idx="198">
                  <c:v>63</c:v>
                </c:pt>
                <c:pt idx="199">
                  <c:v>69</c:v>
                </c:pt>
                <c:pt idx="200">
                  <c:v>72</c:v>
                </c:pt>
                <c:pt idx="201">
                  <c:v>75</c:v>
                </c:pt>
                <c:pt idx="202">
                  <c:v>77</c:v>
                </c:pt>
                <c:pt idx="203">
                  <c:v>79</c:v>
                </c:pt>
                <c:pt idx="204">
                  <c:v>81</c:v>
                </c:pt>
                <c:pt idx="205">
                  <c:v>82</c:v>
                </c:pt>
                <c:pt idx="206">
                  <c:v>83</c:v>
                </c:pt>
                <c:pt idx="207">
                  <c:v>83</c:v>
                </c:pt>
                <c:pt idx="208">
                  <c:v>84</c:v>
                </c:pt>
                <c:pt idx="209">
                  <c:v>81</c:v>
                </c:pt>
                <c:pt idx="210">
                  <c:v>79</c:v>
                </c:pt>
                <c:pt idx="211">
                  <c:v>76</c:v>
                </c:pt>
                <c:pt idx="212">
                  <c:v>79</c:v>
                </c:pt>
                <c:pt idx="213">
                  <c:v>81</c:v>
                </c:pt>
                <c:pt idx="214">
                  <c:v>82</c:v>
                </c:pt>
                <c:pt idx="215">
                  <c:v>80</c:v>
                </c:pt>
                <c:pt idx="216">
                  <c:v>82</c:v>
                </c:pt>
                <c:pt idx="217">
                  <c:v>80</c:v>
                </c:pt>
                <c:pt idx="218">
                  <c:v>81</c:v>
                </c:pt>
                <c:pt idx="219">
                  <c:v>80</c:v>
                </c:pt>
                <c:pt idx="220">
                  <c:v>78</c:v>
                </c:pt>
                <c:pt idx="221">
                  <c:v>73</c:v>
                </c:pt>
                <c:pt idx="222">
                  <c:v>77</c:v>
                </c:pt>
                <c:pt idx="223">
                  <c:v>81</c:v>
                </c:pt>
                <c:pt idx="224">
                  <c:v>79</c:v>
                </c:pt>
                <c:pt idx="225">
                  <c:v>76</c:v>
                </c:pt>
                <c:pt idx="226">
                  <c:v>79</c:v>
                </c:pt>
                <c:pt idx="227">
                  <c:v>79</c:v>
                </c:pt>
                <c:pt idx="228">
                  <c:v>80</c:v>
                </c:pt>
                <c:pt idx="229">
                  <c:v>78</c:v>
                </c:pt>
                <c:pt idx="230">
                  <c:v>81</c:v>
                </c:pt>
                <c:pt idx="231">
                  <c:v>84</c:v>
                </c:pt>
                <c:pt idx="232">
                  <c:v>85</c:v>
                </c:pt>
                <c:pt idx="233">
                  <c:v>84</c:v>
                </c:pt>
                <c:pt idx="234">
                  <c:v>71</c:v>
                </c:pt>
                <c:pt idx="235">
                  <c:v>76</c:v>
                </c:pt>
                <c:pt idx="236">
                  <c:v>80</c:v>
                </c:pt>
                <c:pt idx="237">
                  <c:v>82</c:v>
                </c:pt>
                <c:pt idx="238">
                  <c:v>79</c:v>
                </c:pt>
                <c:pt idx="239">
                  <c:v>77</c:v>
                </c:pt>
                <c:pt idx="240">
                  <c:v>81</c:v>
                </c:pt>
                <c:pt idx="241">
                  <c:v>83</c:v>
                </c:pt>
                <c:pt idx="242">
                  <c:v>84</c:v>
                </c:pt>
                <c:pt idx="243">
                  <c:v>85</c:v>
                </c:pt>
                <c:pt idx="244">
                  <c:v>69</c:v>
                </c:pt>
                <c:pt idx="245">
                  <c:v>65</c:v>
                </c:pt>
                <c:pt idx="246">
                  <c:v>62</c:v>
                </c:pt>
                <c:pt idx="247">
                  <c:v>71</c:v>
                </c:pt>
                <c:pt idx="248">
                  <c:v>68</c:v>
                </c:pt>
                <c:pt idx="249">
                  <c:v>68</c:v>
                </c:pt>
                <c:pt idx="250">
                  <c:v>69</c:v>
                </c:pt>
                <c:pt idx="251">
                  <c:v>71</c:v>
                </c:pt>
                <c:pt idx="252">
                  <c:v>66</c:v>
                </c:pt>
                <c:pt idx="253">
                  <c:v>68</c:v>
                </c:pt>
                <c:pt idx="254">
                  <c:v>66</c:v>
                </c:pt>
                <c:pt idx="255">
                  <c:v>73</c:v>
                </c:pt>
                <c:pt idx="256">
                  <c:v>78</c:v>
                </c:pt>
                <c:pt idx="257">
                  <c:v>79</c:v>
                </c:pt>
                <c:pt idx="258">
                  <c:v>76</c:v>
                </c:pt>
                <c:pt idx="259">
                  <c:v>80</c:v>
                </c:pt>
                <c:pt idx="260">
                  <c:v>71</c:v>
                </c:pt>
                <c:pt idx="261">
                  <c:v>75</c:v>
                </c:pt>
                <c:pt idx="262">
                  <c:v>70</c:v>
                </c:pt>
                <c:pt idx="263">
                  <c:v>68</c:v>
                </c:pt>
                <c:pt idx="264">
                  <c:v>69</c:v>
                </c:pt>
                <c:pt idx="265">
                  <c:v>63</c:v>
                </c:pt>
                <c:pt idx="266">
                  <c:v>67</c:v>
                </c:pt>
                <c:pt idx="267">
                  <c:v>63</c:v>
                </c:pt>
                <c:pt idx="268">
                  <c:v>71</c:v>
                </c:pt>
                <c:pt idx="269">
                  <c:v>77</c:v>
                </c:pt>
                <c:pt idx="270">
                  <c:v>80</c:v>
                </c:pt>
                <c:pt idx="271">
                  <c:v>74</c:v>
                </c:pt>
                <c:pt idx="272">
                  <c:v>79</c:v>
                </c:pt>
                <c:pt idx="273">
                  <c:v>71</c:v>
                </c:pt>
                <c:pt idx="274">
                  <c:v>67</c:v>
                </c:pt>
                <c:pt idx="275">
                  <c:v>65</c:v>
                </c:pt>
                <c:pt idx="276">
                  <c:v>65</c:v>
                </c:pt>
                <c:pt idx="277">
                  <c:v>66</c:v>
                </c:pt>
                <c:pt idx="278">
                  <c:v>60</c:v>
                </c:pt>
                <c:pt idx="279">
                  <c:v>64</c:v>
                </c:pt>
                <c:pt idx="280">
                  <c:v>67</c:v>
                </c:pt>
                <c:pt idx="281">
                  <c:v>71</c:v>
                </c:pt>
                <c:pt idx="282">
                  <c:v>73</c:v>
                </c:pt>
                <c:pt idx="283">
                  <c:v>77</c:v>
                </c:pt>
                <c:pt idx="284">
                  <c:v>80</c:v>
                </c:pt>
                <c:pt idx="285">
                  <c:v>78</c:v>
                </c:pt>
                <c:pt idx="286">
                  <c:v>81</c:v>
                </c:pt>
                <c:pt idx="287">
                  <c:v>84</c:v>
                </c:pt>
                <c:pt idx="288">
                  <c:v>87</c:v>
                </c:pt>
                <c:pt idx="289">
                  <c:v>88</c:v>
                </c:pt>
                <c:pt idx="290">
                  <c:v>88</c:v>
                </c:pt>
                <c:pt idx="291">
                  <c:v>84</c:v>
                </c:pt>
                <c:pt idx="292">
                  <c:v>90</c:v>
                </c:pt>
                <c:pt idx="293">
                  <c:v>81</c:v>
                </c:pt>
                <c:pt idx="294">
                  <c:v>84</c:v>
                </c:pt>
                <c:pt idx="295">
                  <c:v>85</c:v>
                </c:pt>
                <c:pt idx="296">
                  <c:v>87</c:v>
                </c:pt>
                <c:pt idx="297">
                  <c:v>73</c:v>
                </c:pt>
                <c:pt idx="298">
                  <c:v>74</c:v>
                </c:pt>
                <c:pt idx="299">
                  <c:v>79</c:v>
                </c:pt>
                <c:pt idx="300">
                  <c:v>71</c:v>
                </c:pt>
                <c:pt idx="301">
                  <c:v>68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68</c:v>
                </c:pt>
                <c:pt idx="306">
                  <c:v>68</c:v>
                </c:pt>
                <c:pt idx="307">
                  <c:v>71</c:v>
                </c:pt>
                <c:pt idx="308">
                  <c:v>73</c:v>
                </c:pt>
                <c:pt idx="309">
                  <c:v>71</c:v>
                </c:pt>
                <c:pt idx="310">
                  <c:v>75</c:v>
                </c:pt>
                <c:pt idx="311">
                  <c:v>77</c:v>
                </c:pt>
                <c:pt idx="312">
                  <c:v>79</c:v>
                </c:pt>
                <c:pt idx="313">
                  <c:v>78</c:v>
                </c:pt>
                <c:pt idx="314">
                  <c:v>74</c:v>
                </c:pt>
                <c:pt idx="315">
                  <c:v>79</c:v>
                </c:pt>
                <c:pt idx="316">
                  <c:v>82</c:v>
                </c:pt>
                <c:pt idx="317">
                  <c:v>85</c:v>
                </c:pt>
                <c:pt idx="318">
                  <c:v>86</c:v>
                </c:pt>
                <c:pt idx="319">
                  <c:v>86</c:v>
                </c:pt>
                <c:pt idx="320">
                  <c:v>74</c:v>
                </c:pt>
                <c:pt idx="321">
                  <c:v>76</c:v>
                </c:pt>
                <c:pt idx="322">
                  <c:v>69</c:v>
                </c:pt>
                <c:pt idx="323">
                  <c:v>65</c:v>
                </c:pt>
                <c:pt idx="324">
                  <c:v>63</c:v>
                </c:pt>
                <c:pt idx="325">
                  <c:v>71</c:v>
                </c:pt>
                <c:pt idx="326">
                  <c:v>70</c:v>
                </c:pt>
                <c:pt idx="327">
                  <c:v>70</c:v>
                </c:pt>
                <c:pt idx="328">
                  <c:v>72</c:v>
                </c:pt>
                <c:pt idx="329">
                  <c:v>73</c:v>
                </c:pt>
                <c:pt idx="330">
                  <c:v>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80.7</c:v>
                </c:pt>
                <c:pt idx="43">
                  <c:v>81</c:v>
                </c:pt>
                <c:pt idx="44">
                  <c:v>81.2</c:v>
                </c:pt>
                <c:pt idx="45">
                  <c:v>81.5</c:v>
                </c:pt>
                <c:pt idx="46">
                  <c:v>81.7</c:v>
                </c:pt>
                <c:pt idx="47">
                  <c:v>82</c:v>
                </c:pt>
                <c:pt idx="48">
                  <c:v>82.2</c:v>
                </c:pt>
                <c:pt idx="49">
                  <c:v>82.5</c:v>
                </c:pt>
                <c:pt idx="50">
                  <c:v>82.7</c:v>
                </c:pt>
                <c:pt idx="51">
                  <c:v>83</c:v>
                </c:pt>
                <c:pt idx="52">
                  <c:v>83.2</c:v>
                </c:pt>
                <c:pt idx="53">
                  <c:v>83.5</c:v>
                </c:pt>
                <c:pt idx="54">
                  <c:v>83.7</c:v>
                </c:pt>
                <c:pt idx="55">
                  <c:v>84</c:v>
                </c:pt>
                <c:pt idx="56">
                  <c:v>84.2</c:v>
                </c:pt>
                <c:pt idx="57">
                  <c:v>84.5</c:v>
                </c:pt>
                <c:pt idx="58">
                  <c:v>84.7</c:v>
                </c:pt>
                <c:pt idx="59">
                  <c:v>85</c:v>
                </c:pt>
                <c:pt idx="60">
                  <c:v>85.2</c:v>
                </c:pt>
                <c:pt idx="61">
                  <c:v>85.5</c:v>
                </c:pt>
                <c:pt idx="62">
                  <c:v>85.7</c:v>
                </c:pt>
                <c:pt idx="63">
                  <c:v>86</c:v>
                </c:pt>
                <c:pt idx="64">
                  <c:v>86.2</c:v>
                </c:pt>
                <c:pt idx="65">
                  <c:v>86.5</c:v>
                </c:pt>
                <c:pt idx="66">
                  <c:v>86.7</c:v>
                </c:pt>
                <c:pt idx="67">
                  <c:v>87</c:v>
                </c:pt>
                <c:pt idx="68">
                  <c:v>87.2</c:v>
                </c:pt>
                <c:pt idx="69">
                  <c:v>87.5</c:v>
                </c:pt>
                <c:pt idx="70">
                  <c:v>87.7</c:v>
                </c:pt>
                <c:pt idx="71">
                  <c:v>87.7</c:v>
                </c:pt>
                <c:pt idx="72">
                  <c:v>87.7</c:v>
                </c:pt>
                <c:pt idx="73">
                  <c:v>87.7</c:v>
                </c:pt>
                <c:pt idx="74">
                  <c:v>87.7</c:v>
                </c:pt>
                <c:pt idx="75">
                  <c:v>87.7</c:v>
                </c:pt>
                <c:pt idx="76">
                  <c:v>87.7</c:v>
                </c:pt>
                <c:pt idx="77">
                  <c:v>87.7</c:v>
                </c:pt>
                <c:pt idx="78">
                  <c:v>87.7</c:v>
                </c:pt>
                <c:pt idx="79">
                  <c:v>87.7</c:v>
                </c:pt>
                <c:pt idx="80">
                  <c:v>87.7</c:v>
                </c:pt>
                <c:pt idx="81">
                  <c:v>87.7</c:v>
                </c:pt>
                <c:pt idx="82">
                  <c:v>87.7</c:v>
                </c:pt>
                <c:pt idx="83">
                  <c:v>87.7</c:v>
                </c:pt>
                <c:pt idx="84">
                  <c:v>87.7</c:v>
                </c:pt>
                <c:pt idx="85">
                  <c:v>87.7</c:v>
                </c:pt>
                <c:pt idx="86">
                  <c:v>87.7</c:v>
                </c:pt>
                <c:pt idx="87">
                  <c:v>87.7</c:v>
                </c:pt>
                <c:pt idx="88">
                  <c:v>87.7</c:v>
                </c:pt>
                <c:pt idx="89">
                  <c:v>87.7</c:v>
                </c:pt>
                <c:pt idx="90">
                  <c:v>87.7</c:v>
                </c:pt>
                <c:pt idx="91">
                  <c:v>87.7</c:v>
                </c:pt>
                <c:pt idx="92">
                  <c:v>87.7</c:v>
                </c:pt>
                <c:pt idx="93">
                  <c:v>87.7</c:v>
                </c:pt>
                <c:pt idx="94">
                  <c:v>87.7</c:v>
                </c:pt>
                <c:pt idx="95">
                  <c:v>87.7</c:v>
                </c:pt>
                <c:pt idx="96">
                  <c:v>87.7</c:v>
                </c:pt>
                <c:pt idx="97">
                  <c:v>87.7</c:v>
                </c:pt>
                <c:pt idx="98">
                  <c:v>87.7</c:v>
                </c:pt>
                <c:pt idx="99">
                  <c:v>87.7</c:v>
                </c:pt>
                <c:pt idx="100">
                  <c:v>87.7</c:v>
                </c:pt>
                <c:pt idx="101">
                  <c:v>87.7</c:v>
                </c:pt>
                <c:pt idx="102">
                  <c:v>87.7</c:v>
                </c:pt>
                <c:pt idx="103">
                  <c:v>87.7</c:v>
                </c:pt>
                <c:pt idx="104">
                  <c:v>87.7</c:v>
                </c:pt>
                <c:pt idx="105">
                  <c:v>87.7</c:v>
                </c:pt>
                <c:pt idx="106">
                  <c:v>87.7</c:v>
                </c:pt>
                <c:pt idx="107">
                  <c:v>87.7</c:v>
                </c:pt>
                <c:pt idx="108">
                  <c:v>87.7</c:v>
                </c:pt>
                <c:pt idx="109">
                  <c:v>87.7</c:v>
                </c:pt>
                <c:pt idx="110">
                  <c:v>87.7</c:v>
                </c:pt>
                <c:pt idx="111">
                  <c:v>87.7</c:v>
                </c:pt>
                <c:pt idx="112">
                  <c:v>87.7</c:v>
                </c:pt>
                <c:pt idx="113">
                  <c:v>87.7</c:v>
                </c:pt>
                <c:pt idx="114">
                  <c:v>87.7</c:v>
                </c:pt>
                <c:pt idx="115">
                  <c:v>87.7</c:v>
                </c:pt>
                <c:pt idx="116">
                  <c:v>87.7</c:v>
                </c:pt>
                <c:pt idx="117">
                  <c:v>87.7</c:v>
                </c:pt>
                <c:pt idx="118">
                  <c:v>87.7</c:v>
                </c:pt>
                <c:pt idx="119">
                  <c:v>87.7</c:v>
                </c:pt>
                <c:pt idx="120">
                  <c:v>87.6</c:v>
                </c:pt>
                <c:pt idx="121">
                  <c:v>87.6</c:v>
                </c:pt>
                <c:pt idx="122">
                  <c:v>87.5</c:v>
                </c:pt>
                <c:pt idx="123">
                  <c:v>87.5</c:v>
                </c:pt>
                <c:pt idx="124">
                  <c:v>87.4</c:v>
                </c:pt>
                <c:pt idx="125">
                  <c:v>87.4</c:v>
                </c:pt>
                <c:pt idx="126">
                  <c:v>87.4</c:v>
                </c:pt>
                <c:pt idx="127">
                  <c:v>87.4</c:v>
                </c:pt>
                <c:pt idx="128">
                  <c:v>87.1</c:v>
                </c:pt>
                <c:pt idx="129">
                  <c:v>87.1</c:v>
                </c:pt>
                <c:pt idx="130">
                  <c:v>87</c:v>
                </c:pt>
                <c:pt idx="131">
                  <c:v>87</c:v>
                </c:pt>
                <c:pt idx="132">
                  <c:v>86.9</c:v>
                </c:pt>
                <c:pt idx="133">
                  <c:v>86.9</c:v>
                </c:pt>
                <c:pt idx="134">
                  <c:v>86.8</c:v>
                </c:pt>
                <c:pt idx="135">
                  <c:v>86.8</c:v>
                </c:pt>
                <c:pt idx="136">
                  <c:v>86.7</c:v>
                </c:pt>
                <c:pt idx="137">
                  <c:v>86.7</c:v>
                </c:pt>
                <c:pt idx="138">
                  <c:v>86.6</c:v>
                </c:pt>
                <c:pt idx="139">
                  <c:v>86.6</c:v>
                </c:pt>
                <c:pt idx="140">
                  <c:v>86.5</c:v>
                </c:pt>
                <c:pt idx="141">
                  <c:v>86.5</c:v>
                </c:pt>
                <c:pt idx="142">
                  <c:v>86.5</c:v>
                </c:pt>
                <c:pt idx="143">
                  <c:v>86.5</c:v>
                </c:pt>
                <c:pt idx="144">
                  <c:v>86.5</c:v>
                </c:pt>
                <c:pt idx="145">
                  <c:v>86.5</c:v>
                </c:pt>
                <c:pt idx="146">
                  <c:v>86.5</c:v>
                </c:pt>
                <c:pt idx="147">
                  <c:v>86.5</c:v>
                </c:pt>
                <c:pt idx="148">
                  <c:v>86.5</c:v>
                </c:pt>
                <c:pt idx="149">
                  <c:v>86.5</c:v>
                </c:pt>
                <c:pt idx="150">
                  <c:v>86.5</c:v>
                </c:pt>
                <c:pt idx="151">
                  <c:v>86.5</c:v>
                </c:pt>
                <c:pt idx="152">
                  <c:v>86.5</c:v>
                </c:pt>
                <c:pt idx="153">
                  <c:v>86.5</c:v>
                </c:pt>
                <c:pt idx="154">
                  <c:v>86.5</c:v>
                </c:pt>
                <c:pt idx="155">
                  <c:v>86.5</c:v>
                </c:pt>
                <c:pt idx="156">
                  <c:v>86.5</c:v>
                </c:pt>
                <c:pt idx="157">
                  <c:v>86.5</c:v>
                </c:pt>
                <c:pt idx="158">
                  <c:v>86.5</c:v>
                </c:pt>
                <c:pt idx="159">
                  <c:v>86.5</c:v>
                </c:pt>
                <c:pt idx="160">
                  <c:v>86.5</c:v>
                </c:pt>
                <c:pt idx="161">
                  <c:v>86.5</c:v>
                </c:pt>
                <c:pt idx="162">
                  <c:v>86.5</c:v>
                </c:pt>
                <c:pt idx="163">
                  <c:v>86.5</c:v>
                </c:pt>
                <c:pt idx="164">
                  <c:v>86.5</c:v>
                </c:pt>
                <c:pt idx="165">
                  <c:v>86.5</c:v>
                </c:pt>
                <c:pt idx="166">
                  <c:v>86.5</c:v>
                </c:pt>
                <c:pt idx="167">
                  <c:v>86.5</c:v>
                </c:pt>
                <c:pt idx="168">
                  <c:v>86.5</c:v>
                </c:pt>
                <c:pt idx="169">
                  <c:v>86.5</c:v>
                </c:pt>
                <c:pt idx="170">
                  <c:v>86.5</c:v>
                </c:pt>
                <c:pt idx="171">
                  <c:v>86.5</c:v>
                </c:pt>
                <c:pt idx="172">
                  <c:v>86.5</c:v>
                </c:pt>
                <c:pt idx="173">
                  <c:v>86.5</c:v>
                </c:pt>
                <c:pt idx="174">
                  <c:v>86.5</c:v>
                </c:pt>
                <c:pt idx="175">
                  <c:v>86.5</c:v>
                </c:pt>
                <c:pt idx="176">
                  <c:v>86.5</c:v>
                </c:pt>
                <c:pt idx="177">
                  <c:v>86.5</c:v>
                </c:pt>
                <c:pt idx="178">
                  <c:v>86.5</c:v>
                </c:pt>
                <c:pt idx="179">
                  <c:v>86.5</c:v>
                </c:pt>
                <c:pt idx="180">
                  <c:v>86.5</c:v>
                </c:pt>
                <c:pt idx="181">
                  <c:v>86.5</c:v>
                </c:pt>
                <c:pt idx="182">
                  <c:v>86.5</c:v>
                </c:pt>
                <c:pt idx="183">
                  <c:v>86.5</c:v>
                </c:pt>
                <c:pt idx="184">
                  <c:v>86.5</c:v>
                </c:pt>
                <c:pt idx="185">
                  <c:v>86.5</c:v>
                </c:pt>
                <c:pt idx="186">
                  <c:v>86.5</c:v>
                </c:pt>
                <c:pt idx="187">
                  <c:v>86.5</c:v>
                </c:pt>
                <c:pt idx="188">
                  <c:v>86.5</c:v>
                </c:pt>
                <c:pt idx="189">
                  <c:v>86.5</c:v>
                </c:pt>
                <c:pt idx="190">
                  <c:v>86.5</c:v>
                </c:pt>
                <c:pt idx="191">
                  <c:v>86.5</c:v>
                </c:pt>
                <c:pt idx="192">
                  <c:v>86.5</c:v>
                </c:pt>
                <c:pt idx="193">
                  <c:v>86.5</c:v>
                </c:pt>
                <c:pt idx="194">
                  <c:v>86.5</c:v>
                </c:pt>
                <c:pt idx="195">
                  <c:v>86.5</c:v>
                </c:pt>
                <c:pt idx="196">
                  <c:v>86.5</c:v>
                </c:pt>
                <c:pt idx="197">
                  <c:v>86.5</c:v>
                </c:pt>
                <c:pt idx="198">
                  <c:v>86.5</c:v>
                </c:pt>
                <c:pt idx="199">
                  <c:v>86.5</c:v>
                </c:pt>
                <c:pt idx="200">
                  <c:v>86.5</c:v>
                </c:pt>
                <c:pt idx="201">
                  <c:v>86.5</c:v>
                </c:pt>
                <c:pt idx="202">
                  <c:v>86.5</c:v>
                </c:pt>
                <c:pt idx="203">
                  <c:v>86.5</c:v>
                </c:pt>
                <c:pt idx="204">
                  <c:v>86.5</c:v>
                </c:pt>
                <c:pt idx="205">
                  <c:v>86.5</c:v>
                </c:pt>
                <c:pt idx="206">
                  <c:v>86.5</c:v>
                </c:pt>
                <c:pt idx="207">
                  <c:v>86.5</c:v>
                </c:pt>
                <c:pt idx="208">
                  <c:v>86.5</c:v>
                </c:pt>
                <c:pt idx="209">
                  <c:v>86.5</c:v>
                </c:pt>
                <c:pt idx="210">
                  <c:v>86.5</c:v>
                </c:pt>
                <c:pt idx="211">
                  <c:v>86.5</c:v>
                </c:pt>
                <c:pt idx="212">
                  <c:v>86.5</c:v>
                </c:pt>
                <c:pt idx="213">
                  <c:v>86.5</c:v>
                </c:pt>
                <c:pt idx="214">
                  <c:v>86.5</c:v>
                </c:pt>
                <c:pt idx="215">
                  <c:v>86.5</c:v>
                </c:pt>
                <c:pt idx="216">
                  <c:v>86.5</c:v>
                </c:pt>
                <c:pt idx="217">
                  <c:v>86.5</c:v>
                </c:pt>
                <c:pt idx="218">
                  <c:v>86.5</c:v>
                </c:pt>
                <c:pt idx="219">
                  <c:v>86.5</c:v>
                </c:pt>
                <c:pt idx="220">
                  <c:v>86.5</c:v>
                </c:pt>
                <c:pt idx="221">
                  <c:v>86.5</c:v>
                </c:pt>
                <c:pt idx="222">
                  <c:v>86.5</c:v>
                </c:pt>
                <c:pt idx="223">
                  <c:v>86.5</c:v>
                </c:pt>
                <c:pt idx="224">
                  <c:v>86.5</c:v>
                </c:pt>
                <c:pt idx="225">
                  <c:v>86.5</c:v>
                </c:pt>
                <c:pt idx="226">
                  <c:v>86.5</c:v>
                </c:pt>
                <c:pt idx="227">
                  <c:v>86.5</c:v>
                </c:pt>
                <c:pt idx="228">
                  <c:v>86.5</c:v>
                </c:pt>
                <c:pt idx="229">
                  <c:v>86.5</c:v>
                </c:pt>
                <c:pt idx="230">
                  <c:v>86.5</c:v>
                </c:pt>
                <c:pt idx="231">
                  <c:v>86.5</c:v>
                </c:pt>
                <c:pt idx="232">
                  <c:v>86.5</c:v>
                </c:pt>
                <c:pt idx="233">
                  <c:v>86.5</c:v>
                </c:pt>
                <c:pt idx="234">
                  <c:v>86.5</c:v>
                </c:pt>
                <c:pt idx="235">
                  <c:v>86.5</c:v>
                </c:pt>
                <c:pt idx="236">
                  <c:v>86.5</c:v>
                </c:pt>
                <c:pt idx="237">
                  <c:v>86.5</c:v>
                </c:pt>
                <c:pt idx="238">
                  <c:v>86.5</c:v>
                </c:pt>
                <c:pt idx="239">
                  <c:v>86.5</c:v>
                </c:pt>
                <c:pt idx="240">
                  <c:v>86.5</c:v>
                </c:pt>
                <c:pt idx="241">
                  <c:v>86.5</c:v>
                </c:pt>
                <c:pt idx="242">
                  <c:v>86.5</c:v>
                </c:pt>
                <c:pt idx="243">
                  <c:v>86.5</c:v>
                </c:pt>
                <c:pt idx="244">
                  <c:v>86.5</c:v>
                </c:pt>
                <c:pt idx="245">
                  <c:v>86.5</c:v>
                </c:pt>
                <c:pt idx="246">
                  <c:v>86.5</c:v>
                </c:pt>
                <c:pt idx="247">
                  <c:v>86.5</c:v>
                </c:pt>
                <c:pt idx="248">
                  <c:v>86.5</c:v>
                </c:pt>
                <c:pt idx="249">
                  <c:v>86.5</c:v>
                </c:pt>
                <c:pt idx="250">
                  <c:v>86.5</c:v>
                </c:pt>
                <c:pt idx="251">
                  <c:v>86.5</c:v>
                </c:pt>
                <c:pt idx="252">
                  <c:v>86.5</c:v>
                </c:pt>
                <c:pt idx="253">
                  <c:v>86.5</c:v>
                </c:pt>
                <c:pt idx="254">
                  <c:v>86.5</c:v>
                </c:pt>
                <c:pt idx="255">
                  <c:v>86.5</c:v>
                </c:pt>
                <c:pt idx="256">
                  <c:v>86.5</c:v>
                </c:pt>
                <c:pt idx="257">
                  <c:v>86.5</c:v>
                </c:pt>
                <c:pt idx="258">
                  <c:v>86.5</c:v>
                </c:pt>
                <c:pt idx="259">
                  <c:v>86.5</c:v>
                </c:pt>
                <c:pt idx="260">
                  <c:v>86.5</c:v>
                </c:pt>
                <c:pt idx="261">
                  <c:v>86.5</c:v>
                </c:pt>
                <c:pt idx="262">
                  <c:v>86.5</c:v>
                </c:pt>
                <c:pt idx="263">
                  <c:v>86.5</c:v>
                </c:pt>
                <c:pt idx="264">
                  <c:v>86.5</c:v>
                </c:pt>
                <c:pt idx="265">
                  <c:v>86.5</c:v>
                </c:pt>
                <c:pt idx="266">
                  <c:v>86.5</c:v>
                </c:pt>
                <c:pt idx="267">
                  <c:v>86.5</c:v>
                </c:pt>
                <c:pt idx="268">
                  <c:v>86.5</c:v>
                </c:pt>
                <c:pt idx="269">
                  <c:v>86.5</c:v>
                </c:pt>
                <c:pt idx="270">
                  <c:v>86.5</c:v>
                </c:pt>
                <c:pt idx="271">
                  <c:v>86.5</c:v>
                </c:pt>
                <c:pt idx="272">
                  <c:v>86.5</c:v>
                </c:pt>
                <c:pt idx="273">
                  <c:v>86.5</c:v>
                </c:pt>
                <c:pt idx="274">
                  <c:v>86.5</c:v>
                </c:pt>
                <c:pt idx="275">
                  <c:v>86.5</c:v>
                </c:pt>
                <c:pt idx="276">
                  <c:v>86.5</c:v>
                </c:pt>
                <c:pt idx="277">
                  <c:v>86.5</c:v>
                </c:pt>
                <c:pt idx="278">
                  <c:v>86.5</c:v>
                </c:pt>
                <c:pt idx="279">
                  <c:v>86.5</c:v>
                </c:pt>
                <c:pt idx="280">
                  <c:v>86.5</c:v>
                </c:pt>
                <c:pt idx="281">
                  <c:v>86.5</c:v>
                </c:pt>
                <c:pt idx="282">
                  <c:v>86.5</c:v>
                </c:pt>
                <c:pt idx="283">
                  <c:v>86.5</c:v>
                </c:pt>
                <c:pt idx="284">
                  <c:v>86.5</c:v>
                </c:pt>
                <c:pt idx="285">
                  <c:v>86.5</c:v>
                </c:pt>
                <c:pt idx="286">
                  <c:v>86.5</c:v>
                </c:pt>
                <c:pt idx="287">
                  <c:v>86.5</c:v>
                </c:pt>
                <c:pt idx="288">
                  <c:v>86.5</c:v>
                </c:pt>
                <c:pt idx="289">
                  <c:v>86.5</c:v>
                </c:pt>
                <c:pt idx="290">
                  <c:v>86.5</c:v>
                </c:pt>
                <c:pt idx="291">
                  <c:v>86.5</c:v>
                </c:pt>
                <c:pt idx="292">
                  <c:v>86.5</c:v>
                </c:pt>
                <c:pt idx="293">
                  <c:v>86.5</c:v>
                </c:pt>
                <c:pt idx="294">
                  <c:v>86.5</c:v>
                </c:pt>
                <c:pt idx="295">
                  <c:v>86.5</c:v>
                </c:pt>
                <c:pt idx="296">
                  <c:v>86.5</c:v>
                </c:pt>
                <c:pt idx="297">
                  <c:v>86.5</c:v>
                </c:pt>
                <c:pt idx="298">
                  <c:v>86.5</c:v>
                </c:pt>
                <c:pt idx="299">
                  <c:v>86.5</c:v>
                </c:pt>
                <c:pt idx="300">
                  <c:v>86.5</c:v>
                </c:pt>
                <c:pt idx="301">
                  <c:v>86.5</c:v>
                </c:pt>
                <c:pt idx="302">
                  <c:v>86.5</c:v>
                </c:pt>
                <c:pt idx="303">
                  <c:v>86.5</c:v>
                </c:pt>
                <c:pt idx="304">
                  <c:v>86.5</c:v>
                </c:pt>
                <c:pt idx="305">
                  <c:v>86.5</c:v>
                </c:pt>
                <c:pt idx="306">
                  <c:v>86.5</c:v>
                </c:pt>
                <c:pt idx="307">
                  <c:v>86.5</c:v>
                </c:pt>
                <c:pt idx="308">
                  <c:v>86.5</c:v>
                </c:pt>
                <c:pt idx="309">
                  <c:v>86.5</c:v>
                </c:pt>
                <c:pt idx="310">
                  <c:v>86.5</c:v>
                </c:pt>
                <c:pt idx="311">
                  <c:v>86.5</c:v>
                </c:pt>
                <c:pt idx="312">
                  <c:v>86.5</c:v>
                </c:pt>
                <c:pt idx="313">
                  <c:v>86.5</c:v>
                </c:pt>
                <c:pt idx="314">
                  <c:v>86.5</c:v>
                </c:pt>
                <c:pt idx="315">
                  <c:v>86.5</c:v>
                </c:pt>
                <c:pt idx="316">
                  <c:v>86.5</c:v>
                </c:pt>
                <c:pt idx="317">
                  <c:v>86.5</c:v>
                </c:pt>
                <c:pt idx="318">
                  <c:v>86.5</c:v>
                </c:pt>
                <c:pt idx="319">
                  <c:v>86.5</c:v>
                </c:pt>
                <c:pt idx="320">
                  <c:v>86.5</c:v>
                </c:pt>
                <c:pt idx="321">
                  <c:v>86.5</c:v>
                </c:pt>
                <c:pt idx="322">
                  <c:v>86.5</c:v>
                </c:pt>
                <c:pt idx="323">
                  <c:v>86.5</c:v>
                </c:pt>
                <c:pt idx="324">
                  <c:v>86.5</c:v>
                </c:pt>
                <c:pt idx="325">
                  <c:v>86.5</c:v>
                </c:pt>
                <c:pt idx="326">
                  <c:v>86.5</c:v>
                </c:pt>
                <c:pt idx="327">
                  <c:v>86.5</c:v>
                </c:pt>
                <c:pt idx="328">
                  <c:v>86.5</c:v>
                </c:pt>
                <c:pt idx="329">
                  <c:v>86.5</c:v>
                </c:pt>
                <c:pt idx="330">
                  <c:v>86.5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1425472"/>
        <c:axId val="-1011423840"/>
      </c:scatterChart>
      <c:valAx>
        <c:axId val="-101142547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1423840"/>
        <c:crosses val="autoZero"/>
        <c:crossBetween val="midCat"/>
      </c:valAx>
      <c:valAx>
        <c:axId val="-101142384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142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88" activePane="bottomLeft" state="frozen"/>
      <selection pane="bottomLeft" activeCell="C2" sqref="C2:C33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20">
        <v>30153</v>
      </c>
      <c r="B2" s="20">
        <v>4</v>
      </c>
      <c r="C2" s="20">
        <v>702</v>
      </c>
      <c r="D2" s="20">
        <v>2695.43</v>
      </c>
      <c r="E2" s="20">
        <v>702</v>
      </c>
      <c r="F2" s="20">
        <v>702</v>
      </c>
      <c r="G2" s="20">
        <v>700</v>
      </c>
      <c r="H2" s="20">
        <v>56</v>
      </c>
      <c r="I2" s="21">
        <v>1.86</v>
      </c>
      <c r="J2" s="21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20">
        <v>30203</v>
      </c>
      <c r="B3" s="20">
        <v>8</v>
      </c>
      <c r="C3" s="20">
        <v>705</v>
      </c>
      <c r="D3" s="20">
        <v>2176</v>
      </c>
      <c r="E3" s="20">
        <v>705</v>
      </c>
      <c r="F3" s="20">
        <v>705</v>
      </c>
      <c r="G3" s="20">
        <v>700</v>
      </c>
      <c r="H3" s="20">
        <v>52</v>
      </c>
      <c r="I3" s="20">
        <v>-80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">
      <c r="A4" s="20">
        <v>30253</v>
      </c>
      <c r="B4" s="20">
        <v>10</v>
      </c>
      <c r="C4" s="20">
        <v>707</v>
      </c>
      <c r="D4" s="20">
        <v>2240</v>
      </c>
      <c r="E4" s="20">
        <v>707</v>
      </c>
      <c r="F4" s="20">
        <v>707</v>
      </c>
      <c r="G4" s="20">
        <v>700</v>
      </c>
      <c r="H4" s="20">
        <v>50</v>
      </c>
      <c r="I4" s="20">
        <v>-40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">
      <c r="A5" s="20">
        <v>30303</v>
      </c>
      <c r="B5" s="20">
        <v>12</v>
      </c>
      <c r="C5" s="20">
        <v>710</v>
      </c>
      <c r="D5" s="20">
        <v>2144</v>
      </c>
      <c r="E5" s="21">
        <v>710</v>
      </c>
      <c r="F5" s="20">
        <v>710</v>
      </c>
      <c r="G5" s="20">
        <v>700</v>
      </c>
      <c r="H5" s="20">
        <v>48</v>
      </c>
      <c r="I5" s="20">
        <v>-40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">
      <c r="A6" s="20">
        <v>30353</v>
      </c>
      <c r="B6" s="20">
        <v>13</v>
      </c>
      <c r="C6" s="22">
        <v>712</v>
      </c>
      <c r="D6" s="20">
        <v>2176</v>
      </c>
      <c r="E6" s="20">
        <v>712</v>
      </c>
      <c r="F6" s="20">
        <v>712</v>
      </c>
      <c r="G6" s="20">
        <v>700</v>
      </c>
      <c r="H6" s="20">
        <v>47</v>
      </c>
      <c r="I6" s="20">
        <v>-20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20">
        <v>30403</v>
      </c>
      <c r="B7" s="20">
        <v>14</v>
      </c>
      <c r="C7" s="20">
        <v>715</v>
      </c>
      <c r="D7" s="20">
        <v>2128</v>
      </c>
      <c r="E7" s="20">
        <v>715</v>
      </c>
      <c r="F7" s="20">
        <v>715</v>
      </c>
      <c r="G7" s="20">
        <v>700</v>
      </c>
      <c r="H7" s="20">
        <v>46</v>
      </c>
      <c r="I7" s="20">
        <v>-20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20">
        <v>30453</v>
      </c>
      <c r="B8" s="20">
        <v>14</v>
      </c>
      <c r="C8" s="20">
        <v>717</v>
      </c>
      <c r="D8" s="20">
        <v>2208</v>
      </c>
      <c r="E8" s="20">
        <v>717</v>
      </c>
      <c r="F8" s="20">
        <v>717</v>
      </c>
      <c r="G8" s="20">
        <v>700</v>
      </c>
      <c r="H8" s="20">
        <v>46</v>
      </c>
      <c r="I8" s="20">
        <v>0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20">
        <v>30503</v>
      </c>
      <c r="B9" s="20">
        <v>15</v>
      </c>
      <c r="C9" s="21">
        <v>720</v>
      </c>
      <c r="D9" s="20">
        <v>2080</v>
      </c>
      <c r="E9" s="20">
        <v>720</v>
      </c>
      <c r="F9" s="20">
        <v>720</v>
      </c>
      <c r="G9" s="20">
        <v>700</v>
      </c>
      <c r="H9" s="20">
        <v>45</v>
      </c>
      <c r="I9" s="20">
        <v>-20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20">
        <v>30553</v>
      </c>
      <c r="B10" s="20">
        <v>15</v>
      </c>
      <c r="C10" s="20">
        <v>722</v>
      </c>
      <c r="D10" s="20">
        <v>2160</v>
      </c>
      <c r="E10" s="20">
        <v>722</v>
      </c>
      <c r="F10" s="20">
        <v>722</v>
      </c>
      <c r="G10" s="20">
        <v>700</v>
      </c>
      <c r="H10" s="20">
        <v>45</v>
      </c>
      <c r="I10" s="20">
        <v>0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20">
        <v>30603</v>
      </c>
      <c r="B11" s="20">
        <v>15</v>
      </c>
      <c r="C11" s="22">
        <v>725</v>
      </c>
      <c r="D11" s="20">
        <v>2160</v>
      </c>
      <c r="E11" s="20">
        <v>725</v>
      </c>
      <c r="F11" s="20">
        <v>725</v>
      </c>
      <c r="G11" s="20">
        <v>700</v>
      </c>
      <c r="H11" s="20">
        <v>45</v>
      </c>
      <c r="I11" s="20">
        <v>0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20">
        <v>30653</v>
      </c>
      <c r="B12" s="20">
        <v>15</v>
      </c>
      <c r="C12" s="20">
        <v>727</v>
      </c>
      <c r="D12" s="20">
        <v>2160</v>
      </c>
      <c r="E12" s="20">
        <v>727</v>
      </c>
      <c r="F12" s="20">
        <v>727</v>
      </c>
      <c r="G12" s="20">
        <v>700</v>
      </c>
      <c r="H12" s="20">
        <v>45</v>
      </c>
      <c r="I12" s="20">
        <v>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20">
        <v>30703</v>
      </c>
      <c r="B13" s="21">
        <v>15</v>
      </c>
      <c r="C13" s="20">
        <v>730</v>
      </c>
      <c r="D13" s="20">
        <v>2160</v>
      </c>
      <c r="E13" s="20">
        <v>730</v>
      </c>
      <c r="F13" s="20">
        <v>730</v>
      </c>
      <c r="G13" s="20">
        <v>700</v>
      </c>
      <c r="H13" s="20">
        <v>45</v>
      </c>
      <c r="I13" s="20">
        <v>0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20">
        <v>30753</v>
      </c>
      <c r="B14" s="20">
        <v>15</v>
      </c>
      <c r="C14" s="20">
        <v>732</v>
      </c>
      <c r="D14" s="20">
        <v>2160</v>
      </c>
      <c r="E14" s="20">
        <v>732</v>
      </c>
      <c r="F14" s="20">
        <v>732</v>
      </c>
      <c r="G14" s="20">
        <v>700</v>
      </c>
      <c r="H14" s="20">
        <v>45</v>
      </c>
      <c r="I14" s="20">
        <v>0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20">
        <v>30803</v>
      </c>
      <c r="B15" s="20">
        <v>15</v>
      </c>
      <c r="C15" s="20">
        <v>735</v>
      </c>
      <c r="D15" s="20">
        <v>2160</v>
      </c>
      <c r="E15" s="20">
        <v>735</v>
      </c>
      <c r="F15" s="20">
        <v>735</v>
      </c>
      <c r="G15" s="20">
        <v>700</v>
      </c>
      <c r="H15" s="20">
        <v>45</v>
      </c>
      <c r="I15" s="20">
        <v>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20">
        <v>30853</v>
      </c>
      <c r="B16" s="20">
        <v>15</v>
      </c>
      <c r="C16" s="20">
        <v>737</v>
      </c>
      <c r="D16" s="20">
        <v>2160</v>
      </c>
      <c r="E16" s="20">
        <v>737</v>
      </c>
      <c r="F16" s="20">
        <v>737</v>
      </c>
      <c r="G16" s="20">
        <v>700</v>
      </c>
      <c r="H16" s="20">
        <v>45</v>
      </c>
      <c r="I16" s="20">
        <v>0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20">
        <v>30903</v>
      </c>
      <c r="B17" s="20">
        <v>15</v>
      </c>
      <c r="C17" s="20">
        <v>740</v>
      </c>
      <c r="D17" s="20">
        <v>2160</v>
      </c>
      <c r="E17" s="20">
        <v>740</v>
      </c>
      <c r="F17" s="20">
        <v>740</v>
      </c>
      <c r="G17" s="20">
        <v>700</v>
      </c>
      <c r="H17" s="20">
        <v>45</v>
      </c>
      <c r="I17" s="20">
        <v>0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20">
        <v>30953</v>
      </c>
      <c r="B18" s="20">
        <v>15</v>
      </c>
      <c r="C18" s="20">
        <v>742</v>
      </c>
      <c r="D18" s="20">
        <v>2160</v>
      </c>
      <c r="E18" s="20">
        <v>742</v>
      </c>
      <c r="F18" s="20">
        <v>742</v>
      </c>
      <c r="G18" s="20">
        <v>700</v>
      </c>
      <c r="H18" s="20">
        <v>45</v>
      </c>
      <c r="I18" s="20">
        <v>0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20">
        <v>31003</v>
      </c>
      <c r="B19" s="20">
        <v>15</v>
      </c>
      <c r="C19" s="20">
        <v>745</v>
      </c>
      <c r="D19" s="20">
        <v>2160</v>
      </c>
      <c r="E19" s="21">
        <v>745</v>
      </c>
      <c r="F19" s="20">
        <v>745</v>
      </c>
      <c r="G19" s="20">
        <v>700</v>
      </c>
      <c r="H19" s="20">
        <v>45</v>
      </c>
      <c r="I19" s="20">
        <v>0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20">
        <v>31053</v>
      </c>
      <c r="B20" s="20">
        <v>14</v>
      </c>
      <c r="C20" s="21">
        <v>747</v>
      </c>
      <c r="D20" s="20">
        <v>2288</v>
      </c>
      <c r="E20" s="20">
        <v>747</v>
      </c>
      <c r="F20" s="20">
        <v>747</v>
      </c>
      <c r="G20" s="20">
        <v>700</v>
      </c>
      <c r="H20" s="20">
        <v>46</v>
      </c>
      <c r="I20" s="20">
        <v>20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">
      <c r="A21" s="20">
        <v>31103</v>
      </c>
      <c r="B21" s="20">
        <v>14</v>
      </c>
      <c r="C21" s="20">
        <v>750</v>
      </c>
      <c r="D21" s="20">
        <v>2208</v>
      </c>
      <c r="E21" s="20">
        <v>750</v>
      </c>
      <c r="F21" s="20">
        <v>750</v>
      </c>
      <c r="G21" s="20">
        <v>700</v>
      </c>
      <c r="H21" s="20">
        <v>46</v>
      </c>
      <c r="I21" s="20">
        <v>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">
      <c r="A22" s="20">
        <v>31153</v>
      </c>
      <c r="B22" s="20">
        <v>14</v>
      </c>
      <c r="C22" s="20">
        <v>752</v>
      </c>
      <c r="D22" s="20">
        <v>2208</v>
      </c>
      <c r="E22" s="20">
        <v>752</v>
      </c>
      <c r="F22" s="20">
        <v>752</v>
      </c>
      <c r="G22" s="20">
        <v>700</v>
      </c>
      <c r="H22" s="20">
        <v>46</v>
      </c>
      <c r="I22" s="20">
        <v>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">
      <c r="A23" s="20">
        <v>31203</v>
      </c>
      <c r="B23" s="20">
        <v>15</v>
      </c>
      <c r="C23" s="20">
        <v>755</v>
      </c>
      <c r="D23" s="20">
        <v>2080</v>
      </c>
      <c r="E23" s="20">
        <v>755</v>
      </c>
      <c r="F23" s="20">
        <v>755</v>
      </c>
      <c r="G23" s="20">
        <v>700</v>
      </c>
      <c r="H23" s="20">
        <v>45</v>
      </c>
      <c r="I23" s="20">
        <v>-20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">
      <c r="A24" s="20">
        <v>31253</v>
      </c>
      <c r="B24" s="20">
        <v>15</v>
      </c>
      <c r="C24" s="20">
        <v>757</v>
      </c>
      <c r="D24" s="20">
        <v>2160</v>
      </c>
      <c r="E24" s="20">
        <v>757</v>
      </c>
      <c r="F24" s="20">
        <v>757</v>
      </c>
      <c r="G24" s="20">
        <v>700</v>
      </c>
      <c r="H24" s="20">
        <v>45</v>
      </c>
      <c r="I24" s="20">
        <v>0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">
      <c r="A25" s="20">
        <v>31303</v>
      </c>
      <c r="B25" s="20">
        <v>15</v>
      </c>
      <c r="C25" s="20">
        <v>760</v>
      </c>
      <c r="D25" s="20">
        <v>2160</v>
      </c>
      <c r="E25" s="20">
        <v>760</v>
      </c>
      <c r="F25" s="20">
        <v>760</v>
      </c>
      <c r="G25" s="20">
        <v>700</v>
      </c>
      <c r="H25" s="20">
        <v>45</v>
      </c>
      <c r="I25" s="20">
        <v>0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">
      <c r="A26" s="20">
        <v>31353</v>
      </c>
      <c r="B26" s="20">
        <v>15</v>
      </c>
      <c r="C26" s="20">
        <v>762</v>
      </c>
      <c r="D26" s="20">
        <v>2160</v>
      </c>
      <c r="E26" s="20">
        <v>762</v>
      </c>
      <c r="F26" s="20">
        <v>762</v>
      </c>
      <c r="G26" s="20">
        <v>700</v>
      </c>
      <c r="H26" s="20">
        <v>45</v>
      </c>
      <c r="I26" s="20">
        <v>0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">
      <c r="A27" s="20">
        <v>31403</v>
      </c>
      <c r="B27" s="20">
        <v>15</v>
      </c>
      <c r="C27" s="21">
        <v>765</v>
      </c>
      <c r="D27" s="20">
        <v>2160</v>
      </c>
      <c r="E27" s="20">
        <v>765</v>
      </c>
      <c r="F27" s="20">
        <v>765</v>
      </c>
      <c r="G27" s="20">
        <v>700</v>
      </c>
      <c r="H27" s="20">
        <v>45</v>
      </c>
      <c r="I27" s="20">
        <v>0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">
      <c r="A28" s="20">
        <v>31453</v>
      </c>
      <c r="B28" s="20">
        <v>15</v>
      </c>
      <c r="C28" s="20">
        <v>767</v>
      </c>
      <c r="D28" s="20">
        <v>2160</v>
      </c>
      <c r="E28" s="20">
        <v>767</v>
      </c>
      <c r="F28" s="20">
        <v>767</v>
      </c>
      <c r="G28" s="20">
        <v>700</v>
      </c>
      <c r="H28" s="20">
        <v>45</v>
      </c>
      <c r="I28" s="20">
        <v>0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">
      <c r="A29" s="20">
        <v>31503</v>
      </c>
      <c r="B29" s="20">
        <v>15</v>
      </c>
      <c r="C29" s="20">
        <v>770</v>
      </c>
      <c r="D29" s="20">
        <v>2160</v>
      </c>
      <c r="E29" s="20">
        <v>770</v>
      </c>
      <c r="F29" s="20">
        <v>770</v>
      </c>
      <c r="G29" s="20">
        <v>700</v>
      </c>
      <c r="H29" s="20">
        <v>45</v>
      </c>
      <c r="I29" s="20">
        <v>0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">
      <c r="A30" s="20">
        <v>31553</v>
      </c>
      <c r="B30" s="20">
        <v>15</v>
      </c>
      <c r="C30" s="20">
        <v>772</v>
      </c>
      <c r="D30" s="20">
        <v>2160</v>
      </c>
      <c r="E30" s="20">
        <v>772</v>
      </c>
      <c r="F30" s="20">
        <v>772</v>
      </c>
      <c r="G30" s="20">
        <v>700</v>
      </c>
      <c r="H30" s="20">
        <v>45</v>
      </c>
      <c r="I30" s="20">
        <v>0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">
      <c r="A31" s="20">
        <v>31603</v>
      </c>
      <c r="B31" s="20">
        <v>16</v>
      </c>
      <c r="C31" s="20">
        <v>775</v>
      </c>
      <c r="D31" s="20">
        <v>2032</v>
      </c>
      <c r="E31" s="20">
        <v>775</v>
      </c>
      <c r="F31" s="20">
        <v>775</v>
      </c>
      <c r="G31" s="20">
        <v>700</v>
      </c>
      <c r="H31" s="20">
        <v>44</v>
      </c>
      <c r="I31" s="20">
        <v>-20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">
      <c r="A32" s="20">
        <v>31653</v>
      </c>
      <c r="B32" s="20">
        <v>16</v>
      </c>
      <c r="C32" s="20">
        <v>777</v>
      </c>
      <c r="D32" s="20">
        <v>2112</v>
      </c>
      <c r="E32" s="20">
        <v>777</v>
      </c>
      <c r="F32" s="20">
        <v>777</v>
      </c>
      <c r="G32" s="20">
        <v>700</v>
      </c>
      <c r="H32" s="20">
        <v>44</v>
      </c>
      <c r="I32" s="20">
        <v>0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">
      <c r="A33" s="20">
        <v>31703</v>
      </c>
      <c r="B33" s="20">
        <v>16</v>
      </c>
      <c r="C33" s="20">
        <v>780</v>
      </c>
      <c r="D33" s="20">
        <v>2112</v>
      </c>
      <c r="E33" s="20">
        <v>780</v>
      </c>
      <c r="F33" s="20">
        <v>780</v>
      </c>
      <c r="G33" s="20">
        <v>700</v>
      </c>
      <c r="H33" s="20">
        <v>44</v>
      </c>
      <c r="I33" s="20">
        <v>0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">
      <c r="A34" s="20">
        <v>31753</v>
      </c>
      <c r="B34" s="20">
        <v>16</v>
      </c>
      <c r="C34" s="20">
        <v>782</v>
      </c>
      <c r="D34" s="20">
        <v>2112</v>
      </c>
      <c r="E34" s="20">
        <v>782</v>
      </c>
      <c r="F34" s="20">
        <v>782</v>
      </c>
      <c r="G34" s="20">
        <v>700</v>
      </c>
      <c r="H34" s="20">
        <v>44</v>
      </c>
      <c r="I34" s="20">
        <v>0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">
      <c r="A35" s="20">
        <v>31803</v>
      </c>
      <c r="B35" s="20">
        <v>16</v>
      </c>
      <c r="C35" s="20">
        <v>785</v>
      </c>
      <c r="D35" s="20">
        <v>2112</v>
      </c>
      <c r="E35" s="20">
        <v>785</v>
      </c>
      <c r="F35" s="20">
        <v>785</v>
      </c>
      <c r="G35" s="20">
        <v>700</v>
      </c>
      <c r="H35" s="20">
        <v>44</v>
      </c>
      <c r="I35" s="20">
        <v>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">
      <c r="A36" s="20">
        <v>31853</v>
      </c>
      <c r="B36" s="20">
        <v>16</v>
      </c>
      <c r="C36" s="20">
        <v>787</v>
      </c>
      <c r="D36" s="20">
        <v>2112</v>
      </c>
      <c r="E36" s="20">
        <v>787</v>
      </c>
      <c r="F36" s="20">
        <v>787</v>
      </c>
      <c r="G36" s="20">
        <v>700</v>
      </c>
      <c r="H36" s="20">
        <v>44</v>
      </c>
      <c r="I36" s="20">
        <v>0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">
      <c r="A37" s="20">
        <v>31903</v>
      </c>
      <c r="B37" s="20">
        <v>16</v>
      </c>
      <c r="C37" s="20">
        <v>790</v>
      </c>
      <c r="D37" s="20">
        <v>2112</v>
      </c>
      <c r="E37" s="20">
        <v>790</v>
      </c>
      <c r="F37" s="20">
        <v>790</v>
      </c>
      <c r="G37" s="20">
        <v>700</v>
      </c>
      <c r="H37" s="20">
        <v>44</v>
      </c>
      <c r="I37" s="20">
        <v>0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">
      <c r="A38" s="20">
        <v>31953</v>
      </c>
      <c r="B38" s="20">
        <v>16</v>
      </c>
      <c r="C38" s="20">
        <v>792</v>
      </c>
      <c r="D38" s="20">
        <v>2112</v>
      </c>
      <c r="E38" s="20">
        <v>792</v>
      </c>
      <c r="F38" s="20">
        <v>792</v>
      </c>
      <c r="G38" s="20">
        <v>700</v>
      </c>
      <c r="H38" s="20">
        <v>44</v>
      </c>
      <c r="I38" s="20">
        <v>0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">
      <c r="A39" s="20">
        <v>32003</v>
      </c>
      <c r="B39" s="20">
        <v>17</v>
      </c>
      <c r="C39" s="20">
        <v>795</v>
      </c>
      <c r="D39" s="20">
        <v>1984</v>
      </c>
      <c r="E39" s="20">
        <v>795</v>
      </c>
      <c r="F39" s="20">
        <v>795</v>
      </c>
      <c r="G39" s="20">
        <v>700</v>
      </c>
      <c r="H39" s="20">
        <v>43</v>
      </c>
      <c r="I39" s="20">
        <v>-20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">
      <c r="A40" s="20">
        <v>32053</v>
      </c>
      <c r="B40" s="20">
        <v>17</v>
      </c>
      <c r="C40" s="20">
        <v>797</v>
      </c>
      <c r="D40" s="20">
        <v>2064</v>
      </c>
      <c r="E40" s="20">
        <v>797</v>
      </c>
      <c r="F40" s="20">
        <v>797</v>
      </c>
      <c r="G40" s="20">
        <v>700</v>
      </c>
      <c r="H40" s="20">
        <v>43</v>
      </c>
      <c r="I40" s="20">
        <v>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">
      <c r="A41" s="20">
        <v>32103</v>
      </c>
      <c r="B41" s="20">
        <v>17</v>
      </c>
      <c r="C41" s="20">
        <v>800</v>
      </c>
      <c r="D41" s="20">
        <v>2064</v>
      </c>
      <c r="E41" s="20">
        <v>800</v>
      </c>
      <c r="F41" s="20">
        <v>800</v>
      </c>
      <c r="G41" s="20">
        <v>700</v>
      </c>
      <c r="H41" s="20">
        <v>43</v>
      </c>
      <c r="I41" s="20">
        <v>0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">
      <c r="A42" s="20">
        <v>32153</v>
      </c>
      <c r="B42" s="20">
        <v>17</v>
      </c>
      <c r="C42" s="20">
        <v>802</v>
      </c>
      <c r="D42" s="20">
        <v>2064</v>
      </c>
      <c r="E42" s="20">
        <v>802</v>
      </c>
      <c r="F42" s="20">
        <v>802</v>
      </c>
      <c r="G42" s="20">
        <v>700</v>
      </c>
      <c r="H42" s="20">
        <v>43</v>
      </c>
      <c r="I42" s="20">
        <v>0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">
      <c r="A43" s="20">
        <v>32203</v>
      </c>
      <c r="B43" s="20">
        <v>17</v>
      </c>
      <c r="C43" s="20">
        <v>805</v>
      </c>
      <c r="D43" s="20">
        <v>2064</v>
      </c>
      <c r="E43" s="20">
        <v>805</v>
      </c>
      <c r="F43" s="20">
        <v>805</v>
      </c>
      <c r="G43" s="20">
        <v>700</v>
      </c>
      <c r="H43" s="20">
        <v>43</v>
      </c>
      <c r="I43" s="20">
        <v>0</v>
      </c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">
      <c r="A44" s="20">
        <v>32253</v>
      </c>
      <c r="B44" s="20">
        <v>17</v>
      </c>
      <c r="C44" s="20">
        <v>807</v>
      </c>
      <c r="D44" s="20">
        <v>2064</v>
      </c>
      <c r="E44" s="20">
        <v>807</v>
      </c>
      <c r="F44" s="20">
        <v>807</v>
      </c>
      <c r="G44" s="20">
        <v>700</v>
      </c>
      <c r="H44" s="20">
        <v>43</v>
      </c>
      <c r="I44" s="20">
        <v>0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">
      <c r="A45" s="20">
        <v>32303</v>
      </c>
      <c r="B45" s="20">
        <v>17</v>
      </c>
      <c r="C45" s="20">
        <v>810</v>
      </c>
      <c r="D45" s="20">
        <v>2064</v>
      </c>
      <c r="E45" s="20">
        <v>810</v>
      </c>
      <c r="F45" s="20">
        <v>810</v>
      </c>
      <c r="G45" s="20">
        <v>700</v>
      </c>
      <c r="H45" s="20">
        <v>43</v>
      </c>
      <c r="I45" s="20">
        <v>0</v>
      </c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">
      <c r="A46" s="20">
        <v>32353</v>
      </c>
      <c r="B46" s="20">
        <v>17</v>
      </c>
      <c r="C46" s="20">
        <v>812</v>
      </c>
      <c r="D46" s="20">
        <v>2064</v>
      </c>
      <c r="E46" s="20">
        <v>812</v>
      </c>
      <c r="F46" s="20">
        <v>812</v>
      </c>
      <c r="G46" s="20">
        <v>700</v>
      </c>
      <c r="H46" s="20">
        <v>43</v>
      </c>
      <c r="I46" s="20">
        <v>0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">
      <c r="A47" s="20">
        <v>32403</v>
      </c>
      <c r="B47" s="20">
        <v>17</v>
      </c>
      <c r="C47" s="20">
        <v>815</v>
      </c>
      <c r="D47" s="20">
        <v>2064</v>
      </c>
      <c r="E47" s="20">
        <v>815</v>
      </c>
      <c r="F47" s="20">
        <v>815</v>
      </c>
      <c r="G47" s="20">
        <v>700</v>
      </c>
      <c r="H47" s="20">
        <v>43</v>
      </c>
      <c r="I47" s="20">
        <v>0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">
      <c r="A48" s="20">
        <v>32453</v>
      </c>
      <c r="B48" s="20">
        <v>17</v>
      </c>
      <c r="C48" s="20">
        <v>817</v>
      </c>
      <c r="D48" s="20">
        <v>2064</v>
      </c>
      <c r="E48" s="20">
        <v>817</v>
      </c>
      <c r="F48" s="20">
        <v>817</v>
      </c>
      <c r="G48" s="20">
        <v>700</v>
      </c>
      <c r="H48" s="20">
        <v>43</v>
      </c>
      <c r="I48" s="20">
        <v>0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">
      <c r="A49" s="20">
        <v>32503</v>
      </c>
      <c r="B49" s="20">
        <v>18</v>
      </c>
      <c r="C49" s="20">
        <v>820</v>
      </c>
      <c r="D49" s="20">
        <v>1936</v>
      </c>
      <c r="E49" s="20">
        <v>820</v>
      </c>
      <c r="F49" s="20">
        <v>820</v>
      </c>
      <c r="G49" s="20">
        <v>700</v>
      </c>
      <c r="H49" s="20">
        <v>42</v>
      </c>
      <c r="I49" s="20">
        <v>-20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">
      <c r="A50" s="20">
        <v>32553</v>
      </c>
      <c r="B50" s="20">
        <v>18</v>
      </c>
      <c r="C50" s="20">
        <v>822</v>
      </c>
      <c r="D50" s="20">
        <v>2016</v>
      </c>
      <c r="E50" s="20">
        <v>822</v>
      </c>
      <c r="F50" s="20">
        <v>822</v>
      </c>
      <c r="G50" s="20">
        <v>700</v>
      </c>
      <c r="H50" s="20">
        <v>42</v>
      </c>
      <c r="I50" s="20">
        <v>0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">
      <c r="A51" s="20">
        <v>32603</v>
      </c>
      <c r="B51" s="20">
        <v>18</v>
      </c>
      <c r="C51" s="20">
        <v>825</v>
      </c>
      <c r="D51" s="20">
        <v>2016</v>
      </c>
      <c r="E51" s="20">
        <v>825</v>
      </c>
      <c r="F51" s="20">
        <v>825</v>
      </c>
      <c r="G51" s="20">
        <v>700</v>
      </c>
      <c r="H51" s="20">
        <v>42</v>
      </c>
      <c r="I51" s="20">
        <v>0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">
      <c r="A52" s="20">
        <v>32653</v>
      </c>
      <c r="B52" s="20">
        <v>18</v>
      </c>
      <c r="C52" s="20">
        <v>827</v>
      </c>
      <c r="D52" s="20">
        <v>2016</v>
      </c>
      <c r="E52" s="20">
        <v>827</v>
      </c>
      <c r="F52" s="20">
        <v>827</v>
      </c>
      <c r="G52" s="20">
        <v>700</v>
      </c>
      <c r="H52" s="20">
        <v>42</v>
      </c>
      <c r="I52" s="20">
        <v>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">
      <c r="A53" s="20">
        <v>32703</v>
      </c>
      <c r="B53" s="20">
        <v>19</v>
      </c>
      <c r="C53" s="20">
        <v>830</v>
      </c>
      <c r="D53" s="20">
        <v>1888</v>
      </c>
      <c r="E53" s="20">
        <v>830</v>
      </c>
      <c r="F53" s="20">
        <v>830</v>
      </c>
      <c r="G53" s="20">
        <v>700</v>
      </c>
      <c r="H53" s="20">
        <v>41</v>
      </c>
      <c r="I53" s="20">
        <v>-20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">
      <c r="A54" s="20">
        <v>32753</v>
      </c>
      <c r="B54" s="20">
        <v>19</v>
      </c>
      <c r="C54" s="20">
        <v>832</v>
      </c>
      <c r="D54" s="20">
        <v>1968</v>
      </c>
      <c r="E54" s="20">
        <v>832</v>
      </c>
      <c r="F54" s="20">
        <v>832</v>
      </c>
      <c r="G54" s="20">
        <v>700</v>
      </c>
      <c r="H54" s="20">
        <v>41</v>
      </c>
      <c r="I54" s="20">
        <v>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>
        <v>32803</v>
      </c>
      <c r="B55" s="20">
        <v>19</v>
      </c>
      <c r="C55" s="20">
        <v>835</v>
      </c>
      <c r="D55" s="20">
        <v>1968</v>
      </c>
      <c r="E55" s="20">
        <v>835</v>
      </c>
      <c r="F55" s="20">
        <v>835</v>
      </c>
      <c r="G55" s="20">
        <v>700</v>
      </c>
      <c r="H55" s="20">
        <v>41</v>
      </c>
      <c r="I55" s="20">
        <v>0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">
      <c r="A56" s="20">
        <v>32853</v>
      </c>
      <c r="B56" s="20">
        <v>19</v>
      </c>
      <c r="C56" s="20">
        <v>837</v>
      </c>
      <c r="D56" s="20">
        <v>1968</v>
      </c>
      <c r="E56" s="20">
        <v>837</v>
      </c>
      <c r="F56" s="20">
        <v>837</v>
      </c>
      <c r="G56" s="20">
        <v>700</v>
      </c>
      <c r="H56" s="20">
        <v>41</v>
      </c>
      <c r="I56" s="20">
        <v>0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">
      <c r="A57" s="20">
        <v>32903</v>
      </c>
      <c r="B57" s="20">
        <v>19</v>
      </c>
      <c r="C57" s="20">
        <v>840</v>
      </c>
      <c r="D57" s="20">
        <v>1968</v>
      </c>
      <c r="E57" s="20">
        <v>840</v>
      </c>
      <c r="F57" s="20">
        <v>840</v>
      </c>
      <c r="G57" s="20">
        <v>700</v>
      </c>
      <c r="H57" s="20">
        <v>41</v>
      </c>
      <c r="I57" s="20">
        <v>0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">
      <c r="A58" s="20">
        <v>32953</v>
      </c>
      <c r="B58" s="20">
        <v>20</v>
      </c>
      <c r="C58" s="20">
        <v>842</v>
      </c>
      <c r="D58" s="20">
        <v>1840</v>
      </c>
      <c r="E58" s="20">
        <v>842</v>
      </c>
      <c r="F58" s="20">
        <v>842</v>
      </c>
      <c r="G58" s="20">
        <v>700</v>
      </c>
      <c r="H58" s="20">
        <v>40</v>
      </c>
      <c r="I58" s="20">
        <v>-20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">
      <c r="A59" s="20">
        <v>33003</v>
      </c>
      <c r="B59" s="20">
        <v>20</v>
      </c>
      <c r="C59" s="20">
        <v>845</v>
      </c>
      <c r="D59" s="20">
        <v>1920</v>
      </c>
      <c r="E59" s="20">
        <v>845</v>
      </c>
      <c r="F59" s="20">
        <v>845</v>
      </c>
      <c r="G59" s="20">
        <v>700</v>
      </c>
      <c r="H59" s="20">
        <v>40</v>
      </c>
      <c r="I59" s="20">
        <v>0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">
      <c r="A60" s="20">
        <v>33053</v>
      </c>
      <c r="B60" s="20">
        <v>20</v>
      </c>
      <c r="C60" s="20">
        <v>847</v>
      </c>
      <c r="D60" s="20">
        <v>1920</v>
      </c>
      <c r="E60" s="20">
        <v>847</v>
      </c>
      <c r="F60" s="20">
        <v>847</v>
      </c>
      <c r="G60" s="20">
        <v>700</v>
      </c>
      <c r="H60" s="20">
        <v>40</v>
      </c>
      <c r="I60" s="20">
        <v>0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">
      <c r="A61" s="20">
        <v>33103</v>
      </c>
      <c r="B61" s="20">
        <v>20</v>
      </c>
      <c r="C61" s="20">
        <v>850</v>
      </c>
      <c r="D61" s="20">
        <v>1920</v>
      </c>
      <c r="E61" s="20">
        <v>850</v>
      </c>
      <c r="F61" s="20">
        <v>850</v>
      </c>
      <c r="G61" s="20">
        <v>700</v>
      </c>
      <c r="H61" s="20">
        <v>40</v>
      </c>
      <c r="I61" s="20">
        <v>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">
      <c r="A62" s="20">
        <v>33153</v>
      </c>
      <c r="B62" s="20">
        <v>21</v>
      </c>
      <c r="C62" s="20">
        <v>852</v>
      </c>
      <c r="D62" s="20">
        <v>1792</v>
      </c>
      <c r="E62" s="20">
        <v>852</v>
      </c>
      <c r="F62" s="20">
        <v>852</v>
      </c>
      <c r="G62" s="20">
        <v>700</v>
      </c>
      <c r="H62" s="20">
        <v>39</v>
      </c>
      <c r="I62" s="20">
        <v>-20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">
      <c r="A63" s="20">
        <v>33203</v>
      </c>
      <c r="B63" s="20">
        <v>21</v>
      </c>
      <c r="C63" s="20">
        <v>855</v>
      </c>
      <c r="D63" s="20">
        <v>1872</v>
      </c>
      <c r="E63" s="20">
        <v>855</v>
      </c>
      <c r="F63" s="20">
        <v>855</v>
      </c>
      <c r="G63" s="20">
        <v>700</v>
      </c>
      <c r="H63" s="20">
        <v>39</v>
      </c>
      <c r="I63" s="20">
        <v>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">
      <c r="A64" s="20">
        <v>33253</v>
      </c>
      <c r="B64" s="20">
        <v>22</v>
      </c>
      <c r="C64" s="20">
        <v>857</v>
      </c>
      <c r="D64" s="20">
        <v>1744</v>
      </c>
      <c r="E64" s="20">
        <v>857</v>
      </c>
      <c r="F64" s="20">
        <v>857</v>
      </c>
      <c r="G64" s="20">
        <v>700</v>
      </c>
      <c r="H64" s="20">
        <v>38</v>
      </c>
      <c r="I64" s="20">
        <v>-20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">
      <c r="A65" s="20">
        <v>33303</v>
      </c>
      <c r="B65" s="20">
        <v>22</v>
      </c>
      <c r="C65" s="20">
        <v>860</v>
      </c>
      <c r="D65" s="20">
        <v>1824</v>
      </c>
      <c r="E65" s="20">
        <v>860</v>
      </c>
      <c r="F65" s="20">
        <v>860</v>
      </c>
      <c r="G65" s="20">
        <v>700</v>
      </c>
      <c r="H65" s="20">
        <v>38</v>
      </c>
      <c r="I65" s="20">
        <v>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">
      <c r="A66" s="20">
        <v>33353</v>
      </c>
      <c r="B66" s="20">
        <v>23</v>
      </c>
      <c r="C66" s="20">
        <v>862</v>
      </c>
      <c r="D66" s="20">
        <v>1696</v>
      </c>
      <c r="E66" s="20">
        <v>862</v>
      </c>
      <c r="F66" s="20">
        <v>862</v>
      </c>
      <c r="G66" s="20">
        <v>700</v>
      </c>
      <c r="H66" s="20">
        <v>37</v>
      </c>
      <c r="I66" s="20">
        <v>-20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">
      <c r="A67" s="20">
        <v>33403</v>
      </c>
      <c r="B67" s="20">
        <v>23</v>
      </c>
      <c r="C67" s="20">
        <v>865</v>
      </c>
      <c r="D67" s="20">
        <v>1776</v>
      </c>
      <c r="E67" s="20">
        <v>865</v>
      </c>
      <c r="F67" s="20">
        <v>865</v>
      </c>
      <c r="G67" s="20">
        <v>700</v>
      </c>
      <c r="H67" s="20">
        <v>37</v>
      </c>
      <c r="I67" s="20">
        <v>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">
      <c r="A68" s="20">
        <v>33453</v>
      </c>
      <c r="B68" s="20">
        <v>23</v>
      </c>
      <c r="C68" s="20">
        <v>867</v>
      </c>
      <c r="D68" s="20">
        <v>1776</v>
      </c>
      <c r="E68" s="20">
        <v>867</v>
      </c>
      <c r="F68" s="20">
        <v>867</v>
      </c>
      <c r="G68" s="20">
        <v>700</v>
      </c>
      <c r="H68" s="20">
        <v>37</v>
      </c>
      <c r="I68" s="20">
        <v>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">
      <c r="A69" s="20">
        <v>33503</v>
      </c>
      <c r="B69" s="20">
        <v>24</v>
      </c>
      <c r="C69" s="20">
        <v>870</v>
      </c>
      <c r="D69" s="20">
        <v>1648</v>
      </c>
      <c r="E69" s="20">
        <v>870</v>
      </c>
      <c r="F69" s="20">
        <v>870</v>
      </c>
      <c r="G69" s="20">
        <v>700</v>
      </c>
      <c r="H69" s="20">
        <v>36</v>
      </c>
      <c r="I69" s="20">
        <v>-20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">
      <c r="A70" s="20">
        <v>33553</v>
      </c>
      <c r="B70" s="20">
        <v>24</v>
      </c>
      <c r="C70" s="20">
        <v>872</v>
      </c>
      <c r="D70" s="20">
        <v>1728</v>
      </c>
      <c r="E70" s="20">
        <v>872</v>
      </c>
      <c r="F70" s="20">
        <v>872</v>
      </c>
      <c r="G70" s="20">
        <v>700</v>
      </c>
      <c r="H70" s="20">
        <v>36</v>
      </c>
      <c r="I70" s="20">
        <v>0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">
      <c r="A71" s="20">
        <v>33603</v>
      </c>
      <c r="B71" s="20">
        <v>25</v>
      </c>
      <c r="C71" s="20">
        <v>875</v>
      </c>
      <c r="D71" s="20">
        <v>1600</v>
      </c>
      <c r="E71" s="20">
        <v>875</v>
      </c>
      <c r="F71" s="20">
        <v>875</v>
      </c>
      <c r="G71" s="20">
        <v>700</v>
      </c>
      <c r="H71" s="20">
        <v>35</v>
      </c>
      <c r="I71" s="20">
        <v>-20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">
      <c r="A72" s="20">
        <v>33653</v>
      </c>
      <c r="B72" s="20">
        <v>25</v>
      </c>
      <c r="C72" s="20">
        <v>877</v>
      </c>
      <c r="D72" s="20">
        <v>1680</v>
      </c>
      <c r="E72" s="20">
        <v>877</v>
      </c>
      <c r="F72" s="20">
        <v>877</v>
      </c>
      <c r="G72" s="20">
        <v>700</v>
      </c>
      <c r="H72" s="20">
        <v>35</v>
      </c>
      <c r="I72" s="20">
        <v>0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">
      <c r="A73" s="20">
        <v>33703</v>
      </c>
      <c r="B73" s="20">
        <v>26</v>
      </c>
      <c r="C73" s="20">
        <v>877</v>
      </c>
      <c r="D73" s="20">
        <v>1552</v>
      </c>
      <c r="E73" s="20">
        <v>880</v>
      </c>
      <c r="F73" s="20">
        <v>877</v>
      </c>
      <c r="G73" s="20">
        <v>700</v>
      </c>
      <c r="H73" s="20">
        <v>34</v>
      </c>
      <c r="I73" s="20">
        <v>-20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">
      <c r="A74" s="20">
        <v>33753</v>
      </c>
      <c r="B74" s="20">
        <v>27</v>
      </c>
      <c r="C74" s="20">
        <v>877</v>
      </c>
      <c r="D74" s="20">
        <v>1504</v>
      </c>
      <c r="E74" s="20">
        <v>880</v>
      </c>
      <c r="F74" s="20">
        <v>877</v>
      </c>
      <c r="G74" s="20">
        <v>700</v>
      </c>
      <c r="H74" s="20">
        <v>33</v>
      </c>
      <c r="I74" s="20">
        <v>-20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">
      <c r="A75" s="20">
        <v>33803</v>
      </c>
      <c r="B75" s="20">
        <v>27</v>
      </c>
      <c r="C75" s="20">
        <v>877</v>
      </c>
      <c r="D75" s="20">
        <v>1584</v>
      </c>
      <c r="E75" s="20">
        <v>881</v>
      </c>
      <c r="F75" s="20">
        <v>877</v>
      </c>
      <c r="G75" s="20">
        <v>700</v>
      </c>
      <c r="H75" s="20">
        <v>33</v>
      </c>
      <c r="I75" s="20">
        <v>0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">
      <c r="A76" s="20">
        <v>33853</v>
      </c>
      <c r="B76" s="20">
        <v>28</v>
      </c>
      <c r="C76" s="20">
        <v>877</v>
      </c>
      <c r="D76" s="20">
        <v>1456</v>
      </c>
      <c r="E76" s="20">
        <v>881</v>
      </c>
      <c r="F76" s="20">
        <v>877</v>
      </c>
      <c r="G76" s="20">
        <v>700</v>
      </c>
      <c r="H76" s="20">
        <v>32</v>
      </c>
      <c r="I76" s="20">
        <v>-20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">
      <c r="A77" s="20">
        <v>33903</v>
      </c>
      <c r="B77" s="20">
        <v>28</v>
      </c>
      <c r="C77" s="20">
        <v>877</v>
      </c>
      <c r="D77" s="20">
        <v>1536</v>
      </c>
      <c r="E77" s="20">
        <v>882</v>
      </c>
      <c r="F77" s="20">
        <v>877</v>
      </c>
      <c r="G77" s="20">
        <v>700</v>
      </c>
      <c r="H77" s="20">
        <v>32</v>
      </c>
      <c r="I77" s="20">
        <v>0</v>
      </c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">
      <c r="A78" s="20">
        <v>33953</v>
      </c>
      <c r="B78" s="20">
        <v>29</v>
      </c>
      <c r="C78" s="20">
        <v>877</v>
      </c>
      <c r="D78" s="20">
        <v>1408</v>
      </c>
      <c r="E78" s="20">
        <v>882</v>
      </c>
      <c r="F78" s="20">
        <v>877</v>
      </c>
      <c r="G78" s="20">
        <v>700</v>
      </c>
      <c r="H78" s="20">
        <v>31</v>
      </c>
      <c r="I78" s="20">
        <v>-20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">
      <c r="A79" s="20">
        <v>34003</v>
      </c>
      <c r="B79" s="20">
        <v>30</v>
      </c>
      <c r="C79" s="20">
        <v>877</v>
      </c>
      <c r="D79" s="20">
        <v>1360</v>
      </c>
      <c r="E79" s="20">
        <v>883</v>
      </c>
      <c r="F79" s="20">
        <v>877</v>
      </c>
      <c r="G79" s="20">
        <v>700</v>
      </c>
      <c r="H79" s="20">
        <v>30</v>
      </c>
      <c r="I79" s="20">
        <v>-20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">
      <c r="A80" s="20">
        <v>34053</v>
      </c>
      <c r="B80" s="20">
        <v>30</v>
      </c>
      <c r="C80" s="20">
        <v>877</v>
      </c>
      <c r="D80" s="20">
        <v>1440</v>
      </c>
      <c r="E80" s="20">
        <v>883</v>
      </c>
      <c r="F80" s="20">
        <v>877</v>
      </c>
      <c r="G80" s="20">
        <v>700</v>
      </c>
      <c r="H80" s="20">
        <v>30</v>
      </c>
      <c r="I80" s="20">
        <v>0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">
      <c r="A81" s="20">
        <v>34103</v>
      </c>
      <c r="B81" s="20">
        <v>31</v>
      </c>
      <c r="C81" s="20">
        <v>877</v>
      </c>
      <c r="D81" s="20">
        <v>1312</v>
      </c>
      <c r="E81" s="20">
        <v>884</v>
      </c>
      <c r="F81" s="20">
        <v>877</v>
      </c>
      <c r="G81" s="20">
        <v>700</v>
      </c>
      <c r="H81" s="20">
        <v>29</v>
      </c>
      <c r="I81" s="20">
        <v>-20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">
      <c r="A82" s="20">
        <v>34153</v>
      </c>
      <c r="B82" s="20">
        <v>32</v>
      </c>
      <c r="C82" s="20">
        <v>877</v>
      </c>
      <c r="D82" s="20">
        <v>1264</v>
      </c>
      <c r="E82" s="20">
        <v>884</v>
      </c>
      <c r="F82" s="20">
        <v>877</v>
      </c>
      <c r="G82" s="20">
        <v>700</v>
      </c>
      <c r="H82" s="20">
        <v>28</v>
      </c>
      <c r="I82" s="20">
        <v>-20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">
      <c r="A83" s="20">
        <v>34203</v>
      </c>
      <c r="B83" s="20">
        <v>32</v>
      </c>
      <c r="C83" s="20">
        <v>877</v>
      </c>
      <c r="D83" s="20">
        <v>1344</v>
      </c>
      <c r="E83" s="20">
        <v>885</v>
      </c>
      <c r="F83" s="20">
        <v>877</v>
      </c>
      <c r="G83" s="20">
        <v>700</v>
      </c>
      <c r="H83" s="20">
        <v>28</v>
      </c>
      <c r="I83" s="20">
        <v>0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">
      <c r="A84" s="20">
        <v>34253</v>
      </c>
      <c r="B84" s="20">
        <v>33</v>
      </c>
      <c r="C84" s="20">
        <v>877</v>
      </c>
      <c r="D84" s="20">
        <v>1216</v>
      </c>
      <c r="E84" s="20">
        <v>885</v>
      </c>
      <c r="F84" s="20">
        <v>877</v>
      </c>
      <c r="G84" s="20">
        <v>700</v>
      </c>
      <c r="H84" s="20">
        <v>27</v>
      </c>
      <c r="I84" s="20">
        <v>-20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">
      <c r="A85" s="20">
        <v>34303</v>
      </c>
      <c r="B85" s="20">
        <v>34</v>
      </c>
      <c r="C85" s="20">
        <v>877</v>
      </c>
      <c r="D85" s="20">
        <v>1168</v>
      </c>
      <c r="E85" s="20">
        <v>886</v>
      </c>
      <c r="F85" s="20">
        <v>877</v>
      </c>
      <c r="G85" s="20">
        <v>700</v>
      </c>
      <c r="H85" s="20">
        <v>26</v>
      </c>
      <c r="I85" s="20">
        <v>-20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">
      <c r="A86" s="20">
        <v>34353</v>
      </c>
      <c r="B86" s="20">
        <v>34</v>
      </c>
      <c r="C86" s="20">
        <v>877</v>
      </c>
      <c r="D86" s="20">
        <v>1248</v>
      </c>
      <c r="E86" s="20">
        <v>886</v>
      </c>
      <c r="F86" s="20">
        <v>877</v>
      </c>
      <c r="G86" s="20">
        <v>700</v>
      </c>
      <c r="H86" s="20">
        <v>26</v>
      </c>
      <c r="I86" s="20">
        <v>0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">
      <c r="A87" s="20">
        <v>34403</v>
      </c>
      <c r="B87" s="20">
        <v>35</v>
      </c>
      <c r="C87" s="20">
        <v>877</v>
      </c>
      <c r="D87" s="20">
        <v>1120</v>
      </c>
      <c r="E87" s="20">
        <v>887</v>
      </c>
      <c r="F87" s="20">
        <v>877</v>
      </c>
      <c r="G87" s="20">
        <v>700</v>
      </c>
      <c r="H87" s="20">
        <v>25</v>
      </c>
      <c r="I87" s="20">
        <v>-20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">
      <c r="A88" s="20">
        <v>34453</v>
      </c>
      <c r="B88" s="20">
        <v>36</v>
      </c>
      <c r="C88" s="20">
        <v>877</v>
      </c>
      <c r="D88" s="20">
        <v>1072</v>
      </c>
      <c r="E88" s="20">
        <v>887</v>
      </c>
      <c r="F88" s="20">
        <v>877</v>
      </c>
      <c r="G88" s="20">
        <v>700</v>
      </c>
      <c r="H88" s="20">
        <v>24</v>
      </c>
      <c r="I88" s="20">
        <v>-20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">
      <c r="A89" s="20">
        <v>34503</v>
      </c>
      <c r="B89" s="20">
        <v>37</v>
      </c>
      <c r="C89" s="20">
        <v>877</v>
      </c>
      <c r="D89" s="20">
        <v>1024</v>
      </c>
      <c r="E89" s="20">
        <v>888</v>
      </c>
      <c r="F89" s="20">
        <v>877</v>
      </c>
      <c r="G89" s="20">
        <v>700</v>
      </c>
      <c r="H89" s="20">
        <v>23</v>
      </c>
      <c r="I89" s="20">
        <v>-20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">
      <c r="A90" s="20">
        <v>34553</v>
      </c>
      <c r="B90" s="20">
        <v>37</v>
      </c>
      <c r="C90" s="20">
        <v>877</v>
      </c>
      <c r="D90" s="20">
        <v>1104</v>
      </c>
      <c r="E90" s="20">
        <v>888</v>
      </c>
      <c r="F90" s="20">
        <v>877</v>
      </c>
      <c r="G90" s="20">
        <v>700</v>
      </c>
      <c r="H90" s="20">
        <v>23</v>
      </c>
      <c r="I90" s="20">
        <v>0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">
      <c r="A91" s="20">
        <v>34603</v>
      </c>
      <c r="B91" s="20">
        <v>38</v>
      </c>
      <c r="C91" s="20">
        <v>877</v>
      </c>
      <c r="D91" s="20">
        <v>976</v>
      </c>
      <c r="E91" s="20">
        <v>889</v>
      </c>
      <c r="F91" s="20">
        <v>877</v>
      </c>
      <c r="G91" s="20">
        <v>700</v>
      </c>
      <c r="H91" s="20">
        <v>22</v>
      </c>
      <c r="I91" s="20">
        <v>-20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">
      <c r="A92" s="20">
        <v>34653</v>
      </c>
      <c r="B92" s="20">
        <v>38</v>
      </c>
      <c r="C92" s="20">
        <v>877</v>
      </c>
      <c r="D92" s="20">
        <v>1056</v>
      </c>
      <c r="E92" s="20">
        <v>889</v>
      </c>
      <c r="F92" s="20">
        <v>877</v>
      </c>
      <c r="G92" s="20">
        <v>700</v>
      </c>
      <c r="H92" s="20">
        <v>22</v>
      </c>
      <c r="I92" s="20">
        <v>0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">
      <c r="A93" s="20">
        <v>34703</v>
      </c>
      <c r="B93" s="20">
        <v>39</v>
      </c>
      <c r="C93" s="20">
        <v>877</v>
      </c>
      <c r="D93" s="20">
        <v>928</v>
      </c>
      <c r="E93" s="20">
        <v>890</v>
      </c>
      <c r="F93" s="20">
        <v>877</v>
      </c>
      <c r="G93" s="20">
        <v>700</v>
      </c>
      <c r="H93" s="20">
        <v>21</v>
      </c>
      <c r="I93" s="20">
        <v>-20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">
      <c r="A94" s="20">
        <v>34753</v>
      </c>
      <c r="B94" s="20">
        <v>40</v>
      </c>
      <c r="C94" s="20">
        <v>877</v>
      </c>
      <c r="D94" s="20">
        <v>880</v>
      </c>
      <c r="E94" s="20">
        <v>889</v>
      </c>
      <c r="F94" s="20">
        <v>877</v>
      </c>
      <c r="G94" s="20">
        <v>700</v>
      </c>
      <c r="H94" s="20">
        <v>20</v>
      </c>
      <c r="I94" s="20">
        <v>-20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">
      <c r="A95" s="20">
        <v>34803</v>
      </c>
      <c r="B95" s="20">
        <v>41</v>
      </c>
      <c r="C95" s="20">
        <v>877</v>
      </c>
      <c r="D95" s="20">
        <v>832</v>
      </c>
      <c r="E95" s="20">
        <v>889</v>
      </c>
      <c r="F95" s="20">
        <v>877</v>
      </c>
      <c r="G95" s="20">
        <v>700</v>
      </c>
      <c r="H95" s="20">
        <v>19</v>
      </c>
      <c r="I95" s="20">
        <v>-20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">
      <c r="A96" s="20">
        <v>34853</v>
      </c>
      <c r="B96" s="20">
        <v>41</v>
      </c>
      <c r="C96" s="20">
        <v>877</v>
      </c>
      <c r="D96" s="20">
        <v>912</v>
      </c>
      <c r="E96" s="20">
        <v>889</v>
      </c>
      <c r="F96" s="20">
        <v>877</v>
      </c>
      <c r="G96" s="20">
        <v>700</v>
      </c>
      <c r="H96" s="20">
        <v>19</v>
      </c>
      <c r="I96" s="20">
        <v>0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">
      <c r="A97" s="20">
        <v>34903</v>
      </c>
      <c r="B97" s="20">
        <v>42</v>
      </c>
      <c r="C97" s="20">
        <v>877</v>
      </c>
      <c r="D97" s="20">
        <v>784</v>
      </c>
      <c r="E97" s="20">
        <v>889</v>
      </c>
      <c r="F97" s="20">
        <v>877</v>
      </c>
      <c r="G97" s="20">
        <v>700</v>
      </c>
      <c r="H97" s="20">
        <v>18</v>
      </c>
      <c r="I97" s="20">
        <v>-20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">
      <c r="A98" s="20">
        <v>34953</v>
      </c>
      <c r="B98" s="20">
        <v>42</v>
      </c>
      <c r="C98" s="20">
        <v>877</v>
      </c>
      <c r="D98" s="20">
        <v>864</v>
      </c>
      <c r="E98" s="20">
        <v>888</v>
      </c>
      <c r="F98" s="20">
        <v>877</v>
      </c>
      <c r="G98" s="20">
        <v>700</v>
      </c>
      <c r="H98" s="20">
        <v>18</v>
      </c>
      <c r="I98" s="20">
        <v>0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">
      <c r="A99" s="20">
        <v>35003</v>
      </c>
      <c r="B99" s="20">
        <v>43</v>
      </c>
      <c r="C99" s="20">
        <v>877</v>
      </c>
      <c r="D99" s="20">
        <v>736</v>
      </c>
      <c r="E99" s="20">
        <v>888</v>
      </c>
      <c r="F99" s="20">
        <v>877</v>
      </c>
      <c r="G99" s="20">
        <v>700</v>
      </c>
      <c r="H99" s="20">
        <v>17</v>
      </c>
      <c r="I99" s="20">
        <v>-20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">
      <c r="A100" s="20">
        <v>35053</v>
      </c>
      <c r="B100" s="20">
        <v>43</v>
      </c>
      <c r="C100" s="20">
        <v>877</v>
      </c>
      <c r="D100" s="20">
        <v>816</v>
      </c>
      <c r="E100" s="20">
        <v>887</v>
      </c>
      <c r="F100" s="20">
        <v>877</v>
      </c>
      <c r="G100" s="20">
        <v>700</v>
      </c>
      <c r="H100" s="20">
        <v>17</v>
      </c>
      <c r="I100" s="20">
        <v>0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">
      <c r="A101" s="20">
        <v>35103</v>
      </c>
      <c r="B101" s="20">
        <v>44</v>
      </c>
      <c r="C101" s="20">
        <v>877</v>
      </c>
      <c r="D101" s="20">
        <v>688</v>
      </c>
      <c r="E101" s="20">
        <v>887</v>
      </c>
      <c r="F101" s="20">
        <v>877</v>
      </c>
      <c r="G101" s="20">
        <v>700</v>
      </c>
      <c r="H101" s="20">
        <v>16</v>
      </c>
      <c r="I101" s="20">
        <v>-20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">
      <c r="A102" s="20">
        <v>35153</v>
      </c>
      <c r="B102" s="20">
        <v>46</v>
      </c>
      <c r="C102" s="20">
        <v>877</v>
      </c>
      <c r="D102" s="20">
        <v>512</v>
      </c>
      <c r="E102" s="20">
        <v>886</v>
      </c>
      <c r="F102" s="20">
        <v>877</v>
      </c>
      <c r="G102" s="20">
        <v>700</v>
      </c>
      <c r="H102" s="20">
        <v>14</v>
      </c>
      <c r="I102" s="20">
        <v>-40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">
      <c r="A103" s="20">
        <v>35203</v>
      </c>
      <c r="B103" s="20">
        <v>46</v>
      </c>
      <c r="C103" s="20">
        <v>877</v>
      </c>
      <c r="D103" s="20">
        <v>672</v>
      </c>
      <c r="E103" s="20">
        <v>886</v>
      </c>
      <c r="F103" s="20">
        <v>877</v>
      </c>
      <c r="G103" s="20">
        <v>700</v>
      </c>
      <c r="H103" s="20">
        <v>14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">
      <c r="A104" s="20">
        <v>35253</v>
      </c>
      <c r="B104" s="20">
        <v>46</v>
      </c>
      <c r="C104" s="20">
        <v>877</v>
      </c>
      <c r="D104" s="20">
        <v>672</v>
      </c>
      <c r="E104" s="20">
        <v>885</v>
      </c>
      <c r="F104" s="20">
        <v>877</v>
      </c>
      <c r="G104" s="20">
        <v>700</v>
      </c>
      <c r="H104" s="20">
        <v>14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">
      <c r="A105" s="20">
        <v>35303</v>
      </c>
      <c r="B105" s="20">
        <v>47</v>
      </c>
      <c r="C105" s="20">
        <v>877</v>
      </c>
      <c r="D105" s="20">
        <v>544</v>
      </c>
      <c r="E105" s="20">
        <v>885</v>
      </c>
      <c r="F105" s="20">
        <v>877</v>
      </c>
      <c r="G105" s="20">
        <v>700</v>
      </c>
      <c r="H105" s="20">
        <v>13</v>
      </c>
      <c r="I105" s="20">
        <v>-20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">
      <c r="A106" s="20">
        <v>35353</v>
      </c>
      <c r="B106" s="20">
        <v>48</v>
      </c>
      <c r="C106" s="20">
        <v>877</v>
      </c>
      <c r="D106" s="20">
        <v>496</v>
      </c>
      <c r="E106" s="20">
        <v>884</v>
      </c>
      <c r="F106" s="20">
        <v>877</v>
      </c>
      <c r="G106" s="20">
        <v>700</v>
      </c>
      <c r="H106" s="20">
        <v>12</v>
      </c>
      <c r="I106" s="20">
        <v>-20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">
      <c r="A107" s="20">
        <v>35403</v>
      </c>
      <c r="B107" s="20">
        <v>48</v>
      </c>
      <c r="C107" s="20">
        <v>877</v>
      </c>
      <c r="D107" s="20">
        <v>576</v>
      </c>
      <c r="E107" s="20">
        <v>884</v>
      </c>
      <c r="F107" s="20">
        <v>877</v>
      </c>
      <c r="G107" s="20">
        <v>700</v>
      </c>
      <c r="H107" s="20">
        <v>12</v>
      </c>
      <c r="I107" s="20">
        <v>0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">
      <c r="A108" s="20">
        <v>35453</v>
      </c>
      <c r="B108" s="20">
        <v>48</v>
      </c>
      <c r="C108" s="20">
        <v>877</v>
      </c>
      <c r="D108" s="20">
        <v>576</v>
      </c>
      <c r="E108" s="20">
        <v>883</v>
      </c>
      <c r="F108" s="20">
        <v>877</v>
      </c>
      <c r="G108" s="20">
        <v>700</v>
      </c>
      <c r="H108" s="20">
        <v>12</v>
      </c>
      <c r="I108" s="20">
        <v>0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">
      <c r="A109" s="20">
        <v>35503</v>
      </c>
      <c r="B109" s="20">
        <v>45</v>
      </c>
      <c r="C109" s="20">
        <v>877</v>
      </c>
      <c r="D109" s="20">
        <v>960</v>
      </c>
      <c r="E109" s="20">
        <v>884</v>
      </c>
      <c r="F109" s="20">
        <v>877</v>
      </c>
      <c r="G109" s="20">
        <v>700</v>
      </c>
      <c r="H109" s="20">
        <v>15</v>
      </c>
      <c r="I109" s="20">
        <v>60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">
      <c r="A110" s="20">
        <v>35553</v>
      </c>
      <c r="B110" s="20">
        <v>47</v>
      </c>
      <c r="C110" s="20">
        <v>877</v>
      </c>
      <c r="D110" s="20">
        <v>464</v>
      </c>
      <c r="E110" s="20">
        <v>883</v>
      </c>
      <c r="F110" s="20">
        <v>877</v>
      </c>
      <c r="G110" s="20">
        <v>700</v>
      </c>
      <c r="H110" s="20">
        <v>13</v>
      </c>
      <c r="I110" s="20">
        <v>-40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">
      <c r="A111" s="20">
        <v>35603</v>
      </c>
      <c r="B111" s="20">
        <v>47</v>
      </c>
      <c r="C111" s="20">
        <v>877</v>
      </c>
      <c r="D111" s="20">
        <v>624</v>
      </c>
      <c r="E111" s="20">
        <v>883</v>
      </c>
      <c r="F111" s="20">
        <v>877</v>
      </c>
      <c r="G111" s="20">
        <v>700</v>
      </c>
      <c r="H111" s="20">
        <v>13</v>
      </c>
      <c r="I111" s="20">
        <v>0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">
      <c r="A112" s="20">
        <v>35653</v>
      </c>
      <c r="B112" s="20">
        <v>45</v>
      </c>
      <c r="C112" s="20">
        <v>877</v>
      </c>
      <c r="D112" s="20">
        <v>880</v>
      </c>
      <c r="E112" s="20">
        <v>882</v>
      </c>
      <c r="F112" s="20">
        <v>877</v>
      </c>
      <c r="G112" s="20">
        <v>700</v>
      </c>
      <c r="H112" s="20">
        <v>15</v>
      </c>
      <c r="I112" s="20">
        <v>40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">
      <c r="A113" s="20">
        <v>35703</v>
      </c>
      <c r="B113" s="20">
        <v>47</v>
      </c>
      <c r="C113" s="20">
        <v>877</v>
      </c>
      <c r="D113" s="20">
        <v>464</v>
      </c>
      <c r="E113" s="20">
        <v>882</v>
      </c>
      <c r="F113" s="20">
        <v>877</v>
      </c>
      <c r="G113" s="20">
        <v>700</v>
      </c>
      <c r="H113" s="20">
        <v>13</v>
      </c>
      <c r="I113" s="20">
        <v>-40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">
      <c r="A114" s="20">
        <v>35753</v>
      </c>
      <c r="B114" s="20">
        <v>48</v>
      </c>
      <c r="C114" s="20">
        <v>877</v>
      </c>
      <c r="D114" s="20">
        <v>496</v>
      </c>
      <c r="E114" s="20">
        <v>881</v>
      </c>
      <c r="F114" s="20">
        <v>877</v>
      </c>
      <c r="G114" s="20">
        <v>700</v>
      </c>
      <c r="H114" s="20">
        <v>12</v>
      </c>
      <c r="I114" s="20">
        <v>-20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">
      <c r="A115" s="20">
        <v>35803</v>
      </c>
      <c r="B115" s="20">
        <v>50</v>
      </c>
      <c r="C115" s="20">
        <v>877</v>
      </c>
      <c r="D115" s="20">
        <v>320</v>
      </c>
      <c r="E115" s="20">
        <v>881</v>
      </c>
      <c r="F115" s="20">
        <v>877</v>
      </c>
      <c r="G115" s="20">
        <v>700</v>
      </c>
      <c r="H115" s="20">
        <v>10</v>
      </c>
      <c r="I115" s="20">
        <v>-40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">
      <c r="A116" s="20">
        <v>35853</v>
      </c>
      <c r="B116" s="20">
        <v>50</v>
      </c>
      <c r="C116" s="20">
        <v>877</v>
      </c>
      <c r="D116" s="20">
        <v>480</v>
      </c>
      <c r="E116" s="20">
        <v>880</v>
      </c>
      <c r="F116" s="20">
        <v>877</v>
      </c>
      <c r="G116" s="20">
        <v>700</v>
      </c>
      <c r="H116" s="20">
        <v>10</v>
      </c>
      <c r="I116" s="20">
        <v>0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">
      <c r="A117" s="20">
        <v>35903</v>
      </c>
      <c r="B117" s="20">
        <v>51</v>
      </c>
      <c r="C117" s="20">
        <v>877</v>
      </c>
      <c r="D117" s="20">
        <v>352</v>
      </c>
      <c r="E117" s="20">
        <v>880</v>
      </c>
      <c r="F117" s="20">
        <v>877</v>
      </c>
      <c r="G117" s="20">
        <v>700</v>
      </c>
      <c r="H117" s="20">
        <v>9</v>
      </c>
      <c r="I117" s="20">
        <v>-20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">
      <c r="A118" s="20">
        <v>35953</v>
      </c>
      <c r="B118" s="20">
        <v>55</v>
      </c>
      <c r="C118" s="20">
        <v>877</v>
      </c>
      <c r="D118" s="20">
        <v>-80</v>
      </c>
      <c r="E118" s="20">
        <v>879</v>
      </c>
      <c r="F118" s="20">
        <v>877</v>
      </c>
      <c r="G118" s="20">
        <v>700</v>
      </c>
      <c r="H118" s="20">
        <v>5</v>
      </c>
      <c r="I118" s="20">
        <v>-80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">
      <c r="A119" s="20">
        <v>36003</v>
      </c>
      <c r="B119" s="20">
        <v>56</v>
      </c>
      <c r="C119" s="20">
        <v>877</v>
      </c>
      <c r="D119" s="20">
        <v>112</v>
      </c>
      <c r="E119" s="20">
        <v>877</v>
      </c>
      <c r="F119" s="20">
        <v>877</v>
      </c>
      <c r="G119" s="20">
        <v>700</v>
      </c>
      <c r="H119" s="20">
        <v>4</v>
      </c>
      <c r="I119" s="20">
        <v>-20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">
      <c r="A120" s="20">
        <v>36053</v>
      </c>
      <c r="B120" s="20">
        <v>50</v>
      </c>
      <c r="C120" s="20">
        <v>877</v>
      </c>
      <c r="D120" s="20">
        <v>960</v>
      </c>
      <c r="E120" s="20">
        <v>877</v>
      </c>
      <c r="F120" s="20">
        <v>877</v>
      </c>
      <c r="G120" s="20">
        <v>700</v>
      </c>
      <c r="H120" s="20">
        <v>10</v>
      </c>
      <c r="I120" s="20">
        <v>120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">
      <c r="A121" s="20">
        <v>36103</v>
      </c>
      <c r="B121" s="20">
        <v>51</v>
      </c>
      <c r="C121" s="20">
        <v>877</v>
      </c>
      <c r="D121" s="20">
        <v>352</v>
      </c>
      <c r="E121" s="20">
        <v>877</v>
      </c>
      <c r="F121" s="20">
        <v>877</v>
      </c>
      <c r="G121" s="20">
        <v>700</v>
      </c>
      <c r="H121" s="20">
        <v>9</v>
      </c>
      <c r="I121" s="20">
        <v>-20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">
      <c r="A122" s="20">
        <v>36153</v>
      </c>
      <c r="B122" s="20">
        <v>53</v>
      </c>
      <c r="C122" s="20">
        <v>876</v>
      </c>
      <c r="D122" s="20">
        <v>176</v>
      </c>
      <c r="E122" s="20">
        <v>876</v>
      </c>
      <c r="F122" s="20">
        <v>877</v>
      </c>
      <c r="G122" s="20">
        <v>700</v>
      </c>
      <c r="H122" s="20">
        <v>7</v>
      </c>
      <c r="I122" s="20">
        <v>-40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">
      <c r="A123" s="20">
        <v>36203</v>
      </c>
      <c r="B123" s="20">
        <v>53</v>
      </c>
      <c r="C123" s="20">
        <v>876</v>
      </c>
      <c r="D123" s="20">
        <v>336</v>
      </c>
      <c r="E123" s="20">
        <v>876</v>
      </c>
      <c r="F123" s="20">
        <v>877</v>
      </c>
      <c r="G123" s="20">
        <v>700</v>
      </c>
      <c r="H123" s="20">
        <v>7</v>
      </c>
      <c r="I123" s="20">
        <v>0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">
      <c r="A124" s="20">
        <v>36253</v>
      </c>
      <c r="B124" s="20">
        <v>54</v>
      </c>
      <c r="C124" s="20">
        <v>875</v>
      </c>
      <c r="D124" s="20">
        <v>208</v>
      </c>
      <c r="E124" s="20">
        <v>875</v>
      </c>
      <c r="F124" s="20">
        <v>877</v>
      </c>
      <c r="G124" s="20">
        <v>700</v>
      </c>
      <c r="H124" s="20">
        <v>6</v>
      </c>
      <c r="I124" s="20">
        <v>-20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">
      <c r="A125" s="20">
        <v>36303</v>
      </c>
      <c r="B125" s="20">
        <v>55</v>
      </c>
      <c r="C125" s="20">
        <v>875</v>
      </c>
      <c r="D125" s="20">
        <v>160</v>
      </c>
      <c r="E125" s="20">
        <v>875</v>
      </c>
      <c r="F125" s="20">
        <v>877</v>
      </c>
      <c r="G125" s="20">
        <v>700</v>
      </c>
      <c r="H125" s="20">
        <v>5</v>
      </c>
      <c r="I125" s="20">
        <v>-20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">
      <c r="A126" s="20">
        <v>36353</v>
      </c>
      <c r="B126" s="20">
        <v>56</v>
      </c>
      <c r="C126" s="20">
        <v>874</v>
      </c>
      <c r="D126" s="20">
        <v>112</v>
      </c>
      <c r="E126" s="20">
        <v>874</v>
      </c>
      <c r="F126" s="20">
        <v>877</v>
      </c>
      <c r="G126" s="20">
        <v>700</v>
      </c>
      <c r="H126" s="20">
        <v>4</v>
      </c>
      <c r="I126" s="20">
        <v>-20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">
      <c r="A127" s="20">
        <v>36403</v>
      </c>
      <c r="B127" s="20">
        <v>57</v>
      </c>
      <c r="C127" s="20">
        <v>874</v>
      </c>
      <c r="D127" s="20">
        <v>64</v>
      </c>
      <c r="E127" s="20">
        <v>874</v>
      </c>
      <c r="F127" s="20">
        <v>877</v>
      </c>
      <c r="G127" s="20">
        <v>700</v>
      </c>
      <c r="H127" s="20">
        <v>3</v>
      </c>
      <c r="I127" s="20">
        <v>-20</v>
      </c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">
      <c r="A128" s="20">
        <v>36453</v>
      </c>
      <c r="B128" s="20">
        <v>51</v>
      </c>
      <c r="C128" s="20">
        <v>874</v>
      </c>
      <c r="D128" s="20">
        <v>912</v>
      </c>
      <c r="E128" s="20">
        <v>874</v>
      </c>
      <c r="F128" s="20">
        <v>877</v>
      </c>
      <c r="G128" s="20">
        <v>700</v>
      </c>
      <c r="H128" s="20">
        <v>9</v>
      </c>
      <c r="I128" s="20">
        <v>120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">
      <c r="A129" s="20">
        <v>36503</v>
      </c>
      <c r="B129" s="20">
        <v>55</v>
      </c>
      <c r="C129" s="20">
        <v>874</v>
      </c>
      <c r="D129" s="20">
        <v>-80</v>
      </c>
      <c r="E129" s="20">
        <v>874</v>
      </c>
      <c r="F129" s="20">
        <v>877</v>
      </c>
      <c r="G129" s="20">
        <v>700</v>
      </c>
      <c r="H129" s="20">
        <v>5</v>
      </c>
      <c r="I129" s="20">
        <v>-80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">
      <c r="A130" s="20">
        <v>36553</v>
      </c>
      <c r="B130" s="20">
        <v>57</v>
      </c>
      <c r="C130" s="20">
        <v>871</v>
      </c>
      <c r="D130" s="20">
        <v>-16</v>
      </c>
      <c r="E130" s="20">
        <v>871</v>
      </c>
      <c r="F130" s="20">
        <v>877</v>
      </c>
      <c r="G130" s="20">
        <v>700</v>
      </c>
      <c r="H130" s="20">
        <v>3</v>
      </c>
      <c r="I130" s="20">
        <v>-40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">
      <c r="A131" s="20">
        <v>36603</v>
      </c>
      <c r="B131" s="20">
        <v>56</v>
      </c>
      <c r="C131" s="20">
        <v>871</v>
      </c>
      <c r="D131" s="20">
        <v>272</v>
      </c>
      <c r="E131" s="20">
        <v>871</v>
      </c>
      <c r="F131" s="20">
        <v>877</v>
      </c>
      <c r="G131" s="20">
        <v>700</v>
      </c>
      <c r="H131" s="20">
        <v>4</v>
      </c>
      <c r="I131" s="20">
        <v>20</v>
      </c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">
      <c r="A132" s="20">
        <v>36653</v>
      </c>
      <c r="B132" s="20">
        <v>58</v>
      </c>
      <c r="C132" s="20">
        <v>870</v>
      </c>
      <c r="D132" s="20">
        <v>-64</v>
      </c>
      <c r="E132" s="20">
        <v>870</v>
      </c>
      <c r="F132" s="20">
        <v>877</v>
      </c>
      <c r="G132" s="20">
        <v>700</v>
      </c>
      <c r="H132" s="20">
        <v>2</v>
      </c>
      <c r="I132" s="20">
        <v>-40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">
      <c r="A133" s="20">
        <v>36703</v>
      </c>
      <c r="B133" s="20">
        <v>59</v>
      </c>
      <c r="C133" s="20">
        <v>870</v>
      </c>
      <c r="D133" s="20">
        <v>-32</v>
      </c>
      <c r="E133" s="20">
        <v>870</v>
      </c>
      <c r="F133" s="20">
        <v>877</v>
      </c>
      <c r="G133" s="20">
        <v>700</v>
      </c>
      <c r="H133" s="20">
        <v>1</v>
      </c>
      <c r="I133" s="20">
        <v>-20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">
      <c r="A134" s="20">
        <v>36753</v>
      </c>
      <c r="B134" s="20">
        <v>60</v>
      </c>
      <c r="C134" s="20">
        <v>869</v>
      </c>
      <c r="D134" s="20">
        <v>-80</v>
      </c>
      <c r="E134" s="20">
        <v>869</v>
      </c>
      <c r="F134" s="20">
        <v>877</v>
      </c>
      <c r="G134" s="20">
        <v>700</v>
      </c>
      <c r="H134" s="20">
        <v>0</v>
      </c>
      <c r="I134" s="20">
        <v>-20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">
      <c r="A135" s="20">
        <v>36803</v>
      </c>
      <c r="B135" s="20">
        <v>61</v>
      </c>
      <c r="C135" s="20">
        <v>869</v>
      </c>
      <c r="D135" s="20">
        <v>-128</v>
      </c>
      <c r="E135" s="20">
        <v>869</v>
      </c>
      <c r="F135" s="20">
        <v>877</v>
      </c>
      <c r="G135" s="20">
        <v>700</v>
      </c>
      <c r="H135" s="20">
        <v>-1</v>
      </c>
      <c r="I135" s="20">
        <v>-20</v>
      </c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">
      <c r="A136" s="20">
        <v>36853</v>
      </c>
      <c r="B136" s="20">
        <v>62</v>
      </c>
      <c r="C136" s="20">
        <v>868</v>
      </c>
      <c r="D136" s="20">
        <v>-176</v>
      </c>
      <c r="E136" s="20">
        <v>868</v>
      </c>
      <c r="F136" s="20">
        <v>877</v>
      </c>
      <c r="G136" s="20">
        <v>700</v>
      </c>
      <c r="H136" s="20">
        <v>-2</v>
      </c>
      <c r="I136" s="20">
        <v>-20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">
      <c r="A137" s="20">
        <v>36903</v>
      </c>
      <c r="B137" s="20">
        <v>63</v>
      </c>
      <c r="C137" s="20">
        <v>868</v>
      </c>
      <c r="D137" s="20">
        <v>-224</v>
      </c>
      <c r="E137" s="20">
        <v>868</v>
      </c>
      <c r="F137" s="20">
        <v>877</v>
      </c>
      <c r="G137" s="20">
        <v>700</v>
      </c>
      <c r="H137" s="20">
        <v>-3</v>
      </c>
      <c r="I137" s="20">
        <v>-20</v>
      </c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">
      <c r="A138" s="20">
        <v>36953</v>
      </c>
      <c r="B138" s="20">
        <v>63</v>
      </c>
      <c r="C138" s="20">
        <v>867</v>
      </c>
      <c r="D138" s="20">
        <v>-144</v>
      </c>
      <c r="E138" s="20">
        <v>867</v>
      </c>
      <c r="F138" s="20">
        <v>877</v>
      </c>
      <c r="G138" s="20">
        <v>700</v>
      </c>
      <c r="H138" s="20">
        <v>-3</v>
      </c>
      <c r="I138" s="20">
        <v>0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">
      <c r="A139" s="20">
        <v>37003</v>
      </c>
      <c r="B139" s="20">
        <v>63</v>
      </c>
      <c r="C139" s="20">
        <v>867</v>
      </c>
      <c r="D139" s="20">
        <v>-144</v>
      </c>
      <c r="E139" s="20">
        <v>867</v>
      </c>
      <c r="F139" s="20">
        <v>877</v>
      </c>
      <c r="G139" s="20">
        <v>700</v>
      </c>
      <c r="H139" s="20">
        <v>-3</v>
      </c>
      <c r="I139" s="20">
        <v>0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">
      <c r="A140" s="20">
        <v>37053</v>
      </c>
      <c r="B140" s="20">
        <v>63</v>
      </c>
      <c r="C140" s="20">
        <v>866</v>
      </c>
      <c r="D140" s="20">
        <v>-144</v>
      </c>
      <c r="E140" s="20">
        <v>866</v>
      </c>
      <c r="F140" s="20">
        <v>877</v>
      </c>
      <c r="G140" s="20">
        <v>700</v>
      </c>
      <c r="H140" s="20">
        <v>-3</v>
      </c>
      <c r="I140" s="20">
        <v>0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">
      <c r="A141" s="20">
        <v>37103</v>
      </c>
      <c r="B141" s="20">
        <v>64</v>
      </c>
      <c r="C141" s="20">
        <v>866</v>
      </c>
      <c r="D141" s="20">
        <v>-272</v>
      </c>
      <c r="E141" s="20">
        <v>866</v>
      </c>
      <c r="F141" s="20">
        <v>877</v>
      </c>
      <c r="G141" s="20">
        <v>700</v>
      </c>
      <c r="H141" s="20">
        <v>-4</v>
      </c>
      <c r="I141" s="20">
        <v>-20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">
      <c r="A142" s="20">
        <v>37153</v>
      </c>
      <c r="B142" s="20">
        <v>64</v>
      </c>
      <c r="C142" s="20">
        <v>865</v>
      </c>
      <c r="D142" s="20">
        <v>-192</v>
      </c>
      <c r="E142" s="20">
        <v>865</v>
      </c>
      <c r="F142" s="20">
        <v>877</v>
      </c>
      <c r="G142" s="20">
        <v>700</v>
      </c>
      <c r="H142" s="20">
        <v>-4</v>
      </c>
      <c r="I142" s="20">
        <v>0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">
      <c r="A143" s="20">
        <v>37203</v>
      </c>
      <c r="B143" s="20">
        <v>61</v>
      </c>
      <c r="C143" s="20">
        <v>865</v>
      </c>
      <c r="D143" s="20">
        <v>192</v>
      </c>
      <c r="E143" s="20">
        <v>865</v>
      </c>
      <c r="F143" s="20">
        <v>877</v>
      </c>
      <c r="G143" s="20">
        <v>865</v>
      </c>
      <c r="H143" s="20">
        <v>-1</v>
      </c>
      <c r="I143" s="20">
        <v>60</v>
      </c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">
      <c r="A144" s="20">
        <v>37253</v>
      </c>
      <c r="B144" s="20">
        <v>57</v>
      </c>
      <c r="C144" s="20">
        <v>865</v>
      </c>
      <c r="D144" s="20">
        <v>464</v>
      </c>
      <c r="E144" s="20">
        <v>860</v>
      </c>
      <c r="F144" s="20">
        <v>877</v>
      </c>
      <c r="G144" s="20">
        <v>865</v>
      </c>
      <c r="H144" s="20">
        <v>3</v>
      </c>
      <c r="I144" s="20">
        <v>80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">
      <c r="A145" s="20">
        <v>37303</v>
      </c>
      <c r="B145" s="20">
        <v>54</v>
      </c>
      <c r="C145" s="20">
        <v>865</v>
      </c>
      <c r="D145" s="20">
        <v>528</v>
      </c>
      <c r="E145" s="20">
        <v>855</v>
      </c>
      <c r="F145" s="20">
        <v>877</v>
      </c>
      <c r="G145" s="20">
        <v>865</v>
      </c>
      <c r="H145" s="20">
        <v>6</v>
      </c>
      <c r="I145" s="20">
        <v>60</v>
      </c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">
      <c r="A146" s="20">
        <v>37353</v>
      </c>
      <c r="B146" s="20">
        <v>58</v>
      </c>
      <c r="C146" s="20">
        <v>865</v>
      </c>
      <c r="D146" s="20">
        <v>-224</v>
      </c>
      <c r="E146" s="20">
        <v>850</v>
      </c>
      <c r="F146" s="20">
        <v>877</v>
      </c>
      <c r="G146" s="20">
        <v>865</v>
      </c>
      <c r="H146" s="20">
        <v>2</v>
      </c>
      <c r="I146" s="20">
        <v>-80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">
      <c r="A147" s="20">
        <v>37403</v>
      </c>
      <c r="B147" s="20">
        <v>61</v>
      </c>
      <c r="C147" s="20">
        <v>865</v>
      </c>
      <c r="D147" s="20">
        <v>-288</v>
      </c>
      <c r="E147" s="20">
        <v>847</v>
      </c>
      <c r="F147" s="20">
        <v>877</v>
      </c>
      <c r="G147" s="20">
        <v>865</v>
      </c>
      <c r="H147" s="20">
        <v>-1</v>
      </c>
      <c r="I147" s="20">
        <v>-60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">
      <c r="A148" s="20">
        <v>37453</v>
      </c>
      <c r="B148" s="20">
        <v>63</v>
      </c>
      <c r="C148" s="20">
        <v>865</v>
      </c>
      <c r="D148" s="20">
        <v>-304</v>
      </c>
      <c r="E148" s="20">
        <v>845</v>
      </c>
      <c r="F148" s="20">
        <v>877</v>
      </c>
      <c r="G148" s="20">
        <v>865</v>
      </c>
      <c r="H148" s="20">
        <v>-3</v>
      </c>
      <c r="I148" s="20">
        <v>-40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">
      <c r="A149" s="20">
        <v>37503</v>
      </c>
      <c r="B149" s="20">
        <v>64</v>
      </c>
      <c r="C149" s="20">
        <v>865</v>
      </c>
      <c r="D149" s="20">
        <v>-272</v>
      </c>
      <c r="E149" s="20">
        <v>844</v>
      </c>
      <c r="F149" s="20">
        <v>877</v>
      </c>
      <c r="G149" s="20">
        <v>865</v>
      </c>
      <c r="H149" s="20">
        <v>-4</v>
      </c>
      <c r="I149" s="20">
        <v>-20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">
      <c r="A150" s="20">
        <v>37553</v>
      </c>
      <c r="B150" s="20">
        <v>65</v>
      </c>
      <c r="C150" s="20">
        <v>865</v>
      </c>
      <c r="D150" s="20">
        <v>-320</v>
      </c>
      <c r="E150" s="20">
        <v>844</v>
      </c>
      <c r="F150" s="20">
        <v>877</v>
      </c>
      <c r="G150" s="20">
        <v>865</v>
      </c>
      <c r="H150" s="20">
        <v>-5</v>
      </c>
      <c r="I150" s="20">
        <v>-20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">
      <c r="A151" s="20">
        <v>37603</v>
      </c>
      <c r="B151" s="20">
        <v>66</v>
      </c>
      <c r="C151" s="20">
        <v>865</v>
      </c>
      <c r="D151" s="20">
        <v>-368</v>
      </c>
      <c r="E151" s="20">
        <v>843</v>
      </c>
      <c r="F151" s="20">
        <v>877</v>
      </c>
      <c r="G151" s="20">
        <v>865</v>
      </c>
      <c r="H151" s="20">
        <v>-6</v>
      </c>
      <c r="I151" s="20">
        <v>-20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">
      <c r="A152" s="20">
        <v>37653</v>
      </c>
      <c r="B152" s="20">
        <v>67</v>
      </c>
      <c r="C152" s="20">
        <v>865</v>
      </c>
      <c r="D152" s="20">
        <v>-416</v>
      </c>
      <c r="E152" s="20">
        <v>843</v>
      </c>
      <c r="F152" s="20">
        <v>877</v>
      </c>
      <c r="G152" s="20">
        <v>865</v>
      </c>
      <c r="H152" s="20">
        <v>-7</v>
      </c>
      <c r="I152" s="20">
        <v>-20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">
      <c r="A153" s="20">
        <v>37703</v>
      </c>
      <c r="B153" s="20">
        <v>67</v>
      </c>
      <c r="C153" s="20">
        <v>865</v>
      </c>
      <c r="D153" s="20">
        <v>-336</v>
      </c>
      <c r="E153" s="20">
        <v>842</v>
      </c>
      <c r="F153" s="20">
        <v>877</v>
      </c>
      <c r="G153" s="20">
        <v>865</v>
      </c>
      <c r="H153" s="20">
        <v>-7</v>
      </c>
      <c r="I153" s="20">
        <v>0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">
      <c r="A154" s="20">
        <v>37753</v>
      </c>
      <c r="B154" s="20">
        <v>67</v>
      </c>
      <c r="C154" s="20">
        <v>865</v>
      </c>
      <c r="D154" s="20">
        <v>-336</v>
      </c>
      <c r="E154" s="20">
        <v>842</v>
      </c>
      <c r="F154" s="20">
        <v>877</v>
      </c>
      <c r="G154" s="20">
        <v>865</v>
      </c>
      <c r="H154" s="20">
        <v>-7</v>
      </c>
      <c r="I154" s="20">
        <v>0</v>
      </c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">
      <c r="A155" s="20">
        <v>37803</v>
      </c>
      <c r="B155" s="20">
        <v>67</v>
      </c>
      <c r="C155" s="20">
        <v>865</v>
      </c>
      <c r="D155" s="20">
        <v>-336</v>
      </c>
      <c r="E155" s="20">
        <v>841</v>
      </c>
      <c r="F155" s="20">
        <v>877</v>
      </c>
      <c r="G155" s="20">
        <v>865</v>
      </c>
      <c r="H155" s="20">
        <v>-7</v>
      </c>
      <c r="I155" s="20">
        <v>0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">
      <c r="A156" s="20">
        <v>37853</v>
      </c>
      <c r="B156" s="20">
        <v>65</v>
      </c>
      <c r="C156" s="20">
        <v>865</v>
      </c>
      <c r="D156" s="20">
        <v>-80</v>
      </c>
      <c r="E156" s="20">
        <v>841</v>
      </c>
      <c r="F156" s="20">
        <v>877</v>
      </c>
      <c r="G156" s="20">
        <v>865</v>
      </c>
      <c r="H156" s="20">
        <v>-5</v>
      </c>
      <c r="I156" s="20">
        <v>40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">
      <c r="A157" s="20">
        <v>37903</v>
      </c>
      <c r="B157" s="20">
        <v>67</v>
      </c>
      <c r="C157" s="20">
        <v>865</v>
      </c>
      <c r="D157" s="20">
        <v>-496</v>
      </c>
      <c r="E157" s="20">
        <v>840</v>
      </c>
      <c r="F157" s="20">
        <v>877</v>
      </c>
      <c r="G157" s="20">
        <v>865</v>
      </c>
      <c r="H157" s="20">
        <v>-7</v>
      </c>
      <c r="I157" s="20">
        <v>-40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">
      <c r="A158" s="20">
        <v>37953</v>
      </c>
      <c r="B158" s="20">
        <v>68</v>
      </c>
      <c r="C158" s="20">
        <v>865</v>
      </c>
      <c r="D158" s="20">
        <v>-464</v>
      </c>
      <c r="E158" s="20">
        <v>840</v>
      </c>
      <c r="F158" s="20">
        <v>877</v>
      </c>
      <c r="G158" s="20">
        <v>865</v>
      </c>
      <c r="H158" s="20">
        <v>-8</v>
      </c>
      <c r="I158" s="20">
        <v>-20</v>
      </c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">
      <c r="A159" s="20">
        <v>38003</v>
      </c>
      <c r="B159" s="20">
        <v>69</v>
      </c>
      <c r="C159" s="20">
        <v>865</v>
      </c>
      <c r="D159" s="20">
        <v>-512</v>
      </c>
      <c r="E159" s="20">
        <v>839</v>
      </c>
      <c r="F159" s="20">
        <v>877</v>
      </c>
      <c r="G159" s="20">
        <v>865</v>
      </c>
      <c r="H159" s="20">
        <v>-9</v>
      </c>
      <c r="I159" s="20">
        <v>-20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">
      <c r="A160" s="20">
        <v>38053</v>
      </c>
      <c r="B160" s="20">
        <v>70</v>
      </c>
      <c r="C160" s="20">
        <v>865</v>
      </c>
      <c r="D160" s="20">
        <v>-560</v>
      </c>
      <c r="E160" s="20">
        <v>839</v>
      </c>
      <c r="F160" s="20">
        <v>877</v>
      </c>
      <c r="G160" s="20">
        <v>865</v>
      </c>
      <c r="H160" s="20">
        <v>-10</v>
      </c>
      <c r="I160" s="20">
        <v>-20</v>
      </c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">
      <c r="A161" s="20">
        <v>38103</v>
      </c>
      <c r="B161" s="20">
        <v>74</v>
      </c>
      <c r="C161" s="20">
        <v>865</v>
      </c>
      <c r="D161" s="20">
        <v>-992</v>
      </c>
      <c r="E161" s="20">
        <v>838</v>
      </c>
      <c r="F161" s="20">
        <v>877</v>
      </c>
      <c r="G161" s="20">
        <v>865</v>
      </c>
      <c r="H161" s="20">
        <v>-14</v>
      </c>
      <c r="I161" s="20">
        <v>-80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">
      <c r="A162" s="20">
        <v>38153</v>
      </c>
      <c r="B162" s="20">
        <v>75</v>
      </c>
      <c r="C162" s="20">
        <v>865</v>
      </c>
      <c r="D162" s="20">
        <v>-800</v>
      </c>
      <c r="E162" s="20">
        <v>836</v>
      </c>
      <c r="F162" s="20">
        <v>877</v>
      </c>
      <c r="G162" s="20">
        <v>865</v>
      </c>
      <c r="H162" s="20">
        <v>-15</v>
      </c>
      <c r="I162" s="20">
        <v>-20</v>
      </c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">
      <c r="A163" s="20">
        <v>38203</v>
      </c>
      <c r="B163" s="20">
        <v>74</v>
      </c>
      <c r="C163" s="20">
        <v>865</v>
      </c>
      <c r="D163" s="20">
        <v>-592</v>
      </c>
      <c r="E163" s="20">
        <v>835</v>
      </c>
      <c r="F163" s="20">
        <v>877</v>
      </c>
      <c r="G163" s="20">
        <v>865</v>
      </c>
      <c r="H163" s="20">
        <v>-14</v>
      </c>
      <c r="I163" s="20">
        <v>20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">
      <c r="A164" s="20">
        <v>38253</v>
      </c>
      <c r="B164" s="20">
        <v>74</v>
      </c>
      <c r="C164" s="20">
        <v>865</v>
      </c>
      <c r="D164" s="20">
        <v>-672</v>
      </c>
      <c r="E164" s="20">
        <v>835</v>
      </c>
      <c r="F164" s="20">
        <v>877</v>
      </c>
      <c r="G164" s="20">
        <v>865</v>
      </c>
      <c r="H164" s="20">
        <v>-14</v>
      </c>
      <c r="I164" s="20">
        <v>0</v>
      </c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">
      <c r="A165" s="20">
        <v>38303</v>
      </c>
      <c r="B165" s="20">
        <v>74</v>
      </c>
      <c r="C165" s="20">
        <v>865</v>
      </c>
      <c r="D165" s="20">
        <v>-672</v>
      </c>
      <c r="E165" s="20">
        <v>834</v>
      </c>
      <c r="F165" s="20">
        <v>877</v>
      </c>
      <c r="G165" s="20">
        <v>865</v>
      </c>
      <c r="H165" s="20">
        <v>-14</v>
      </c>
      <c r="I165" s="20">
        <v>0</v>
      </c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">
      <c r="A166" s="20">
        <v>38353</v>
      </c>
      <c r="B166" s="20">
        <v>72</v>
      </c>
      <c r="C166" s="20">
        <v>865</v>
      </c>
      <c r="D166" s="20">
        <v>-416</v>
      </c>
      <c r="E166" s="20">
        <v>834</v>
      </c>
      <c r="F166" s="20">
        <v>877</v>
      </c>
      <c r="G166" s="20">
        <v>865</v>
      </c>
      <c r="H166" s="20">
        <v>-12</v>
      </c>
      <c r="I166" s="20">
        <v>40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">
      <c r="A167" s="20">
        <v>38403</v>
      </c>
      <c r="B167" s="20">
        <v>74</v>
      </c>
      <c r="C167" s="20">
        <v>865</v>
      </c>
      <c r="D167" s="20">
        <v>-832</v>
      </c>
      <c r="E167" s="20">
        <v>833</v>
      </c>
      <c r="F167" s="20">
        <v>877</v>
      </c>
      <c r="G167" s="20">
        <v>865</v>
      </c>
      <c r="H167" s="20">
        <v>-14</v>
      </c>
      <c r="I167" s="20">
        <v>-40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">
      <c r="A168" s="20">
        <v>38453</v>
      </c>
      <c r="B168" s="20">
        <v>73</v>
      </c>
      <c r="C168" s="20">
        <v>865</v>
      </c>
      <c r="D168" s="20">
        <v>-544</v>
      </c>
      <c r="E168" s="20">
        <v>833</v>
      </c>
      <c r="F168" s="20">
        <v>877</v>
      </c>
      <c r="G168" s="20">
        <v>865</v>
      </c>
      <c r="H168" s="20">
        <v>-13</v>
      </c>
      <c r="I168" s="20">
        <v>20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">
      <c r="A169" s="20">
        <v>38503</v>
      </c>
      <c r="B169" s="20">
        <v>72</v>
      </c>
      <c r="C169" s="20">
        <v>865</v>
      </c>
      <c r="D169" s="20">
        <v>-496</v>
      </c>
      <c r="E169" s="20">
        <v>832</v>
      </c>
      <c r="F169" s="20">
        <v>877</v>
      </c>
      <c r="G169" s="20">
        <v>865</v>
      </c>
      <c r="H169" s="20">
        <v>-12</v>
      </c>
      <c r="I169" s="20">
        <v>20</v>
      </c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">
      <c r="A170" s="20">
        <v>38553</v>
      </c>
      <c r="B170" s="20">
        <v>72</v>
      </c>
      <c r="C170" s="20">
        <v>865</v>
      </c>
      <c r="D170" s="20">
        <v>-576</v>
      </c>
      <c r="E170" s="20">
        <v>832</v>
      </c>
      <c r="F170" s="20">
        <v>877</v>
      </c>
      <c r="G170" s="20">
        <v>865</v>
      </c>
      <c r="H170" s="20">
        <v>-12</v>
      </c>
      <c r="I170" s="20">
        <v>0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">
      <c r="A171" s="20">
        <v>38603</v>
      </c>
      <c r="B171" s="20">
        <v>70</v>
      </c>
      <c r="C171" s="20">
        <v>865</v>
      </c>
      <c r="D171" s="20">
        <v>-320</v>
      </c>
      <c r="E171" s="20">
        <v>831</v>
      </c>
      <c r="F171" s="20">
        <v>877</v>
      </c>
      <c r="G171" s="20">
        <v>865</v>
      </c>
      <c r="H171" s="20">
        <v>-10</v>
      </c>
      <c r="I171" s="20">
        <v>40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">
      <c r="A172" s="20">
        <v>38653</v>
      </c>
      <c r="B172" s="20">
        <v>66</v>
      </c>
      <c r="C172" s="20">
        <v>865</v>
      </c>
      <c r="D172" s="20">
        <v>32</v>
      </c>
      <c r="E172" s="20">
        <v>831</v>
      </c>
      <c r="F172" s="20">
        <v>877</v>
      </c>
      <c r="G172" s="20">
        <v>865</v>
      </c>
      <c r="H172" s="20">
        <v>-6</v>
      </c>
      <c r="I172" s="20">
        <v>80</v>
      </c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">
      <c r="A173" s="20">
        <v>38703</v>
      </c>
      <c r="B173" s="20">
        <v>61</v>
      </c>
      <c r="C173" s="20">
        <v>865</v>
      </c>
      <c r="D173" s="20">
        <v>352</v>
      </c>
      <c r="E173" s="20">
        <v>826</v>
      </c>
      <c r="F173" s="20">
        <v>877</v>
      </c>
      <c r="G173" s="20">
        <v>865</v>
      </c>
      <c r="H173" s="20">
        <v>-1</v>
      </c>
      <c r="I173" s="20">
        <v>100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">
      <c r="A174" s="20">
        <v>38753</v>
      </c>
      <c r="B174" s="20">
        <v>59</v>
      </c>
      <c r="C174" s="20">
        <v>865</v>
      </c>
      <c r="D174" s="20">
        <v>208</v>
      </c>
      <c r="E174" s="20">
        <v>821</v>
      </c>
      <c r="F174" s="20">
        <v>877</v>
      </c>
      <c r="G174" s="20">
        <v>865</v>
      </c>
      <c r="H174" s="20">
        <v>1</v>
      </c>
      <c r="I174" s="20">
        <v>40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">
      <c r="A175" s="20">
        <v>38803</v>
      </c>
      <c r="B175" s="20">
        <v>56</v>
      </c>
      <c r="C175" s="20">
        <v>865</v>
      </c>
      <c r="D175" s="20">
        <v>432</v>
      </c>
      <c r="E175" s="20">
        <v>820</v>
      </c>
      <c r="F175" s="20">
        <v>877</v>
      </c>
      <c r="G175" s="20">
        <v>865</v>
      </c>
      <c r="H175" s="20">
        <v>4</v>
      </c>
      <c r="I175" s="20">
        <v>60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">
      <c r="A176" s="20">
        <v>38853</v>
      </c>
      <c r="B176" s="20">
        <v>63</v>
      </c>
      <c r="C176" s="20">
        <v>865</v>
      </c>
      <c r="D176" s="20">
        <v>-704</v>
      </c>
      <c r="E176" s="20">
        <v>815</v>
      </c>
      <c r="F176" s="20">
        <v>877</v>
      </c>
      <c r="G176" s="20">
        <v>865</v>
      </c>
      <c r="H176" s="20">
        <v>-3</v>
      </c>
      <c r="I176" s="20">
        <v>-140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">
      <c r="A177" s="20">
        <v>38903</v>
      </c>
      <c r="B177" s="20">
        <v>68</v>
      </c>
      <c r="C177" s="20">
        <v>865</v>
      </c>
      <c r="D177" s="20">
        <v>-784</v>
      </c>
      <c r="E177" s="20">
        <v>810</v>
      </c>
      <c r="F177" s="20">
        <v>877</v>
      </c>
      <c r="G177" s="20">
        <v>865</v>
      </c>
      <c r="H177" s="20">
        <v>-8</v>
      </c>
      <c r="I177" s="20">
        <v>-100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">
      <c r="A178" s="20">
        <v>38953</v>
      </c>
      <c r="B178" s="20">
        <v>71</v>
      </c>
      <c r="C178" s="20">
        <v>865</v>
      </c>
      <c r="D178" s="20">
        <v>-768</v>
      </c>
      <c r="E178" s="20">
        <v>805</v>
      </c>
      <c r="F178" s="20">
        <v>877</v>
      </c>
      <c r="G178" s="20">
        <v>865</v>
      </c>
      <c r="H178" s="20">
        <v>-11</v>
      </c>
      <c r="I178" s="20">
        <v>-60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">
      <c r="A179" s="20">
        <v>39003</v>
      </c>
      <c r="B179" s="20">
        <v>70</v>
      </c>
      <c r="C179" s="20">
        <v>865</v>
      </c>
      <c r="D179" s="20">
        <v>-400</v>
      </c>
      <c r="E179" s="20">
        <v>803</v>
      </c>
      <c r="F179" s="20">
        <v>877</v>
      </c>
      <c r="G179" s="20">
        <v>865</v>
      </c>
      <c r="H179" s="20">
        <v>-10</v>
      </c>
      <c r="I179" s="20">
        <v>20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">
      <c r="A180" s="20">
        <v>39053</v>
      </c>
      <c r="B180" s="20">
        <v>73</v>
      </c>
      <c r="C180" s="20">
        <v>865</v>
      </c>
      <c r="D180" s="20">
        <v>-864</v>
      </c>
      <c r="E180" s="20">
        <v>802</v>
      </c>
      <c r="F180" s="20">
        <v>877</v>
      </c>
      <c r="G180" s="20">
        <v>865</v>
      </c>
      <c r="H180" s="20">
        <v>-13</v>
      </c>
      <c r="I180" s="20">
        <v>-60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">
      <c r="A181" s="20">
        <v>39103</v>
      </c>
      <c r="B181" s="20">
        <v>74</v>
      </c>
      <c r="C181" s="20">
        <v>865</v>
      </c>
      <c r="D181" s="20">
        <v>-752</v>
      </c>
      <c r="E181" s="20">
        <v>800</v>
      </c>
      <c r="F181" s="20">
        <v>877</v>
      </c>
      <c r="G181" s="20">
        <v>865</v>
      </c>
      <c r="H181" s="20">
        <v>-14</v>
      </c>
      <c r="I181" s="20">
        <v>-20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">
      <c r="A182" s="20">
        <v>39153</v>
      </c>
      <c r="B182" s="20">
        <v>76</v>
      </c>
      <c r="C182" s="20">
        <v>865</v>
      </c>
      <c r="D182" s="20">
        <v>-928</v>
      </c>
      <c r="E182" s="20">
        <v>799</v>
      </c>
      <c r="F182" s="20">
        <v>877</v>
      </c>
      <c r="G182" s="20">
        <v>865</v>
      </c>
      <c r="H182" s="20">
        <v>-16</v>
      </c>
      <c r="I182" s="20">
        <v>-40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">
      <c r="A183" s="20">
        <v>39203</v>
      </c>
      <c r="B183" s="20">
        <v>78</v>
      </c>
      <c r="C183" s="20">
        <v>865</v>
      </c>
      <c r="D183" s="20">
        <v>-1024</v>
      </c>
      <c r="E183" s="20">
        <v>799</v>
      </c>
      <c r="F183" s="20">
        <v>877</v>
      </c>
      <c r="G183" s="20">
        <v>865</v>
      </c>
      <c r="H183" s="20">
        <v>-18</v>
      </c>
      <c r="I183" s="20">
        <v>-40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">
      <c r="A184" s="20">
        <v>39253</v>
      </c>
      <c r="B184" s="20">
        <v>78</v>
      </c>
      <c r="C184" s="20">
        <v>865</v>
      </c>
      <c r="D184" s="20">
        <v>-864</v>
      </c>
      <c r="E184" s="20">
        <v>798</v>
      </c>
      <c r="F184" s="20">
        <v>877</v>
      </c>
      <c r="G184" s="20">
        <v>865</v>
      </c>
      <c r="H184" s="20">
        <v>-18</v>
      </c>
      <c r="I184" s="20">
        <v>0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">
      <c r="A185" s="20">
        <v>39303</v>
      </c>
      <c r="B185" s="20">
        <v>78</v>
      </c>
      <c r="C185" s="20">
        <v>865</v>
      </c>
      <c r="D185" s="20">
        <v>-864</v>
      </c>
      <c r="E185" s="20">
        <v>798</v>
      </c>
      <c r="F185" s="20">
        <v>877</v>
      </c>
      <c r="G185" s="20">
        <v>865</v>
      </c>
      <c r="H185" s="20">
        <v>-18</v>
      </c>
      <c r="I185" s="20">
        <v>0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">
      <c r="A186" s="20">
        <v>39353</v>
      </c>
      <c r="B186" s="20">
        <v>75</v>
      </c>
      <c r="C186" s="20">
        <v>865</v>
      </c>
      <c r="D186" s="20">
        <v>-480</v>
      </c>
      <c r="E186" s="20">
        <v>797</v>
      </c>
      <c r="F186" s="20">
        <v>877</v>
      </c>
      <c r="G186" s="20">
        <v>865</v>
      </c>
      <c r="H186" s="20">
        <v>-15</v>
      </c>
      <c r="I186" s="20">
        <v>60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">
      <c r="A187" s="20">
        <v>39403</v>
      </c>
      <c r="B187" s="20">
        <v>73</v>
      </c>
      <c r="C187" s="20">
        <v>865</v>
      </c>
      <c r="D187" s="20">
        <v>-464</v>
      </c>
      <c r="E187" s="20">
        <v>792</v>
      </c>
      <c r="F187" s="20">
        <v>877</v>
      </c>
      <c r="G187" s="20">
        <v>865</v>
      </c>
      <c r="H187" s="20">
        <v>-13</v>
      </c>
      <c r="I187" s="20">
        <v>40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">
      <c r="A188" s="20">
        <v>39453</v>
      </c>
      <c r="B188" s="20">
        <v>65</v>
      </c>
      <c r="C188" s="20">
        <v>865</v>
      </c>
      <c r="D188" s="20">
        <v>400</v>
      </c>
      <c r="E188" s="20">
        <v>792</v>
      </c>
      <c r="F188" s="20">
        <v>877</v>
      </c>
      <c r="G188" s="20">
        <v>865</v>
      </c>
      <c r="H188" s="20">
        <v>-5</v>
      </c>
      <c r="I188" s="20">
        <v>160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">
      <c r="A189" s="20">
        <v>39503</v>
      </c>
      <c r="B189" s="20">
        <v>65</v>
      </c>
      <c r="C189" s="20">
        <v>865</v>
      </c>
      <c r="D189" s="20">
        <v>-240</v>
      </c>
      <c r="E189" s="20">
        <v>791</v>
      </c>
      <c r="F189" s="20">
        <v>877</v>
      </c>
      <c r="G189" s="20">
        <v>865</v>
      </c>
      <c r="H189" s="20">
        <v>-5</v>
      </c>
      <c r="I189" s="20">
        <v>0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">
      <c r="A190" s="20">
        <v>39553</v>
      </c>
      <c r="B190" s="20">
        <v>64</v>
      </c>
      <c r="C190" s="20">
        <v>865</v>
      </c>
      <c r="D190" s="20">
        <v>-112</v>
      </c>
      <c r="E190" s="20">
        <v>791</v>
      </c>
      <c r="F190" s="20">
        <v>877</v>
      </c>
      <c r="G190" s="20">
        <v>865</v>
      </c>
      <c r="H190" s="20">
        <v>-4</v>
      </c>
      <c r="I190" s="20">
        <v>20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">
      <c r="A191" s="20">
        <v>39603</v>
      </c>
      <c r="B191" s="20">
        <v>63</v>
      </c>
      <c r="C191" s="20">
        <v>865</v>
      </c>
      <c r="D191" s="20">
        <v>-64</v>
      </c>
      <c r="E191" s="20">
        <v>790</v>
      </c>
      <c r="F191" s="20">
        <v>877</v>
      </c>
      <c r="G191" s="20">
        <v>865</v>
      </c>
      <c r="H191" s="20">
        <v>-3</v>
      </c>
      <c r="I191" s="20">
        <v>20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">
      <c r="A192" s="20">
        <v>39653</v>
      </c>
      <c r="B192" s="20">
        <v>69</v>
      </c>
      <c r="C192" s="20">
        <v>865</v>
      </c>
      <c r="D192" s="20">
        <v>-912</v>
      </c>
      <c r="E192" s="20">
        <v>790</v>
      </c>
      <c r="F192" s="20">
        <v>877</v>
      </c>
      <c r="G192" s="20">
        <v>865</v>
      </c>
      <c r="H192" s="20">
        <v>-9</v>
      </c>
      <c r="I192" s="20">
        <v>-120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">
      <c r="A193" s="20">
        <v>39703</v>
      </c>
      <c r="B193" s="20">
        <v>73</v>
      </c>
      <c r="C193" s="20">
        <v>865</v>
      </c>
      <c r="D193" s="20">
        <v>-944</v>
      </c>
      <c r="E193" s="20">
        <v>789</v>
      </c>
      <c r="F193" s="20">
        <v>877</v>
      </c>
      <c r="G193" s="20">
        <v>865</v>
      </c>
      <c r="H193" s="20">
        <v>-13</v>
      </c>
      <c r="I193" s="20">
        <v>-80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">
      <c r="A194" s="20">
        <v>39753</v>
      </c>
      <c r="B194" s="20">
        <v>71</v>
      </c>
      <c r="C194" s="20">
        <v>865</v>
      </c>
      <c r="D194" s="20">
        <v>-368</v>
      </c>
      <c r="E194" s="20">
        <v>787</v>
      </c>
      <c r="F194" s="20">
        <v>877</v>
      </c>
      <c r="G194" s="20">
        <v>865</v>
      </c>
      <c r="H194" s="20">
        <v>-11</v>
      </c>
      <c r="I194" s="20">
        <v>40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">
      <c r="A195" s="20">
        <v>39803</v>
      </c>
      <c r="B195" s="20">
        <v>74</v>
      </c>
      <c r="C195" s="20">
        <v>865</v>
      </c>
      <c r="D195" s="20">
        <v>-912</v>
      </c>
      <c r="E195" s="20">
        <v>786</v>
      </c>
      <c r="F195" s="20">
        <v>877</v>
      </c>
      <c r="G195" s="20">
        <v>865</v>
      </c>
      <c r="H195" s="20">
        <v>-14</v>
      </c>
      <c r="I195" s="20">
        <v>-60</v>
      </c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">
      <c r="A196" s="20">
        <v>39853</v>
      </c>
      <c r="B196" s="20">
        <v>77</v>
      </c>
      <c r="C196" s="20">
        <v>865</v>
      </c>
      <c r="D196" s="20">
        <v>-1056</v>
      </c>
      <c r="E196" s="20">
        <v>784</v>
      </c>
      <c r="F196" s="20">
        <v>877</v>
      </c>
      <c r="G196" s="20">
        <v>865</v>
      </c>
      <c r="H196" s="20">
        <v>-17</v>
      </c>
      <c r="I196" s="20">
        <v>-60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">
      <c r="A197" s="20">
        <v>39903</v>
      </c>
      <c r="B197" s="20">
        <v>79</v>
      </c>
      <c r="C197" s="20">
        <v>865</v>
      </c>
      <c r="D197" s="20">
        <v>-1072</v>
      </c>
      <c r="E197" s="20">
        <v>781</v>
      </c>
      <c r="F197" s="20">
        <v>877</v>
      </c>
      <c r="G197" s="20">
        <v>865</v>
      </c>
      <c r="H197" s="20">
        <v>-19</v>
      </c>
      <c r="I197" s="20">
        <v>-40</v>
      </c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">
      <c r="A198" s="20">
        <v>39953</v>
      </c>
      <c r="B198" s="20">
        <v>65</v>
      </c>
      <c r="C198" s="20">
        <v>865</v>
      </c>
      <c r="D198" s="20">
        <v>880</v>
      </c>
      <c r="E198" s="20">
        <v>782</v>
      </c>
      <c r="F198" s="20">
        <v>877</v>
      </c>
      <c r="G198" s="20">
        <v>865</v>
      </c>
      <c r="H198" s="20">
        <v>-5</v>
      </c>
      <c r="I198" s="20">
        <v>280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">
      <c r="A199" s="20">
        <v>40003</v>
      </c>
      <c r="B199" s="20">
        <v>71</v>
      </c>
      <c r="C199" s="20">
        <v>865</v>
      </c>
      <c r="D199" s="20">
        <v>-1008</v>
      </c>
      <c r="E199" s="20">
        <v>781</v>
      </c>
      <c r="F199" s="20">
        <v>877</v>
      </c>
      <c r="G199" s="20">
        <v>865</v>
      </c>
      <c r="H199" s="20">
        <v>-11</v>
      </c>
      <c r="I199" s="20">
        <v>-120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">
      <c r="A200" s="20">
        <v>40053</v>
      </c>
      <c r="B200" s="20">
        <v>63</v>
      </c>
      <c r="C200" s="20">
        <v>865</v>
      </c>
      <c r="D200" s="20">
        <v>496</v>
      </c>
      <c r="E200" s="20">
        <v>781</v>
      </c>
      <c r="F200" s="20">
        <v>877</v>
      </c>
      <c r="G200" s="20">
        <v>865</v>
      </c>
      <c r="H200" s="20">
        <v>-3</v>
      </c>
      <c r="I200" s="20">
        <v>160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">
      <c r="A201" s="20">
        <v>40103</v>
      </c>
      <c r="B201" s="20">
        <v>69</v>
      </c>
      <c r="C201" s="20">
        <v>865</v>
      </c>
      <c r="D201" s="20">
        <v>-912</v>
      </c>
      <c r="E201" s="20">
        <v>780</v>
      </c>
      <c r="F201" s="20">
        <v>877</v>
      </c>
      <c r="G201" s="20">
        <v>865</v>
      </c>
      <c r="H201" s="20">
        <v>-9</v>
      </c>
      <c r="I201" s="20">
        <v>-120</v>
      </c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">
      <c r="A202" s="20">
        <v>40153</v>
      </c>
      <c r="B202" s="20">
        <v>72</v>
      </c>
      <c r="C202" s="20">
        <v>865</v>
      </c>
      <c r="D202" s="20">
        <v>-816</v>
      </c>
      <c r="E202" s="20">
        <v>780</v>
      </c>
      <c r="F202" s="20">
        <v>877</v>
      </c>
      <c r="G202" s="20">
        <v>865</v>
      </c>
      <c r="H202" s="20">
        <v>-12</v>
      </c>
      <c r="I202" s="20">
        <v>-60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">
      <c r="A203" s="20">
        <v>40203</v>
      </c>
      <c r="B203" s="20">
        <v>75</v>
      </c>
      <c r="C203" s="20">
        <v>865</v>
      </c>
      <c r="D203" s="20">
        <v>-960</v>
      </c>
      <c r="E203" s="20">
        <v>777</v>
      </c>
      <c r="F203" s="20">
        <v>877</v>
      </c>
      <c r="G203" s="20">
        <v>865</v>
      </c>
      <c r="H203" s="20">
        <v>-15</v>
      </c>
      <c r="I203" s="20">
        <v>-60</v>
      </c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">
      <c r="A204" s="20">
        <v>40253</v>
      </c>
      <c r="B204" s="20">
        <v>77</v>
      </c>
      <c r="C204" s="20">
        <v>865</v>
      </c>
      <c r="D204" s="20">
        <v>-976</v>
      </c>
      <c r="E204" s="20">
        <v>775</v>
      </c>
      <c r="F204" s="20">
        <v>877</v>
      </c>
      <c r="G204" s="20">
        <v>865</v>
      </c>
      <c r="H204" s="20">
        <v>-17</v>
      </c>
      <c r="I204" s="20">
        <v>-40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">
      <c r="A205" s="20">
        <v>40303</v>
      </c>
      <c r="B205" s="20">
        <v>79</v>
      </c>
      <c r="C205" s="20">
        <v>865</v>
      </c>
      <c r="D205" s="20">
        <v>-1072</v>
      </c>
      <c r="E205" s="20">
        <v>774</v>
      </c>
      <c r="F205" s="20">
        <v>877</v>
      </c>
      <c r="G205" s="20">
        <v>865</v>
      </c>
      <c r="H205" s="20">
        <v>-19</v>
      </c>
      <c r="I205" s="20">
        <v>-40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">
      <c r="A206" s="20">
        <v>40353</v>
      </c>
      <c r="B206" s="20">
        <v>81</v>
      </c>
      <c r="C206" s="20">
        <v>865</v>
      </c>
      <c r="D206" s="20">
        <v>-1168</v>
      </c>
      <c r="E206" s="20">
        <v>774</v>
      </c>
      <c r="F206" s="20">
        <v>877</v>
      </c>
      <c r="G206" s="20">
        <v>865</v>
      </c>
      <c r="H206" s="20">
        <v>-21</v>
      </c>
      <c r="I206" s="20">
        <v>-40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">
      <c r="A207" s="20">
        <v>40403</v>
      </c>
      <c r="B207" s="20">
        <v>82</v>
      </c>
      <c r="C207" s="20">
        <v>865</v>
      </c>
      <c r="D207" s="20">
        <v>-1136</v>
      </c>
      <c r="E207" s="20">
        <v>773</v>
      </c>
      <c r="F207" s="20">
        <v>877</v>
      </c>
      <c r="G207" s="20">
        <v>865</v>
      </c>
      <c r="H207" s="20">
        <v>-22</v>
      </c>
      <c r="I207" s="20">
        <v>-20</v>
      </c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">
      <c r="A208" s="20">
        <v>40453</v>
      </c>
      <c r="B208" s="20">
        <v>83</v>
      </c>
      <c r="C208" s="20">
        <v>865</v>
      </c>
      <c r="D208" s="20">
        <v>-1184</v>
      </c>
      <c r="E208" s="20">
        <v>773</v>
      </c>
      <c r="F208" s="20">
        <v>877</v>
      </c>
      <c r="G208" s="20">
        <v>865</v>
      </c>
      <c r="H208" s="20">
        <v>-23</v>
      </c>
      <c r="I208" s="20">
        <v>-20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">
      <c r="A209" s="20">
        <v>40503</v>
      </c>
      <c r="B209" s="20">
        <v>83</v>
      </c>
      <c r="C209" s="20">
        <v>865</v>
      </c>
      <c r="D209" s="20">
        <v>-1104</v>
      </c>
      <c r="E209" s="20">
        <v>772</v>
      </c>
      <c r="F209" s="20">
        <v>877</v>
      </c>
      <c r="G209" s="20">
        <v>865</v>
      </c>
      <c r="H209" s="20">
        <v>-23</v>
      </c>
      <c r="I209" s="20">
        <v>0</v>
      </c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">
      <c r="A210" s="20">
        <v>40553</v>
      </c>
      <c r="B210" s="20">
        <v>84</v>
      </c>
      <c r="C210" s="20">
        <v>865</v>
      </c>
      <c r="D210" s="20">
        <v>-1232</v>
      </c>
      <c r="E210" s="20">
        <v>772</v>
      </c>
      <c r="F210" s="20">
        <v>877</v>
      </c>
      <c r="G210" s="20">
        <v>865</v>
      </c>
      <c r="H210" s="20">
        <v>-24</v>
      </c>
      <c r="I210" s="20">
        <v>-20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">
      <c r="A211" s="20">
        <v>40603</v>
      </c>
      <c r="B211" s="20">
        <v>81</v>
      </c>
      <c r="C211" s="20">
        <v>865</v>
      </c>
      <c r="D211" s="20">
        <v>-768</v>
      </c>
      <c r="E211" s="20">
        <v>771</v>
      </c>
      <c r="F211" s="20">
        <v>877</v>
      </c>
      <c r="G211" s="20">
        <v>865</v>
      </c>
      <c r="H211" s="20">
        <v>-21</v>
      </c>
      <c r="I211" s="20">
        <v>60</v>
      </c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">
      <c r="A212" s="20">
        <v>40653</v>
      </c>
      <c r="B212" s="20">
        <v>79</v>
      </c>
      <c r="C212" s="20">
        <v>865</v>
      </c>
      <c r="D212" s="20">
        <v>-752</v>
      </c>
      <c r="E212" s="20">
        <v>766</v>
      </c>
      <c r="F212" s="20">
        <v>877</v>
      </c>
      <c r="G212" s="20">
        <v>865</v>
      </c>
      <c r="H212" s="20">
        <v>-19</v>
      </c>
      <c r="I212" s="20">
        <v>40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">
      <c r="A213" s="20">
        <v>40703</v>
      </c>
      <c r="B213" s="20">
        <v>76</v>
      </c>
      <c r="C213" s="20">
        <v>865</v>
      </c>
      <c r="D213" s="20">
        <v>-528</v>
      </c>
      <c r="E213" s="20">
        <v>766</v>
      </c>
      <c r="F213" s="20">
        <v>877</v>
      </c>
      <c r="G213" s="20">
        <v>865</v>
      </c>
      <c r="H213" s="20">
        <v>-16</v>
      </c>
      <c r="I213" s="20">
        <v>60</v>
      </c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">
      <c r="A214" s="20">
        <v>40753</v>
      </c>
      <c r="B214" s="20">
        <v>79</v>
      </c>
      <c r="C214" s="20">
        <v>865</v>
      </c>
      <c r="D214" s="20">
        <v>-1152</v>
      </c>
      <c r="E214" s="20">
        <v>761</v>
      </c>
      <c r="F214" s="20">
        <v>877</v>
      </c>
      <c r="G214" s="20">
        <v>865</v>
      </c>
      <c r="H214" s="20">
        <v>-19</v>
      </c>
      <c r="I214" s="20">
        <v>-60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">
      <c r="A215" s="20">
        <v>40803</v>
      </c>
      <c r="B215" s="20">
        <v>81</v>
      </c>
      <c r="C215" s="20">
        <v>865</v>
      </c>
      <c r="D215" s="20">
        <v>-1168</v>
      </c>
      <c r="E215" s="20">
        <v>758</v>
      </c>
      <c r="F215" s="20">
        <v>877</v>
      </c>
      <c r="G215" s="20">
        <v>865</v>
      </c>
      <c r="H215" s="20">
        <v>-21</v>
      </c>
      <c r="I215" s="20">
        <v>-40</v>
      </c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">
      <c r="A216" s="20">
        <v>40853</v>
      </c>
      <c r="B216" s="20">
        <v>82</v>
      </c>
      <c r="C216" s="20">
        <v>865</v>
      </c>
      <c r="D216" s="20">
        <v>-1136</v>
      </c>
      <c r="E216" s="20">
        <v>758</v>
      </c>
      <c r="F216" s="20">
        <v>877</v>
      </c>
      <c r="G216" s="20">
        <v>865</v>
      </c>
      <c r="H216" s="20">
        <v>-22</v>
      </c>
      <c r="I216" s="20">
        <v>-20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">
      <c r="A217" s="20">
        <v>40903</v>
      </c>
      <c r="B217" s="20">
        <v>80</v>
      </c>
      <c r="C217" s="20">
        <v>865</v>
      </c>
      <c r="D217" s="20">
        <v>-800</v>
      </c>
      <c r="E217" s="20">
        <v>757</v>
      </c>
      <c r="F217" s="20">
        <v>877</v>
      </c>
      <c r="G217" s="20">
        <v>865</v>
      </c>
      <c r="H217" s="20">
        <v>-20</v>
      </c>
      <c r="I217" s="20">
        <v>40</v>
      </c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">
      <c r="A218" s="20">
        <v>40953</v>
      </c>
      <c r="B218" s="20">
        <v>82</v>
      </c>
      <c r="C218" s="20">
        <v>865</v>
      </c>
      <c r="D218" s="20">
        <v>-1216</v>
      </c>
      <c r="E218" s="20">
        <v>757</v>
      </c>
      <c r="F218" s="20">
        <v>877</v>
      </c>
      <c r="G218" s="20">
        <v>865</v>
      </c>
      <c r="H218" s="20">
        <v>-22</v>
      </c>
      <c r="I218" s="20">
        <v>-40</v>
      </c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">
      <c r="A219" s="20">
        <v>41003</v>
      </c>
      <c r="B219" s="20">
        <v>80</v>
      </c>
      <c r="C219" s="20">
        <v>865</v>
      </c>
      <c r="D219" s="20">
        <v>-800</v>
      </c>
      <c r="E219" s="20">
        <v>756</v>
      </c>
      <c r="F219" s="20">
        <v>877</v>
      </c>
      <c r="G219" s="20">
        <v>865</v>
      </c>
      <c r="H219" s="20">
        <v>-20</v>
      </c>
      <c r="I219" s="20">
        <v>40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">
      <c r="A220" s="20">
        <v>41053</v>
      </c>
      <c r="B220" s="20">
        <v>81</v>
      </c>
      <c r="C220" s="20">
        <v>865</v>
      </c>
      <c r="D220" s="20">
        <v>-1088</v>
      </c>
      <c r="E220" s="20">
        <v>756</v>
      </c>
      <c r="F220" s="20">
        <v>877</v>
      </c>
      <c r="G220" s="20">
        <v>865</v>
      </c>
      <c r="H220" s="20">
        <v>-21</v>
      </c>
      <c r="I220" s="20">
        <v>-20</v>
      </c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">
      <c r="A221" s="20">
        <v>41103</v>
      </c>
      <c r="B221" s="20">
        <v>80</v>
      </c>
      <c r="C221" s="20">
        <v>865</v>
      </c>
      <c r="D221" s="20">
        <v>-880</v>
      </c>
      <c r="E221" s="20">
        <v>755</v>
      </c>
      <c r="F221" s="20">
        <v>877</v>
      </c>
      <c r="G221" s="20">
        <v>865</v>
      </c>
      <c r="H221" s="20">
        <v>-20</v>
      </c>
      <c r="I221" s="20">
        <v>20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">
      <c r="A222" s="20">
        <v>41153</v>
      </c>
      <c r="B222" s="20">
        <v>78</v>
      </c>
      <c r="C222" s="20">
        <v>865</v>
      </c>
      <c r="D222" s="20">
        <v>-704</v>
      </c>
      <c r="E222" s="20">
        <v>755</v>
      </c>
      <c r="F222" s="20">
        <v>877</v>
      </c>
      <c r="G222" s="20">
        <v>865</v>
      </c>
      <c r="H222" s="20">
        <v>-18</v>
      </c>
      <c r="I222" s="20">
        <v>40</v>
      </c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">
      <c r="A223" s="20">
        <v>41203</v>
      </c>
      <c r="B223" s="20">
        <v>73</v>
      </c>
      <c r="C223" s="20">
        <v>865</v>
      </c>
      <c r="D223" s="20">
        <v>-224</v>
      </c>
      <c r="E223" s="20">
        <v>754</v>
      </c>
      <c r="F223" s="20">
        <v>877</v>
      </c>
      <c r="G223" s="20">
        <v>865</v>
      </c>
      <c r="H223" s="20">
        <v>-13</v>
      </c>
      <c r="I223" s="20">
        <v>100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">
      <c r="A224" s="20">
        <v>41253</v>
      </c>
      <c r="B224" s="20">
        <v>77</v>
      </c>
      <c r="C224" s="20">
        <v>865</v>
      </c>
      <c r="D224" s="20">
        <v>-1136</v>
      </c>
      <c r="E224" s="20">
        <v>754</v>
      </c>
      <c r="F224" s="20">
        <v>877</v>
      </c>
      <c r="G224" s="20">
        <v>865</v>
      </c>
      <c r="H224" s="20">
        <v>-17</v>
      </c>
      <c r="I224" s="20">
        <v>-80</v>
      </c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">
      <c r="A225" s="20">
        <v>41303</v>
      </c>
      <c r="B225" s="20">
        <v>81</v>
      </c>
      <c r="C225" s="20">
        <v>865</v>
      </c>
      <c r="D225" s="20">
        <v>-1328</v>
      </c>
      <c r="E225" s="20">
        <v>751</v>
      </c>
      <c r="F225" s="20">
        <v>877</v>
      </c>
      <c r="G225" s="20">
        <v>865</v>
      </c>
      <c r="H225" s="20">
        <v>-21</v>
      </c>
      <c r="I225" s="20">
        <v>-80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">
      <c r="A226" s="20">
        <v>41353</v>
      </c>
      <c r="B226" s="20">
        <v>79</v>
      </c>
      <c r="C226" s="20">
        <v>865</v>
      </c>
      <c r="D226" s="20">
        <v>-752</v>
      </c>
      <c r="E226" s="20">
        <v>749</v>
      </c>
      <c r="F226" s="20">
        <v>877</v>
      </c>
      <c r="G226" s="20">
        <v>865</v>
      </c>
      <c r="H226" s="20">
        <v>-19</v>
      </c>
      <c r="I226" s="20">
        <v>40</v>
      </c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">
      <c r="A227" s="20">
        <v>41403</v>
      </c>
      <c r="B227" s="20">
        <v>76</v>
      </c>
      <c r="C227" s="20">
        <v>865</v>
      </c>
      <c r="D227" s="20">
        <v>-528</v>
      </c>
      <c r="E227" s="20">
        <v>748</v>
      </c>
      <c r="F227" s="20">
        <v>877</v>
      </c>
      <c r="G227" s="20">
        <v>865</v>
      </c>
      <c r="H227" s="20">
        <v>-16</v>
      </c>
      <c r="I227" s="20">
        <v>60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">
      <c r="A228" s="20">
        <v>41453</v>
      </c>
      <c r="B228" s="20">
        <v>79</v>
      </c>
      <c r="C228" s="20">
        <v>865</v>
      </c>
      <c r="D228" s="20">
        <v>-1152</v>
      </c>
      <c r="E228" s="20">
        <v>743</v>
      </c>
      <c r="F228" s="20">
        <v>877</v>
      </c>
      <c r="G228" s="20">
        <v>865</v>
      </c>
      <c r="H228" s="20">
        <v>-19</v>
      </c>
      <c r="I228" s="20">
        <v>-60</v>
      </c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">
      <c r="A229" s="20">
        <v>41503</v>
      </c>
      <c r="B229" s="20">
        <v>79</v>
      </c>
      <c r="C229" s="20">
        <v>865</v>
      </c>
      <c r="D229" s="20">
        <v>-912</v>
      </c>
      <c r="E229" s="20">
        <v>741</v>
      </c>
      <c r="F229" s="20">
        <v>877</v>
      </c>
      <c r="G229" s="20">
        <v>865</v>
      </c>
      <c r="H229" s="20">
        <v>-19</v>
      </c>
      <c r="I229" s="20">
        <v>0</v>
      </c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">
      <c r="A230" s="20">
        <v>41553</v>
      </c>
      <c r="B230" s="20">
        <v>80</v>
      </c>
      <c r="C230" s="20">
        <v>865</v>
      </c>
      <c r="D230" s="20">
        <v>-1040</v>
      </c>
      <c r="E230" s="20">
        <v>740</v>
      </c>
      <c r="F230" s="20">
        <v>877</v>
      </c>
      <c r="G230" s="20">
        <v>865</v>
      </c>
      <c r="H230" s="20">
        <v>-20</v>
      </c>
      <c r="I230" s="20">
        <v>-20</v>
      </c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">
      <c r="A231" s="20">
        <v>41603</v>
      </c>
      <c r="B231" s="20">
        <v>78</v>
      </c>
      <c r="C231" s="20">
        <v>865</v>
      </c>
      <c r="D231" s="20">
        <v>-704</v>
      </c>
      <c r="E231" s="20">
        <v>740</v>
      </c>
      <c r="F231" s="20">
        <v>877</v>
      </c>
      <c r="G231" s="20">
        <v>865</v>
      </c>
      <c r="H231" s="20">
        <v>-18</v>
      </c>
      <c r="I231" s="20">
        <v>40</v>
      </c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">
      <c r="A232" s="20">
        <v>41653</v>
      </c>
      <c r="B232" s="20">
        <v>81</v>
      </c>
      <c r="C232" s="20">
        <v>865</v>
      </c>
      <c r="D232" s="20">
        <v>-1248</v>
      </c>
      <c r="E232" s="20">
        <v>739</v>
      </c>
      <c r="F232" s="20">
        <v>877</v>
      </c>
      <c r="G232" s="20">
        <v>865</v>
      </c>
      <c r="H232" s="20">
        <v>-21</v>
      </c>
      <c r="I232" s="20">
        <v>-60</v>
      </c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">
      <c r="A233" s="20">
        <v>41703</v>
      </c>
      <c r="B233" s="20">
        <v>84</v>
      </c>
      <c r="C233" s="20">
        <v>865</v>
      </c>
      <c r="D233" s="20">
        <v>-1392</v>
      </c>
      <c r="E233" s="20">
        <v>737</v>
      </c>
      <c r="F233" s="20">
        <v>877</v>
      </c>
      <c r="G233" s="20">
        <v>865</v>
      </c>
      <c r="H233" s="20">
        <v>-24</v>
      </c>
      <c r="I233" s="20">
        <v>-60</v>
      </c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">
      <c r="A234" s="20">
        <v>41753</v>
      </c>
      <c r="B234" s="20">
        <v>85</v>
      </c>
      <c r="C234" s="20">
        <v>865</v>
      </c>
      <c r="D234" s="20">
        <v>-1280</v>
      </c>
      <c r="E234" s="20">
        <v>734</v>
      </c>
      <c r="F234" s="20">
        <v>877</v>
      </c>
      <c r="G234" s="20">
        <v>865</v>
      </c>
      <c r="H234" s="20">
        <v>-25</v>
      </c>
      <c r="I234" s="20">
        <v>-20</v>
      </c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">
      <c r="A235" s="20">
        <v>41803</v>
      </c>
      <c r="B235" s="20">
        <v>84</v>
      </c>
      <c r="C235" s="20">
        <v>865</v>
      </c>
      <c r="D235" s="20">
        <v>-1072</v>
      </c>
      <c r="E235" s="20">
        <v>734</v>
      </c>
      <c r="F235" s="20">
        <v>877</v>
      </c>
      <c r="G235" s="20">
        <v>865</v>
      </c>
      <c r="H235" s="20">
        <v>-24</v>
      </c>
      <c r="I235" s="20">
        <v>20</v>
      </c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">
      <c r="A236" s="20">
        <v>41853</v>
      </c>
      <c r="B236" s="20">
        <v>71</v>
      </c>
      <c r="C236" s="20">
        <v>865</v>
      </c>
      <c r="D236" s="20">
        <v>512</v>
      </c>
      <c r="E236" s="20">
        <v>733</v>
      </c>
      <c r="F236" s="20">
        <v>877</v>
      </c>
      <c r="G236" s="20">
        <v>865</v>
      </c>
      <c r="H236" s="20">
        <v>-11</v>
      </c>
      <c r="I236" s="20">
        <v>260</v>
      </c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">
      <c r="A237" s="20">
        <v>41903</v>
      </c>
      <c r="B237" s="20">
        <v>76</v>
      </c>
      <c r="C237" s="20">
        <v>865</v>
      </c>
      <c r="D237" s="20">
        <v>-1168</v>
      </c>
      <c r="E237" s="20">
        <v>733</v>
      </c>
      <c r="F237" s="20">
        <v>877</v>
      </c>
      <c r="G237" s="20">
        <v>865</v>
      </c>
      <c r="H237" s="20">
        <v>-16</v>
      </c>
      <c r="I237" s="20">
        <v>-100</v>
      </c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">
      <c r="A238" s="20">
        <v>41953</v>
      </c>
      <c r="B238" s="20">
        <v>80</v>
      </c>
      <c r="C238" s="20">
        <v>865</v>
      </c>
      <c r="D238" s="20">
        <v>-1280</v>
      </c>
      <c r="E238" s="20">
        <v>732</v>
      </c>
      <c r="F238" s="20">
        <v>877</v>
      </c>
      <c r="G238" s="20">
        <v>865</v>
      </c>
      <c r="H238" s="20">
        <v>-20</v>
      </c>
      <c r="I238" s="20">
        <v>-80</v>
      </c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">
      <c r="A239" s="20">
        <v>42003</v>
      </c>
      <c r="B239" s="20">
        <v>82</v>
      </c>
      <c r="C239" s="20">
        <v>865</v>
      </c>
      <c r="D239" s="20">
        <v>-1216</v>
      </c>
      <c r="E239" s="20">
        <v>730</v>
      </c>
      <c r="F239" s="20">
        <v>877</v>
      </c>
      <c r="G239" s="20">
        <v>865</v>
      </c>
      <c r="H239" s="20">
        <v>-22</v>
      </c>
      <c r="I239" s="20">
        <v>-40</v>
      </c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">
      <c r="A240" s="20">
        <v>42053</v>
      </c>
      <c r="B240" s="20">
        <v>79</v>
      </c>
      <c r="C240" s="20">
        <v>865</v>
      </c>
      <c r="D240" s="20">
        <v>-672</v>
      </c>
      <c r="E240" s="20">
        <v>729</v>
      </c>
      <c r="F240" s="20">
        <v>877</v>
      </c>
      <c r="G240" s="20">
        <v>865</v>
      </c>
      <c r="H240" s="20">
        <v>-19</v>
      </c>
      <c r="I240" s="20">
        <v>60</v>
      </c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">
      <c r="A241" s="20">
        <v>42103</v>
      </c>
      <c r="B241" s="20">
        <v>77</v>
      </c>
      <c r="C241" s="20">
        <v>865</v>
      </c>
      <c r="D241" s="20">
        <v>-656</v>
      </c>
      <c r="E241" s="20">
        <v>724</v>
      </c>
      <c r="F241" s="20">
        <v>877</v>
      </c>
      <c r="G241" s="20">
        <v>865</v>
      </c>
      <c r="H241" s="20">
        <v>-17</v>
      </c>
      <c r="I241" s="20">
        <v>40</v>
      </c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">
      <c r="A242" s="20">
        <v>42153</v>
      </c>
      <c r="B242" s="20">
        <v>81</v>
      </c>
      <c r="C242" s="20">
        <v>865</v>
      </c>
      <c r="D242" s="20">
        <v>-1328</v>
      </c>
      <c r="E242" s="20">
        <v>724</v>
      </c>
      <c r="F242" s="20">
        <v>877</v>
      </c>
      <c r="G242" s="20">
        <v>865</v>
      </c>
      <c r="H242" s="20">
        <v>-21</v>
      </c>
      <c r="I242" s="20">
        <v>-80</v>
      </c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">
      <c r="A243" s="20">
        <v>42203</v>
      </c>
      <c r="B243" s="20">
        <v>83</v>
      </c>
      <c r="C243" s="20">
        <v>865</v>
      </c>
      <c r="D243" s="20">
        <v>-1264</v>
      </c>
      <c r="E243" s="20">
        <v>721</v>
      </c>
      <c r="F243" s="20">
        <v>877</v>
      </c>
      <c r="G243" s="20">
        <v>865</v>
      </c>
      <c r="H243" s="20">
        <v>-23</v>
      </c>
      <c r="I243" s="20">
        <v>-40</v>
      </c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">
      <c r="A244" s="20">
        <v>42253</v>
      </c>
      <c r="B244" s="20">
        <v>84</v>
      </c>
      <c r="C244" s="20">
        <v>865</v>
      </c>
      <c r="D244" s="20">
        <v>-1232</v>
      </c>
      <c r="E244" s="20">
        <v>721</v>
      </c>
      <c r="F244" s="20">
        <v>877</v>
      </c>
      <c r="G244" s="20">
        <v>865</v>
      </c>
      <c r="H244" s="20">
        <v>-24</v>
      </c>
      <c r="I244" s="20">
        <v>-20</v>
      </c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">
      <c r="A245" s="20">
        <v>42303</v>
      </c>
      <c r="B245" s="20">
        <v>85</v>
      </c>
      <c r="C245" s="20">
        <v>865</v>
      </c>
      <c r="D245" s="20">
        <v>-1280</v>
      </c>
      <c r="E245" s="20">
        <v>720</v>
      </c>
      <c r="F245" s="20">
        <v>877</v>
      </c>
      <c r="G245" s="20">
        <v>865</v>
      </c>
      <c r="H245" s="20">
        <v>-25</v>
      </c>
      <c r="I245" s="20">
        <v>-20</v>
      </c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">
      <c r="A246" s="20">
        <v>42353</v>
      </c>
      <c r="B246" s="20">
        <v>69</v>
      </c>
      <c r="C246" s="20">
        <v>865</v>
      </c>
      <c r="D246" s="20">
        <v>848</v>
      </c>
      <c r="E246" s="20">
        <v>721</v>
      </c>
      <c r="F246" s="20">
        <v>877</v>
      </c>
      <c r="G246" s="20">
        <v>865</v>
      </c>
      <c r="H246" s="20">
        <v>-9</v>
      </c>
      <c r="I246" s="20">
        <v>320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">
      <c r="A247" s="20">
        <v>42403</v>
      </c>
      <c r="B247" s="20">
        <v>65</v>
      </c>
      <c r="C247" s="20">
        <v>865</v>
      </c>
      <c r="D247" s="20">
        <v>80</v>
      </c>
      <c r="E247" s="20">
        <v>720</v>
      </c>
      <c r="F247" s="20">
        <v>877</v>
      </c>
      <c r="G247" s="20">
        <v>865</v>
      </c>
      <c r="H247" s="20">
        <v>-5</v>
      </c>
      <c r="I247" s="20">
        <v>80</v>
      </c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">
      <c r="A248" s="20">
        <v>42453</v>
      </c>
      <c r="B248" s="20">
        <v>62</v>
      </c>
      <c r="C248" s="20">
        <v>865</v>
      </c>
      <c r="D248" s="20">
        <v>144</v>
      </c>
      <c r="E248" s="20">
        <v>715</v>
      </c>
      <c r="F248" s="20">
        <v>877</v>
      </c>
      <c r="G248" s="20">
        <v>865</v>
      </c>
      <c r="H248" s="20">
        <v>-2</v>
      </c>
      <c r="I248" s="20">
        <v>60</v>
      </c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">
      <c r="A249" s="20">
        <v>42503</v>
      </c>
      <c r="B249" s="20">
        <v>71</v>
      </c>
      <c r="C249" s="20">
        <v>865</v>
      </c>
      <c r="D249" s="20">
        <v>-1248</v>
      </c>
      <c r="E249" s="20">
        <v>710</v>
      </c>
      <c r="F249" s="20">
        <v>877</v>
      </c>
      <c r="G249" s="20">
        <v>865</v>
      </c>
      <c r="H249" s="20">
        <v>-11</v>
      </c>
      <c r="I249" s="20">
        <v>-180</v>
      </c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">
      <c r="A250" s="20">
        <v>42553</v>
      </c>
      <c r="B250" s="20">
        <v>68</v>
      </c>
      <c r="C250" s="20">
        <v>865</v>
      </c>
      <c r="D250" s="20">
        <v>-144</v>
      </c>
      <c r="E250" s="20">
        <v>705</v>
      </c>
      <c r="F250" s="20">
        <v>877</v>
      </c>
      <c r="G250" s="20">
        <v>865</v>
      </c>
      <c r="H250" s="20">
        <v>-8</v>
      </c>
      <c r="I250" s="20">
        <v>60</v>
      </c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">
      <c r="A251" s="20">
        <v>42603</v>
      </c>
      <c r="B251" s="20">
        <v>68</v>
      </c>
      <c r="C251" s="20">
        <v>865</v>
      </c>
      <c r="D251" s="20">
        <v>-384</v>
      </c>
      <c r="E251" s="20">
        <v>700</v>
      </c>
      <c r="F251" s="20">
        <v>877</v>
      </c>
      <c r="G251" s="20">
        <v>865</v>
      </c>
      <c r="H251" s="20">
        <v>-8</v>
      </c>
      <c r="I251" s="20">
        <v>0</v>
      </c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">
      <c r="A252" s="20">
        <v>42653</v>
      </c>
      <c r="B252" s="20">
        <v>69</v>
      </c>
      <c r="C252" s="20">
        <v>865</v>
      </c>
      <c r="D252" s="20">
        <v>-512</v>
      </c>
      <c r="E252" s="20">
        <v>700</v>
      </c>
      <c r="F252" s="20">
        <v>877</v>
      </c>
      <c r="G252" s="20">
        <v>865</v>
      </c>
      <c r="H252" s="20">
        <v>-9</v>
      </c>
      <c r="I252" s="20">
        <v>-20</v>
      </c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">
      <c r="A253" s="20">
        <v>42703</v>
      </c>
      <c r="B253" s="20">
        <v>71</v>
      </c>
      <c r="C253" s="20">
        <v>865</v>
      </c>
      <c r="D253" s="20">
        <v>-688</v>
      </c>
      <c r="E253" s="20">
        <v>700</v>
      </c>
      <c r="F253" s="20">
        <v>877</v>
      </c>
      <c r="G253" s="20">
        <v>865</v>
      </c>
      <c r="H253" s="20">
        <v>-11</v>
      </c>
      <c r="I253" s="20">
        <v>-40</v>
      </c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">
      <c r="A254" s="20">
        <v>42753</v>
      </c>
      <c r="B254" s="20">
        <v>66</v>
      </c>
      <c r="C254" s="20">
        <v>865</v>
      </c>
      <c r="D254" s="20">
        <v>112</v>
      </c>
      <c r="E254" s="20">
        <v>700</v>
      </c>
      <c r="F254" s="20">
        <v>877</v>
      </c>
      <c r="G254" s="20">
        <v>865</v>
      </c>
      <c r="H254" s="20">
        <v>-6</v>
      </c>
      <c r="I254" s="20">
        <v>100</v>
      </c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">
      <c r="A255" s="20">
        <v>42803</v>
      </c>
      <c r="B255" s="20">
        <v>68</v>
      </c>
      <c r="C255" s="20">
        <v>865</v>
      </c>
      <c r="D255" s="20">
        <v>-544</v>
      </c>
      <c r="E255" s="20">
        <v>700</v>
      </c>
      <c r="F255" s="20">
        <v>877</v>
      </c>
      <c r="G255" s="20">
        <v>865</v>
      </c>
      <c r="H255" s="20">
        <v>-8</v>
      </c>
      <c r="I255" s="20">
        <v>-40</v>
      </c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">
      <c r="A256" s="20">
        <v>42853</v>
      </c>
      <c r="B256" s="20">
        <v>66</v>
      </c>
      <c r="C256" s="20">
        <v>865</v>
      </c>
      <c r="D256" s="20">
        <v>-128</v>
      </c>
      <c r="E256" s="20">
        <v>700</v>
      </c>
      <c r="F256" s="20">
        <v>877</v>
      </c>
      <c r="G256" s="20">
        <v>865</v>
      </c>
      <c r="H256" s="20">
        <v>-6</v>
      </c>
      <c r="I256" s="20">
        <v>40</v>
      </c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">
      <c r="A257" s="20">
        <v>42903</v>
      </c>
      <c r="B257" s="20">
        <v>73</v>
      </c>
      <c r="C257" s="20">
        <v>865</v>
      </c>
      <c r="D257" s="20">
        <v>-1184</v>
      </c>
      <c r="E257" s="20">
        <v>700</v>
      </c>
      <c r="F257" s="20">
        <v>877</v>
      </c>
      <c r="G257" s="20">
        <v>865</v>
      </c>
      <c r="H257" s="20">
        <v>-13</v>
      </c>
      <c r="I257" s="20">
        <v>-140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">
      <c r="A258" s="20">
        <v>42953</v>
      </c>
      <c r="B258" s="20">
        <v>78</v>
      </c>
      <c r="C258" s="20">
        <v>865</v>
      </c>
      <c r="D258" s="20">
        <v>-1264</v>
      </c>
      <c r="E258" s="20">
        <v>700</v>
      </c>
      <c r="F258" s="20">
        <v>877</v>
      </c>
      <c r="G258" s="20">
        <v>865</v>
      </c>
      <c r="H258" s="20">
        <v>-18</v>
      </c>
      <c r="I258" s="20">
        <v>-100</v>
      </c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">
      <c r="A259" s="20">
        <v>43003</v>
      </c>
      <c r="B259" s="20">
        <v>79</v>
      </c>
      <c r="C259" s="20">
        <v>865</v>
      </c>
      <c r="D259" s="20">
        <v>-992</v>
      </c>
      <c r="E259" s="20">
        <v>700</v>
      </c>
      <c r="F259" s="20">
        <v>877</v>
      </c>
      <c r="G259" s="20">
        <v>865</v>
      </c>
      <c r="H259" s="20">
        <v>-19</v>
      </c>
      <c r="I259" s="20">
        <v>-20</v>
      </c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">
      <c r="A260" s="20">
        <v>43053</v>
      </c>
      <c r="B260" s="20">
        <v>76</v>
      </c>
      <c r="C260" s="20">
        <v>865</v>
      </c>
      <c r="D260" s="20">
        <v>-528</v>
      </c>
      <c r="E260" s="20">
        <v>700</v>
      </c>
      <c r="F260" s="20">
        <v>877</v>
      </c>
      <c r="G260" s="20">
        <v>865</v>
      </c>
      <c r="H260" s="20">
        <v>-16</v>
      </c>
      <c r="I260" s="20">
        <v>60</v>
      </c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">
      <c r="A261" s="20">
        <v>43103</v>
      </c>
      <c r="B261" s="20">
        <v>80</v>
      </c>
      <c r="C261" s="20">
        <v>865</v>
      </c>
      <c r="D261" s="20">
        <v>-1280</v>
      </c>
      <c r="E261" s="20">
        <v>700</v>
      </c>
      <c r="F261" s="20">
        <v>877</v>
      </c>
      <c r="G261" s="20">
        <v>865</v>
      </c>
      <c r="H261" s="20">
        <v>-20</v>
      </c>
      <c r="I261" s="20">
        <v>-80</v>
      </c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">
      <c r="A262" s="20">
        <v>43153</v>
      </c>
      <c r="B262" s="20">
        <v>71</v>
      </c>
      <c r="C262" s="20">
        <v>865</v>
      </c>
      <c r="D262" s="20">
        <v>192</v>
      </c>
      <c r="E262" s="20">
        <v>700</v>
      </c>
      <c r="F262" s="20">
        <v>877</v>
      </c>
      <c r="G262" s="20">
        <v>865</v>
      </c>
      <c r="H262" s="20">
        <v>-11</v>
      </c>
      <c r="I262" s="20">
        <v>180</v>
      </c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">
      <c r="A263" s="20">
        <v>43203</v>
      </c>
      <c r="B263" s="20">
        <v>75</v>
      </c>
      <c r="C263" s="20">
        <v>865</v>
      </c>
      <c r="D263" s="20">
        <v>-1040</v>
      </c>
      <c r="E263" s="20">
        <v>700</v>
      </c>
      <c r="F263" s="20">
        <v>877</v>
      </c>
      <c r="G263" s="20">
        <v>865</v>
      </c>
      <c r="H263" s="20">
        <v>-15</v>
      </c>
      <c r="I263" s="20">
        <v>-80</v>
      </c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">
      <c r="A264" s="20">
        <v>43253</v>
      </c>
      <c r="B264" s="20">
        <v>70</v>
      </c>
      <c r="C264" s="20">
        <v>865</v>
      </c>
      <c r="D264" s="20">
        <v>-80</v>
      </c>
      <c r="E264" s="20">
        <v>700</v>
      </c>
      <c r="F264" s="20">
        <v>877</v>
      </c>
      <c r="G264" s="20">
        <v>865</v>
      </c>
      <c r="H264" s="20">
        <v>-10</v>
      </c>
      <c r="I264" s="20">
        <v>100</v>
      </c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">
      <c r="A265" s="20">
        <v>43303</v>
      </c>
      <c r="B265" s="20">
        <v>68</v>
      </c>
      <c r="C265" s="20">
        <v>865</v>
      </c>
      <c r="D265" s="20">
        <v>-224</v>
      </c>
      <c r="E265" s="20">
        <v>700</v>
      </c>
      <c r="F265" s="20">
        <v>877</v>
      </c>
      <c r="G265" s="20">
        <v>865</v>
      </c>
      <c r="H265" s="20">
        <v>-8</v>
      </c>
      <c r="I265" s="20">
        <v>40</v>
      </c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">
      <c r="A266" s="20">
        <v>43353</v>
      </c>
      <c r="B266" s="20">
        <v>69</v>
      </c>
      <c r="C266" s="20">
        <v>865</v>
      </c>
      <c r="D266" s="20">
        <v>-512</v>
      </c>
      <c r="E266" s="20">
        <v>700</v>
      </c>
      <c r="F266" s="20">
        <v>877</v>
      </c>
      <c r="G266" s="20">
        <v>865</v>
      </c>
      <c r="H266" s="20">
        <v>-9</v>
      </c>
      <c r="I266" s="20">
        <v>-20</v>
      </c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">
      <c r="A267" s="20">
        <v>43403</v>
      </c>
      <c r="B267" s="20">
        <v>63</v>
      </c>
      <c r="C267" s="20">
        <v>865</v>
      </c>
      <c r="D267" s="20">
        <v>336</v>
      </c>
      <c r="E267" s="20">
        <v>700</v>
      </c>
      <c r="F267" s="20">
        <v>877</v>
      </c>
      <c r="G267" s="20">
        <v>865</v>
      </c>
      <c r="H267" s="20">
        <v>-3</v>
      </c>
      <c r="I267" s="20">
        <v>120</v>
      </c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">
      <c r="A268" s="20">
        <v>43453</v>
      </c>
      <c r="B268" s="20">
        <v>67</v>
      </c>
      <c r="C268" s="20">
        <v>865</v>
      </c>
      <c r="D268" s="20">
        <v>-656</v>
      </c>
      <c r="E268" s="20">
        <v>700</v>
      </c>
      <c r="F268" s="20">
        <v>877</v>
      </c>
      <c r="G268" s="20">
        <v>865</v>
      </c>
      <c r="H268" s="20">
        <v>-7</v>
      </c>
      <c r="I268" s="20">
        <v>-80</v>
      </c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">
      <c r="A269" s="20">
        <v>43503</v>
      </c>
      <c r="B269" s="20">
        <v>63</v>
      </c>
      <c r="C269" s="20">
        <v>865</v>
      </c>
      <c r="D269" s="20">
        <v>176</v>
      </c>
      <c r="E269" s="20">
        <v>700</v>
      </c>
      <c r="F269" s="20">
        <v>877</v>
      </c>
      <c r="G269" s="20">
        <v>865</v>
      </c>
      <c r="H269" s="20">
        <v>-3</v>
      </c>
      <c r="I269" s="20">
        <v>80</v>
      </c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">
      <c r="A270" s="20">
        <v>43553</v>
      </c>
      <c r="B270" s="20">
        <v>71</v>
      </c>
      <c r="C270" s="20">
        <v>865</v>
      </c>
      <c r="D270" s="20">
        <v>-1168</v>
      </c>
      <c r="E270" s="20">
        <v>700</v>
      </c>
      <c r="F270" s="20">
        <v>877</v>
      </c>
      <c r="G270" s="20">
        <v>865</v>
      </c>
      <c r="H270" s="20">
        <v>-11</v>
      </c>
      <c r="I270" s="20">
        <v>-160</v>
      </c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">
      <c r="A271" s="20">
        <v>43603</v>
      </c>
      <c r="B271" s="20">
        <v>77</v>
      </c>
      <c r="C271" s="20">
        <v>865</v>
      </c>
      <c r="D271" s="20">
        <v>-1296</v>
      </c>
      <c r="E271" s="20">
        <v>700</v>
      </c>
      <c r="F271" s="20">
        <v>877</v>
      </c>
      <c r="G271" s="20">
        <v>865</v>
      </c>
      <c r="H271" s="20">
        <v>-17</v>
      </c>
      <c r="I271" s="20">
        <v>-120</v>
      </c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">
      <c r="A272" s="20">
        <v>43653</v>
      </c>
      <c r="B272" s="20">
        <v>80</v>
      </c>
      <c r="C272" s="20">
        <v>865</v>
      </c>
      <c r="D272" s="20">
        <v>-1200</v>
      </c>
      <c r="E272" s="20">
        <v>700</v>
      </c>
      <c r="F272" s="20">
        <v>877</v>
      </c>
      <c r="G272" s="20">
        <v>865</v>
      </c>
      <c r="H272" s="20">
        <v>-20</v>
      </c>
      <c r="I272" s="20">
        <v>-60</v>
      </c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">
      <c r="A273" s="20">
        <v>43703</v>
      </c>
      <c r="B273" s="20">
        <v>74</v>
      </c>
      <c r="C273" s="20">
        <v>865</v>
      </c>
      <c r="D273" s="20">
        <v>-192</v>
      </c>
      <c r="E273" s="20">
        <v>700</v>
      </c>
      <c r="F273" s="20">
        <v>877</v>
      </c>
      <c r="G273" s="20">
        <v>865</v>
      </c>
      <c r="H273" s="20">
        <v>-14</v>
      </c>
      <c r="I273" s="20">
        <v>120</v>
      </c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">
      <c r="A274" s="20">
        <v>43753</v>
      </c>
      <c r="B274" s="20">
        <v>79</v>
      </c>
      <c r="C274" s="20">
        <v>865</v>
      </c>
      <c r="D274" s="20">
        <v>-1312</v>
      </c>
      <c r="E274" s="20">
        <v>700</v>
      </c>
      <c r="F274" s="20">
        <v>877</v>
      </c>
      <c r="G274" s="20">
        <v>865</v>
      </c>
      <c r="H274" s="20">
        <v>-19</v>
      </c>
      <c r="I274" s="20">
        <v>-100</v>
      </c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">
      <c r="A275" s="20">
        <v>43803</v>
      </c>
      <c r="B275" s="20">
        <v>71</v>
      </c>
      <c r="C275" s="20">
        <v>865</v>
      </c>
      <c r="D275" s="20">
        <v>112</v>
      </c>
      <c r="E275" s="20">
        <v>700</v>
      </c>
      <c r="F275" s="20">
        <v>877</v>
      </c>
      <c r="G275" s="20">
        <v>865</v>
      </c>
      <c r="H275" s="20">
        <v>-11</v>
      </c>
      <c r="I275" s="20">
        <v>160</v>
      </c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">
      <c r="A276" s="20">
        <v>43853</v>
      </c>
      <c r="B276" s="20">
        <v>67</v>
      </c>
      <c r="C276" s="20">
        <v>865</v>
      </c>
      <c r="D276" s="20">
        <v>-16</v>
      </c>
      <c r="E276" s="20">
        <v>700</v>
      </c>
      <c r="F276" s="20">
        <v>877</v>
      </c>
      <c r="G276" s="20">
        <v>865</v>
      </c>
      <c r="H276" s="20">
        <v>-7</v>
      </c>
      <c r="I276" s="20">
        <v>80</v>
      </c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">
      <c r="A277" s="20">
        <v>43903</v>
      </c>
      <c r="B277" s="20">
        <v>65</v>
      </c>
      <c r="C277" s="20">
        <v>865</v>
      </c>
      <c r="D277" s="20">
        <v>-80</v>
      </c>
      <c r="E277" s="20">
        <v>700</v>
      </c>
      <c r="F277" s="20">
        <v>877</v>
      </c>
      <c r="G277" s="20">
        <v>865</v>
      </c>
      <c r="H277" s="20">
        <v>-5</v>
      </c>
      <c r="I277" s="20">
        <v>40</v>
      </c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">
      <c r="A278" s="20">
        <v>43953</v>
      </c>
      <c r="B278" s="20">
        <v>65</v>
      </c>
      <c r="C278" s="20">
        <v>865</v>
      </c>
      <c r="D278" s="20">
        <v>-240</v>
      </c>
      <c r="E278" s="20">
        <v>700</v>
      </c>
      <c r="F278" s="20">
        <v>877</v>
      </c>
      <c r="G278" s="20">
        <v>865</v>
      </c>
      <c r="H278" s="20">
        <v>-5</v>
      </c>
      <c r="I278" s="20">
        <v>0</v>
      </c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">
      <c r="A279" s="20">
        <v>44003</v>
      </c>
      <c r="B279" s="20">
        <v>66</v>
      </c>
      <c r="C279" s="20">
        <v>865</v>
      </c>
      <c r="D279" s="20">
        <v>-368</v>
      </c>
      <c r="E279" s="20">
        <v>700</v>
      </c>
      <c r="F279" s="20">
        <v>877</v>
      </c>
      <c r="G279" s="20">
        <v>865</v>
      </c>
      <c r="H279" s="20">
        <v>-6</v>
      </c>
      <c r="I279" s="20">
        <v>-20</v>
      </c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">
      <c r="A280" s="20">
        <v>44053</v>
      </c>
      <c r="B280" s="20">
        <v>60</v>
      </c>
      <c r="C280" s="20">
        <v>865</v>
      </c>
      <c r="D280" s="20">
        <v>480</v>
      </c>
      <c r="E280" s="20">
        <v>700</v>
      </c>
      <c r="F280" s="20">
        <v>877</v>
      </c>
      <c r="G280" s="20">
        <v>865</v>
      </c>
      <c r="H280" s="20">
        <v>0</v>
      </c>
      <c r="I280" s="20">
        <v>120</v>
      </c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">
      <c r="A281" s="20">
        <v>44103</v>
      </c>
      <c r="B281" s="20">
        <v>64</v>
      </c>
      <c r="C281" s="20">
        <v>865</v>
      </c>
      <c r="D281" s="20">
        <v>-512</v>
      </c>
      <c r="E281" s="20">
        <v>700</v>
      </c>
      <c r="F281" s="20">
        <v>877</v>
      </c>
      <c r="G281" s="20">
        <v>865</v>
      </c>
      <c r="H281" s="20">
        <v>-4</v>
      </c>
      <c r="I281" s="20">
        <v>-80</v>
      </c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">
      <c r="A282" s="20">
        <v>44153</v>
      </c>
      <c r="B282" s="20">
        <v>67</v>
      </c>
      <c r="C282" s="20">
        <v>865</v>
      </c>
      <c r="D282" s="20">
        <v>-576</v>
      </c>
      <c r="E282" s="20">
        <v>700</v>
      </c>
      <c r="F282" s="20">
        <v>877</v>
      </c>
      <c r="G282" s="20">
        <v>865</v>
      </c>
      <c r="H282" s="20">
        <v>-7</v>
      </c>
      <c r="I282" s="20">
        <v>-60</v>
      </c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">
      <c r="A283" s="20">
        <v>44203</v>
      </c>
      <c r="B283" s="20">
        <v>71</v>
      </c>
      <c r="C283" s="20">
        <v>865</v>
      </c>
      <c r="D283" s="20">
        <v>-848</v>
      </c>
      <c r="E283" s="20">
        <v>700</v>
      </c>
      <c r="F283" s="20">
        <v>877</v>
      </c>
      <c r="G283" s="20">
        <v>865</v>
      </c>
      <c r="H283" s="20">
        <v>-11</v>
      </c>
      <c r="I283" s="20">
        <v>-80</v>
      </c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">
      <c r="A284" s="20">
        <v>44253</v>
      </c>
      <c r="B284" s="20">
        <v>73</v>
      </c>
      <c r="C284" s="20">
        <v>865</v>
      </c>
      <c r="D284" s="20">
        <v>-784</v>
      </c>
      <c r="E284" s="20">
        <v>700</v>
      </c>
      <c r="F284" s="20">
        <v>877</v>
      </c>
      <c r="G284" s="20">
        <v>865</v>
      </c>
      <c r="H284" s="20">
        <v>-13</v>
      </c>
      <c r="I284" s="20">
        <v>-40</v>
      </c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">
      <c r="A285" s="20">
        <v>44303</v>
      </c>
      <c r="B285" s="20">
        <v>77</v>
      </c>
      <c r="C285" s="20">
        <v>865</v>
      </c>
      <c r="D285" s="20">
        <v>-1136</v>
      </c>
      <c r="E285" s="20">
        <v>700</v>
      </c>
      <c r="F285" s="20">
        <v>877</v>
      </c>
      <c r="G285" s="20">
        <v>865</v>
      </c>
      <c r="H285" s="20">
        <v>-17</v>
      </c>
      <c r="I285" s="20">
        <v>-80</v>
      </c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">
      <c r="A286" s="20">
        <v>44353</v>
      </c>
      <c r="B286" s="20">
        <v>80</v>
      </c>
      <c r="C286" s="20">
        <v>865</v>
      </c>
      <c r="D286" s="20">
        <v>-1200</v>
      </c>
      <c r="E286" s="20">
        <v>700</v>
      </c>
      <c r="F286" s="20">
        <v>877</v>
      </c>
      <c r="G286" s="20">
        <v>865</v>
      </c>
      <c r="H286" s="20">
        <v>-20</v>
      </c>
      <c r="I286" s="20">
        <v>-60</v>
      </c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">
      <c r="A287" s="20">
        <v>44403</v>
      </c>
      <c r="B287" s="20">
        <v>78</v>
      </c>
      <c r="C287" s="20">
        <v>865</v>
      </c>
      <c r="D287" s="20">
        <v>-704</v>
      </c>
      <c r="E287" s="20">
        <v>700</v>
      </c>
      <c r="F287" s="20">
        <v>877</v>
      </c>
      <c r="G287" s="20">
        <v>865</v>
      </c>
      <c r="H287" s="20">
        <v>-18</v>
      </c>
      <c r="I287" s="20">
        <v>40</v>
      </c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">
      <c r="A288" s="20">
        <v>44453</v>
      </c>
      <c r="B288" s="20">
        <v>81</v>
      </c>
      <c r="C288" s="20">
        <v>865</v>
      </c>
      <c r="D288" s="20">
        <v>-1248</v>
      </c>
      <c r="E288" s="20">
        <v>700</v>
      </c>
      <c r="F288" s="20">
        <v>877</v>
      </c>
      <c r="G288" s="20">
        <v>865</v>
      </c>
      <c r="H288" s="20">
        <v>-21</v>
      </c>
      <c r="I288" s="20">
        <v>-60</v>
      </c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">
      <c r="A289" s="20">
        <v>44503</v>
      </c>
      <c r="B289" s="20">
        <v>84</v>
      </c>
      <c r="C289" s="20">
        <v>865</v>
      </c>
      <c r="D289" s="20">
        <v>-1392</v>
      </c>
      <c r="E289" s="20">
        <v>700</v>
      </c>
      <c r="F289" s="20">
        <v>877</v>
      </c>
      <c r="G289" s="20">
        <v>865</v>
      </c>
      <c r="H289" s="20">
        <v>-24</v>
      </c>
      <c r="I289" s="20">
        <v>-60</v>
      </c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">
      <c r="A290" s="20">
        <v>44553</v>
      </c>
      <c r="B290" s="20">
        <v>87</v>
      </c>
      <c r="C290" s="20">
        <v>865</v>
      </c>
      <c r="D290" s="20">
        <v>-1536</v>
      </c>
      <c r="E290" s="20">
        <v>700</v>
      </c>
      <c r="F290" s="20">
        <v>877</v>
      </c>
      <c r="G290" s="20">
        <v>865</v>
      </c>
      <c r="H290" s="20">
        <v>-27</v>
      </c>
      <c r="I290" s="20">
        <v>-60</v>
      </c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">
      <c r="A291" s="20">
        <v>44603</v>
      </c>
      <c r="B291" s="20">
        <v>88</v>
      </c>
      <c r="C291" s="20">
        <v>865</v>
      </c>
      <c r="D291" s="20">
        <v>-1424</v>
      </c>
      <c r="E291" s="20">
        <v>700</v>
      </c>
      <c r="F291" s="20">
        <v>877</v>
      </c>
      <c r="G291" s="20">
        <v>865</v>
      </c>
      <c r="H291" s="20">
        <v>-28</v>
      </c>
      <c r="I291" s="20">
        <v>-20</v>
      </c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">
      <c r="A292" s="20">
        <v>44653</v>
      </c>
      <c r="B292" s="20">
        <v>88</v>
      </c>
      <c r="C292" s="20">
        <v>865</v>
      </c>
      <c r="D292" s="20">
        <v>-1344</v>
      </c>
      <c r="E292" s="20">
        <v>700</v>
      </c>
      <c r="F292" s="20">
        <v>877</v>
      </c>
      <c r="G292" s="20">
        <v>865</v>
      </c>
      <c r="H292" s="20">
        <v>-28</v>
      </c>
      <c r="I292" s="20">
        <v>0</v>
      </c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">
      <c r="A293" s="20">
        <v>44703</v>
      </c>
      <c r="B293" s="20">
        <v>84</v>
      </c>
      <c r="C293" s="20">
        <v>865</v>
      </c>
      <c r="D293" s="20">
        <v>-832</v>
      </c>
      <c r="E293" s="20">
        <v>700</v>
      </c>
      <c r="F293" s="20">
        <v>877</v>
      </c>
      <c r="G293" s="20">
        <v>865</v>
      </c>
      <c r="H293" s="20">
        <v>-24</v>
      </c>
      <c r="I293" s="20">
        <v>80</v>
      </c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">
      <c r="A294" s="20">
        <v>44753</v>
      </c>
      <c r="B294" s="20">
        <v>90</v>
      </c>
      <c r="C294" s="20">
        <v>865</v>
      </c>
      <c r="D294" s="20">
        <v>-1920</v>
      </c>
      <c r="E294" s="20">
        <v>700</v>
      </c>
      <c r="F294" s="20">
        <v>877</v>
      </c>
      <c r="G294" s="20">
        <v>865</v>
      </c>
      <c r="H294" s="20">
        <v>-30</v>
      </c>
      <c r="I294" s="20">
        <v>-120</v>
      </c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">
      <c r="A295" s="20">
        <v>44803</v>
      </c>
      <c r="B295" s="20">
        <v>81</v>
      </c>
      <c r="C295" s="20">
        <v>865</v>
      </c>
      <c r="D295" s="20">
        <v>-288</v>
      </c>
      <c r="E295" s="20">
        <v>700</v>
      </c>
      <c r="F295" s="20">
        <v>877</v>
      </c>
      <c r="G295" s="20">
        <v>865</v>
      </c>
      <c r="H295" s="20">
        <v>-21</v>
      </c>
      <c r="I295" s="20">
        <v>180</v>
      </c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">
      <c r="A296" s="20">
        <v>44853</v>
      </c>
      <c r="B296" s="20">
        <v>84</v>
      </c>
      <c r="C296" s="20">
        <v>865</v>
      </c>
      <c r="D296" s="20">
        <v>-1392</v>
      </c>
      <c r="E296" s="20">
        <v>700</v>
      </c>
      <c r="F296" s="20">
        <v>877</v>
      </c>
      <c r="G296" s="20">
        <v>865</v>
      </c>
      <c r="H296" s="20">
        <v>-24</v>
      </c>
      <c r="I296" s="20">
        <v>-60</v>
      </c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">
      <c r="A297" s="20">
        <v>44903</v>
      </c>
      <c r="B297" s="20">
        <v>85</v>
      </c>
      <c r="C297" s="20">
        <v>865</v>
      </c>
      <c r="D297" s="20">
        <v>-1280</v>
      </c>
      <c r="E297" s="20">
        <v>700</v>
      </c>
      <c r="F297" s="20">
        <v>877</v>
      </c>
      <c r="G297" s="20">
        <v>865</v>
      </c>
      <c r="H297" s="20">
        <v>-25</v>
      </c>
      <c r="I297" s="20">
        <v>-20</v>
      </c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">
      <c r="A298" s="20">
        <v>44953</v>
      </c>
      <c r="B298" s="20">
        <v>87</v>
      </c>
      <c r="C298" s="20">
        <v>865</v>
      </c>
      <c r="D298" s="20">
        <v>-1456</v>
      </c>
      <c r="E298" s="20">
        <v>700</v>
      </c>
      <c r="F298" s="20">
        <v>877</v>
      </c>
      <c r="G298" s="20">
        <v>865</v>
      </c>
      <c r="H298" s="20">
        <v>-27</v>
      </c>
      <c r="I298" s="20">
        <v>-40</v>
      </c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">
      <c r="A299" s="20">
        <v>45003</v>
      </c>
      <c r="B299" s="20">
        <v>73</v>
      </c>
      <c r="C299" s="20">
        <v>865</v>
      </c>
      <c r="D299" s="20">
        <v>496</v>
      </c>
      <c r="E299" s="20">
        <v>700</v>
      </c>
      <c r="F299" s="20">
        <v>877</v>
      </c>
      <c r="G299" s="20">
        <v>865</v>
      </c>
      <c r="H299" s="20">
        <v>-13</v>
      </c>
      <c r="I299" s="20">
        <v>280</v>
      </c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">
      <c r="A300" s="20">
        <v>45053</v>
      </c>
      <c r="B300" s="20">
        <v>74</v>
      </c>
      <c r="C300" s="20">
        <v>865</v>
      </c>
      <c r="D300" s="20">
        <v>-752</v>
      </c>
      <c r="E300" s="20">
        <v>700</v>
      </c>
      <c r="F300" s="20">
        <v>877</v>
      </c>
      <c r="G300" s="20">
        <v>865</v>
      </c>
      <c r="H300" s="20">
        <v>-14</v>
      </c>
      <c r="I300" s="20">
        <v>-20</v>
      </c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">
      <c r="A301" s="20">
        <v>45103</v>
      </c>
      <c r="B301" s="20">
        <v>79</v>
      </c>
      <c r="C301" s="20">
        <v>865</v>
      </c>
      <c r="D301" s="20">
        <v>-1312</v>
      </c>
      <c r="E301" s="20">
        <v>700</v>
      </c>
      <c r="F301" s="20">
        <v>877</v>
      </c>
      <c r="G301" s="20">
        <v>865</v>
      </c>
      <c r="H301" s="20">
        <v>-19</v>
      </c>
      <c r="I301" s="20">
        <v>-100</v>
      </c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">
      <c r="A302" s="20">
        <v>45153</v>
      </c>
      <c r="B302" s="20">
        <v>71</v>
      </c>
      <c r="C302" s="20">
        <v>865</v>
      </c>
      <c r="D302" s="20">
        <v>112</v>
      </c>
      <c r="E302" s="20">
        <v>700</v>
      </c>
      <c r="F302" s="20">
        <v>877</v>
      </c>
      <c r="G302" s="20">
        <v>865</v>
      </c>
      <c r="H302" s="20">
        <v>-11</v>
      </c>
      <c r="I302" s="20">
        <v>160</v>
      </c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">
      <c r="A303" s="20">
        <v>45203</v>
      </c>
      <c r="B303" s="20">
        <v>68</v>
      </c>
      <c r="C303" s="20">
        <v>865</v>
      </c>
      <c r="D303" s="20">
        <v>-144</v>
      </c>
      <c r="E303" s="20">
        <v>700</v>
      </c>
      <c r="F303" s="20">
        <v>877</v>
      </c>
      <c r="G303" s="20">
        <v>865</v>
      </c>
      <c r="H303" s="20">
        <v>-8</v>
      </c>
      <c r="I303" s="20">
        <v>60</v>
      </c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">
      <c r="A304" s="20">
        <v>45253</v>
      </c>
      <c r="B304" s="20">
        <v>66</v>
      </c>
      <c r="C304" s="20">
        <v>865</v>
      </c>
      <c r="D304" s="20">
        <v>-128</v>
      </c>
      <c r="E304" s="20">
        <v>700</v>
      </c>
      <c r="F304" s="20">
        <v>877</v>
      </c>
      <c r="G304" s="20">
        <v>865</v>
      </c>
      <c r="H304" s="20">
        <v>-6</v>
      </c>
      <c r="I304" s="20">
        <v>40</v>
      </c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">
      <c r="A305" s="20">
        <v>45303</v>
      </c>
      <c r="B305" s="20">
        <v>66</v>
      </c>
      <c r="C305" s="20">
        <v>865</v>
      </c>
      <c r="D305" s="20">
        <v>-288</v>
      </c>
      <c r="E305" s="20">
        <v>700</v>
      </c>
      <c r="F305" s="20">
        <v>877</v>
      </c>
      <c r="G305" s="20">
        <v>865</v>
      </c>
      <c r="H305" s="20">
        <v>-6</v>
      </c>
      <c r="I305" s="20">
        <v>0</v>
      </c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">
      <c r="A306" s="20">
        <v>45353</v>
      </c>
      <c r="B306" s="20">
        <v>67</v>
      </c>
      <c r="C306" s="20">
        <v>865</v>
      </c>
      <c r="D306" s="20">
        <v>-416</v>
      </c>
      <c r="E306" s="20">
        <v>700</v>
      </c>
      <c r="F306" s="20">
        <v>877</v>
      </c>
      <c r="G306" s="20">
        <v>865</v>
      </c>
      <c r="H306" s="20">
        <v>-7</v>
      </c>
      <c r="I306" s="20">
        <v>-20</v>
      </c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">
      <c r="A307" s="20">
        <v>45403</v>
      </c>
      <c r="B307" s="20">
        <v>68</v>
      </c>
      <c r="C307" s="20">
        <v>865</v>
      </c>
      <c r="D307" s="20">
        <v>-464</v>
      </c>
      <c r="E307" s="20">
        <v>700</v>
      </c>
      <c r="F307" s="20">
        <v>877</v>
      </c>
      <c r="G307" s="20">
        <v>865</v>
      </c>
      <c r="H307" s="20">
        <v>-8</v>
      </c>
      <c r="I307" s="20">
        <v>-20</v>
      </c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">
      <c r="A308" s="20">
        <v>45453</v>
      </c>
      <c r="B308" s="20">
        <v>68</v>
      </c>
      <c r="C308" s="20">
        <v>865</v>
      </c>
      <c r="D308" s="20">
        <v>-384</v>
      </c>
      <c r="E308" s="20">
        <v>700</v>
      </c>
      <c r="F308" s="20">
        <v>877</v>
      </c>
      <c r="G308" s="20">
        <v>865</v>
      </c>
      <c r="H308" s="20">
        <v>-8</v>
      </c>
      <c r="I308" s="20">
        <v>0</v>
      </c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">
      <c r="A309" s="20">
        <v>45503</v>
      </c>
      <c r="B309" s="20">
        <v>71</v>
      </c>
      <c r="C309" s="20">
        <v>865</v>
      </c>
      <c r="D309" s="20">
        <v>-768</v>
      </c>
      <c r="E309" s="20">
        <v>700</v>
      </c>
      <c r="F309" s="20">
        <v>877</v>
      </c>
      <c r="G309" s="20">
        <v>865</v>
      </c>
      <c r="H309" s="20">
        <v>-11</v>
      </c>
      <c r="I309" s="20">
        <v>-60</v>
      </c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">
      <c r="A310" s="20">
        <v>45553</v>
      </c>
      <c r="B310" s="20">
        <v>73</v>
      </c>
      <c r="C310" s="20">
        <v>865</v>
      </c>
      <c r="D310" s="20">
        <v>-784</v>
      </c>
      <c r="E310" s="20">
        <v>700</v>
      </c>
      <c r="F310" s="20">
        <v>877</v>
      </c>
      <c r="G310" s="20">
        <v>865</v>
      </c>
      <c r="H310" s="20">
        <v>-13</v>
      </c>
      <c r="I310" s="20">
        <v>-40</v>
      </c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">
      <c r="A311" s="20">
        <v>45603</v>
      </c>
      <c r="B311" s="20">
        <v>71</v>
      </c>
      <c r="C311" s="20">
        <v>865</v>
      </c>
      <c r="D311" s="20">
        <v>-368</v>
      </c>
      <c r="E311" s="20">
        <v>700</v>
      </c>
      <c r="F311" s="20">
        <v>877</v>
      </c>
      <c r="G311" s="20">
        <v>865</v>
      </c>
      <c r="H311" s="20">
        <v>-11</v>
      </c>
      <c r="I311" s="20">
        <v>40</v>
      </c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">
      <c r="A312" s="20">
        <v>45653</v>
      </c>
      <c r="B312" s="20">
        <v>75</v>
      </c>
      <c r="C312" s="20">
        <v>865</v>
      </c>
      <c r="D312" s="20">
        <v>-1040</v>
      </c>
      <c r="E312" s="20">
        <v>700</v>
      </c>
      <c r="F312" s="20">
        <v>877</v>
      </c>
      <c r="G312" s="20">
        <v>865</v>
      </c>
      <c r="H312" s="20">
        <v>-15</v>
      </c>
      <c r="I312" s="20">
        <v>-80</v>
      </c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">
      <c r="A313" s="20">
        <v>45703</v>
      </c>
      <c r="B313" s="20">
        <v>77</v>
      </c>
      <c r="C313" s="20">
        <v>865</v>
      </c>
      <c r="D313" s="20">
        <v>-976</v>
      </c>
      <c r="E313" s="20">
        <v>700</v>
      </c>
      <c r="F313" s="20">
        <v>877</v>
      </c>
      <c r="G313" s="20">
        <v>865</v>
      </c>
      <c r="H313" s="20">
        <v>-17</v>
      </c>
      <c r="I313" s="20">
        <v>-40</v>
      </c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">
      <c r="A314" s="20">
        <v>45753</v>
      </c>
      <c r="B314" s="20">
        <v>79</v>
      </c>
      <c r="C314" s="20">
        <v>865</v>
      </c>
      <c r="D314" s="20">
        <v>-1072</v>
      </c>
      <c r="E314" s="20">
        <v>700</v>
      </c>
      <c r="F314" s="20">
        <v>877</v>
      </c>
      <c r="G314" s="20">
        <v>865</v>
      </c>
      <c r="H314" s="20">
        <v>-19</v>
      </c>
      <c r="I314" s="20">
        <v>-40</v>
      </c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">
      <c r="A315" s="20">
        <v>45803</v>
      </c>
      <c r="B315" s="20">
        <v>78</v>
      </c>
      <c r="C315" s="20">
        <v>865</v>
      </c>
      <c r="D315" s="20">
        <v>-784</v>
      </c>
      <c r="E315" s="20">
        <v>700</v>
      </c>
      <c r="F315" s="20">
        <v>877</v>
      </c>
      <c r="G315" s="20">
        <v>865</v>
      </c>
      <c r="H315" s="20">
        <v>-18</v>
      </c>
      <c r="I315" s="20">
        <v>20</v>
      </c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">
      <c r="A316" s="20">
        <v>45853</v>
      </c>
      <c r="B316" s="20">
        <v>74</v>
      </c>
      <c r="C316" s="20">
        <v>865</v>
      </c>
      <c r="D316" s="20">
        <v>-352</v>
      </c>
      <c r="E316" s="20">
        <v>700</v>
      </c>
      <c r="F316" s="20">
        <v>877</v>
      </c>
      <c r="G316" s="20">
        <v>865</v>
      </c>
      <c r="H316" s="20">
        <v>-14</v>
      </c>
      <c r="I316" s="20">
        <v>80</v>
      </c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">
      <c r="A317" s="20">
        <v>45903</v>
      </c>
      <c r="B317" s="20">
        <v>79</v>
      </c>
      <c r="C317" s="20">
        <v>865</v>
      </c>
      <c r="D317" s="20">
        <v>-1312</v>
      </c>
      <c r="E317" s="20">
        <v>700</v>
      </c>
      <c r="F317" s="20">
        <v>877</v>
      </c>
      <c r="G317" s="20">
        <v>865</v>
      </c>
      <c r="H317" s="20">
        <v>-19</v>
      </c>
      <c r="I317" s="20">
        <v>-100</v>
      </c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">
      <c r="A318" s="20">
        <v>45953</v>
      </c>
      <c r="B318" s="20">
        <v>82</v>
      </c>
      <c r="C318" s="20">
        <v>865</v>
      </c>
      <c r="D318" s="20">
        <v>-1296</v>
      </c>
      <c r="E318" s="20">
        <v>700</v>
      </c>
      <c r="F318" s="20">
        <v>877</v>
      </c>
      <c r="G318" s="20">
        <v>865</v>
      </c>
      <c r="H318" s="20">
        <v>-22</v>
      </c>
      <c r="I318" s="20">
        <v>-60</v>
      </c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">
      <c r="A319" s="20">
        <v>46003</v>
      </c>
      <c r="B319" s="20">
        <v>85</v>
      </c>
      <c r="C319" s="20">
        <v>865</v>
      </c>
      <c r="D319" s="20">
        <v>-1440</v>
      </c>
      <c r="E319" s="20">
        <v>700</v>
      </c>
      <c r="F319" s="20">
        <v>877</v>
      </c>
      <c r="G319" s="20">
        <v>865</v>
      </c>
      <c r="H319" s="20">
        <v>-25</v>
      </c>
      <c r="I319" s="20">
        <v>-60</v>
      </c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">
      <c r="A320" s="20">
        <v>46053</v>
      </c>
      <c r="B320" s="20">
        <v>86</v>
      </c>
      <c r="C320" s="20">
        <v>865</v>
      </c>
      <c r="D320" s="20">
        <v>-1328</v>
      </c>
      <c r="E320" s="20">
        <v>700</v>
      </c>
      <c r="F320" s="20">
        <v>877</v>
      </c>
      <c r="G320" s="20">
        <v>865</v>
      </c>
      <c r="H320" s="20">
        <v>-26</v>
      </c>
      <c r="I320" s="20">
        <v>-20</v>
      </c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">
      <c r="A321" s="20">
        <v>46103</v>
      </c>
      <c r="B321" s="20">
        <v>86</v>
      </c>
      <c r="C321" s="20">
        <v>865</v>
      </c>
      <c r="D321" s="20">
        <v>-1248</v>
      </c>
      <c r="E321" s="20">
        <v>700</v>
      </c>
      <c r="F321" s="20">
        <v>877</v>
      </c>
      <c r="G321" s="20">
        <v>865</v>
      </c>
      <c r="H321" s="20">
        <v>-26</v>
      </c>
      <c r="I321" s="20">
        <v>0</v>
      </c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">
      <c r="A322" s="20">
        <v>46153</v>
      </c>
      <c r="B322" s="20">
        <v>74</v>
      </c>
      <c r="C322" s="20">
        <v>865</v>
      </c>
      <c r="D322" s="20">
        <v>288</v>
      </c>
      <c r="E322" s="20">
        <v>700</v>
      </c>
      <c r="F322" s="20">
        <v>877</v>
      </c>
      <c r="G322" s="20">
        <v>865</v>
      </c>
      <c r="H322" s="20">
        <v>-14</v>
      </c>
      <c r="I322" s="20">
        <v>240</v>
      </c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">
      <c r="A323" s="20">
        <v>46203</v>
      </c>
      <c r="B323" s="20">
        <v>76</v>
      </c>
      <c r="C323" s="20">
        <v>865</v>
      </c>
      <c r="D323" s="20">
        <v>-928</v>
      </c>
      <c r="E323" s="20">
        <v>700</v>
      </c>
      <c r="F323" s="20">
        <v>877</v>
      </c>
      <c r="G323" s="20">
        <v>865</v>
      </c>
      <c r="H323" s="20">
        <v>-16</v>
      </c>
      <c r="I323" s="20">
        <v>-40</v>
      </c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">
      <c r="A324" s="20">
        <v>46253</v>
      </c>
      <c r="B324" s="20">
        <v>69</v>
      </c>
      <c r="C324" s="20">
        <v>865</v>
      </c>
      <c r="D324" s="20">
        <v>128</v>
      </c>
      <c r="E324" s="20">
        <v>700</v>
      </c>
      <c r="F324" s="20">
        <v>877</v>
      </c>
      <c r="G324" s="20">
        <v>865</v>
      </c>
      <c r="H324" s="20">
        <v>-9</v>
      </c>
      <c r="I324" s="20">
        <v>140</v>
      </c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">
      <c r="A325" s="20">
        <v>46303</v>
      </c>
      <c r="B325" s="20">
        <v>65</v>
      </c>
      <c r="C325" s="20">
        <v>865</v>
      </c>
      <c r="D325" s="20">
        <v>80</v>
      </c>
      <c r="E325" s="20">
        <v>700</v>
      </c>
      <c r="F325" s="20">
        <v>877</v>
      </c>
      <c r="G325" s="20">
        <v>865</v>
      </c>
      <c r="H325" s="20">
        <v>-5</v>
      </c>
      <c r="I325" s="20">
        <v>80</v>
      </c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">
      <c r="A326" s="20">
        <v>46353</v>
      </c>
      <c r="B326" s="20">
        <v>63</v>
      </c>
      <c r="C326" s="20">
        <v>865</v>
      </c>
      <c r="D326" s="20">
        <v>16</v>
      </c>
      <c r="E326" s="20">
        <v>700</v>
      </c>
      <c r="F326" s="20">
        <v>877</v>
      </c>
      <c r="G326" s="20">
        <v>865</v>
      </c>
      <c r="H326" s="20">
        <v>-3</v>
      </c>
      <c r="I326" s="20">
        <v>40</v>
      </c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">
      <c r="A327" s="20">
        <v>46403</v>
      </c>
      <c r="B327" s="20">
        <v>71</v>
      </c>
      <c r="C327" s="20">
        <v>865</v>
      </c>
      <c r="D327" s="20">
        <v>-1168</v>
      </c>
      <c r="E327" s="20">
        <v>700</v>
      </c>
      <c r="F327" s="20">
        <v>877</v>
      </c>
      <c r="G327" s="20">
        <v>865</v>
      </c>
      <c r="H327" s="20">
        <v>-11</v>
      </c>
      <c r="I327" s="20">
        <v>-160</v>
      </c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">
      <c r="A328" s="20">
        <v>46453</v>
      </c>
      <c r="B328" s="20">
        <v>70</v>
      </c>
      <c r="C328" s="20">
        <v>865</v>
      </c>
      <c r="D328" s="20">
        <v>-400</v>
      </c>
      <c r="E328" s="20">
        <v>700</v>
      </c>
      <c r="F328" s="20">
        <v>877</v>
      </c>
      <c r="G328" s="20">
        <v>865</v>
      </c>
      <c r="H328" s="20">
        <v>-10</v>
      </c>
      <c r="I328" s="20">
        <v>20</v>
      </c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">
      <c r="A329" s="20">
        <v>46503</v>
      </c>
      <c r="B329" s="20">
        <v>70</v>
      </c>
      <c r="C329" s="20">
        <v>865</v>
      </c>
      <c r="D329" s="20">
        <v>-480</v>
      </c>
      <c r="E329" s="20">
        <v>700</v>
      </c>
      <c r="F329" s="20">
        <v>877</v>
      </c>
      <c r="G329" s="20">
        <v>865</v>
      </c>
      <c r="H329" s="20">
        <v>-10</v>
      </c>
      <c r="I329" s="20">
        <v>0</v>
      </c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">
      <c r="A330" s="20">
        <v>46553</v>
      </c>
      <c r="B330" s="20">
        <v>72</v>
      </c>
      <c r="C330" s="20">
        <v>865</v>
      </c>
      <c r="D330" s="20">
        <v>-736</v>
      </c>
      <c r="E330" s="20">
        <v>700</v>
      </c>
      <c r="F330" s="20">
        <v>877</v>
      </c>
      <c r="G330" s="20">
        <v>865</v>
      </c>
      <c r="H330" s="20">
        <v>-12</v>
      </c>
      <c r="I330" s="20">
        <v>-40</v>
      </c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">
      <c r="A331" s="20">
        <v>46603</v>
      </c>
      <c r="B331" s="20">
        <v>73</v>
      </c>
      <c r="C331" s="20">
        <v>865</v>
      </c>
      <c r="D331" s="20">
        <v>-704</v>
      </c>
      <c r="E331" s="20">
        <v>700</v>
      </c>
      <c r="F331" s="20">
        <v>877</v>
      </c>
      <c r="G331" s="20">
        <v>865</v>
      </c>
      <c r="H331" s="20">
        <v>-13</v>
      </c>
      <c r="I331" s="20">
        <v>-20</v>
      </c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">
      <c r="A332" s="20">
        <v>46653</v>
      </c>
      <c r="B332" s="20">
        <v>76</v>
      </c>
      <c r="C332" s="20">
        <v>865</v>
      </c>
      <c r="D332" s="20">
        <v>-1008</v>
      </c>
      <c r="E332" s="20">
        <v>700</v>
      </c>
      <c r="F332" s="20">
        <v>877</v>
      </c>
      <c r="G332" s="20">
        <v>865</v>
      </c>
      <c r="H332" s="20">
        <v>-16</v>
      </c>
      <c r="I332" s="20">
        <v>-60</v>
      </c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">
      <c r="A389" s="23"/>
      <c r="B389" s="23"/>
      <c r="C389" s="23"/>
      <c r="D389" s="23"/>
      <c r="E389" s="23"/>
      <c r="F389" s="23"/>
      <c r="G389" s="23"/>
      <c r="H389" s="23"/>
      <c r="I389" s="23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">
      <c r="A474" s="20"/>
      <c r="B474" s="20"/>
      <c r="C474" s="22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">
      <c r="A636" s="20"/>
      <c r="B636" s="20"/>
      <c r="C636" s="20"/>
      <c r="D636" s="20"/>
      <c r="E636" s="22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">
      <c r="A640" s="20"/>
      <c r="B640" s="22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">
      <c r="A2376" s="20"/>
      <c r="B2376" s="22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">
      <c r="A2476" s="20"/>
      <c r="B2476" s="20"/>
      <c r="C2476" s="22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">
      <c r="A3060" s="20"/>
      <c r="B3060" s="22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">
      <c r="A3970" s="22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">
      <c r="A4434" s="20"/>
      <c r="B4434" s="20"/>
      <c r="C4434" s="22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">
      <c r="A4484" s="20"/>
      <c r="B4484" s="22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">
      <c r="A4789" s="20"/>
      <c r="B4789" s="22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tabSelected="1" workbookViewId="0">
      <selection activeCell="B5" sqref="B5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/>
      <c r="H1" s="6" t="s">
        <v>21</v>
      </c>
    </row>
    <row r="2" spans="1:11" x14ac:dyDescent="0.2">
      <c r="A2" s="9"/>
      <c r="B2" s="14"/>
      <c r="C2" s="20">
        <v>30153</v>
      </c>
      <c r="D2" s="20">
        <v>4</v>
      </c>
      <c r="E2" s="12">
        <f>($C2-$C$2)/1000</f>
        <v>0</v>
      </c>
      <c r="F2" s="12">
        <f>$D2/1000</f>
        <v>4.0000000000000001E-3</v>
      </c>
      <c r="G2" s="20">
        <v>702</v>
      </c>
      <c r="H2" s="14">
        <f>G2/10</f>
        <v>70.2</v>
      </c>
    </row>
    <row r="3" spans="1:11" x14ac:dyDescent="0.2">
      <c r="A3" s="9"/>
      <c r="B3" s="14"/>
      <c r="C3" s="20">
        <v>30203</v>
      </c>
      <c r="D3" s="20">
        <v>8</v>
      </c>
      <c r="E3" s="12">
        <f t="shared" ref="E3:E66" si="0">($C3-$C$2)/1000</f>
        <v>0.05</v>
      </c>
      <c r="F3" s="12">
        <f t="shared" ref="F3:F66" si="1">$D3/1000</f>
        <v>8.0000000000000002E-3</v>
      </c>
      <c r="G3" s="20">
        <v>705</v>
      </c>
      <c r="H3" s="14">
        <f t="shared" ref="H3:H66" si="2">G3/10</f>
        <v>70.5</v>
      </c>
    </row>
    <row r="4" spans="1:11" x14ac:dyDescent="0.2">
      <c r="A4" s="9"/>
      <c r="B4" s="14"/>
      <c r="C4" s="20">
        <v>30253</v>
      </c>
      <c r="D4" s="20">
        <v>10</v>
      </c>
      <c r="E4" s="12">
        <f t="shared" si="0"/>
        <v>0.1</v>
      </c>
      <c r="F4" s="12">
        <f t="shared" si="1"/>
        <v>0.01</v>
      </c>
      <c r="G4" s="20">
        <v>707</v>
      </c>
      <c r="H4" s="14">
        <f t="shared" si="2"/>
        <v>70.7</v>
      </c>
      <c r="J4" s="1" t="s">
        <v>25</v>
      </c>
      <c r="K4" s="1" t="s">
        <v>24</v>
      </c>
    </row>
    <row r="5" spans="1:11" x14ac:dyDescent="0.2">
      <c r="A5" s="9"/>
      <c r="B5" s="14"/>
      <c r="C5" s="20">
        <v>30303</v>
      </c>
      <c r="D5" s="20">
        <v>12</v>
      </c>
      <c r="E5" s="12">
        <f t="shared" si="0"/>
        <v>0.15</v>
      </c>
      <c r="F5" s="12">
        <f t="shared" si="1"/>
        <v>1.2E-2</v>
      </c>
      <c r="G5" s="20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20">
        <v>30353</v>
      </c>
      <c r="D6" s="20">
        <v>13</v>
      </c>
      <c r="E6" s="12">
        <f t="shared" si="0"/>
        <v>0.2</v>
      </c>
      <c r="F6" s="12">
        <f t="shared" si="1"/>
        <v>1.2999999999999999E-2</v>
      </c>
      <c r="G6" s="22">
        <v>712</v>
      </c>
      <c r="H6" s="14">
        <f t="shared" si="2"/>
        <v>71.2</v>
      </c>
      <c r="J6" s="13">
        <f>$E$298</f>
        <v>14.8</v>
      </c>
      <c r="K6">
        <v>0.3</v>
      </c>
    </row>
    <row r="7" spans="1:11" x14ac:dyDescent="0.2">
      <c r="A7" s="9"/>
      <c r="B7" s="14"/>
      <c r="C7" s="20">
        <v>30403</v>
      </c>
      <c r="D7" s="20">
        <v>14</v>
      </c>
      <c r="E7" s="12">
        <f t="shared" si="0"/>
        <v>0.25</v>
      </c>
      <c r="F7" s="12">
        <f t="shared" si="1"/>
        <v>1.4E-2</v>
      </c>
      <c r="G7" s="20">
        <v>715</v>
      </c>
      <c r="H7" s="14">
        <f t="shared" si="2"/>
        <v>71.5</v>
      </c>
    </row>
    <row r="8" spans="1:11" x14ac:dyDescent="0.2">
      <c r="A8" s="9"/>
      <c r="B8" s="14"/>
      <c r="C8" s="20">
        <v>30453</v>
      </c>
      <c r="D8" s="20">
        <v>14</v>
      </c>
      <c r="E8" s="12">
        <f t="shared" si="0"/>
        <v>0.3</v>
      </c>
      <c r="F8" s="12">
        <f t="shared" si="1"/>
        <v>1.4E-2</v>
      </c>
      <c r="G8" s="20">
        <v>717</v>
      </c>
      <c r="H8" s="14">
        <f t="shared" si="2"/>
        <v>71.7</v>
      </c>
    </row>
    <row r="9" spans="1:11" x14ac:dyDescent="0.2">
      <c r="A9" s="9"/>
      <c r="B9" s="14"/>
      <c r="C9" s="20">
        <v>30503</v>
      </c>
      <c r="D9" s="20">
        <v>15</v>
      </c>
      <c r="E9" s="12">
        <f t="shared" si="0"/>
        <v>0.35</v>
      </c>
      <c r="F9" s="12">
        <f t="shared" si="1"/>
        <v>1.4999999999999999E-2</v>
      </c>
      <c r="G9" s="21">
        <v>720</v>
      </c>
      <c r="H9" s="14">
        <f t="shared" si="2"/>
        <v>72</v>
      </c>
    </row>
    <row r="10" spans="1:11" x14ac:dyDescent="0.2">
      <c r="A10" s="9"/>
      <c r="B10" s="14"/>
      <c r="C10" s="20">
        <v>30553</v>
      </c>
      <c r="D10" s="20">
        <v>15</v>
      </c>
      <c r="E10" s="12">
        <f t="shared" si="0"/>
        <v>0.4</v>
      </c>
      <c r="F10" s="12">
        <f t="shared" si="1"/>
        <v>1.4999999999999999E-2</v>
      </c>
      <c r="G10" s="20">
        <v>722</v>
      </c>
      <c r="H10" s="14">
        <f t="shared" si="2"/>
        <v>72.2</v>
      </c>
    </row>
    <row r="11" spans="1:11" x14ac:dyDescent="0.2">
      <c r="A11" s="9"/>
      <c r="B11" s="14"/>
      <c r="C11" s="20">
        <v>30603</v>
      </c>
      <c r="D11" s="20">
        <v>15</v>
      </c>
      <c r="E11" s="12">
        <f t="shared" si="0"/>
        <v>0.45</v>
      </c>
      <c r="F11" s="12">
        <f t="shared" si="1"/>
        <v>1.4999999999999999E-2</v>
      </c>
      <c r="G11" s="22">
        <v>725</v>
      </c>
      <c r="H11" s="14">
        <f t="shared" si="2"/>
        <v>72.5</v>
      </c>
    </row>
    <row r="12" spans="1:11" x14ac:dyDescent="0.2">
      <c r="A12" s="9"/>
      <c r="B12" s="14"/>
      <c r="C12" s="20">
        <v>30653</v>
      </c>
      <c r="D12" s="20">
        <v>15</v>
      </c>
      <c r="E12" s="12">
        <f t="shared" si="0"/>
        <v>0.5</v>
      </c>
      <c r="F12" s="12">
        <f t="shared" si="1"/>
        <v>1.4999999999999999E-2</v>
      </c>
      <c r="G12" s="20">
        <v>727</v>
      </c>
      <c r="H12" s="14">
        <f t="shared" si="2"/>
        <v>72.7</v>
      </c>
    </row>
    <row r="13" spans="1:11" x14ac:dyDescent="0.2">
      <c r="A13" s="9"/>
      <c r="B13" s="14"/>
      <c r="C13" s="20">
        <v>30703</v>
      </c>
      <c r="D13" s="21">
        <v>15</v>
      </c>
      <c r="E13" s="12">
        <f t="shared" si="0"/>
        <v>0.55000000000000004</v>
      </c>
      <c r="F13" s="12">
        <f t="shared" si="1"/>
        <v>1.4999999999999999E-2</v>
      </c>
      <c r="G13" s="20">
        <v>730</v>
      </c>
      <c r="H13" s="14">
        <f t="shared" si="2"/>
        <v>73</v>
      </c>
    </row>
    <row r="14" spans="1:11" x14ac:dyDescent="0.2">
      <c r="A14" s="9"/>
      <c r="B14" s="14"/>
      <c r="C14" s="20">
        <v>30753</v>
      </c>
      <c r="D14" s="20">
        <v>15</v>
      </c>
      <c r="E14" s="12">
        <f t="shared" si="0"/>
        <v>0.6</v>
      </c>
      <c r="F14" s="12">
        <f t="shared" si="1"/>
        <v>1.4999999999999999E-2</v>
      </c>
      <c r="G14" s="20">
        <v>732</v>
      </c>
      <c r="H14" s="14">
        <f t="shared" si="2"/>
        <v>73.2</v>
      </c>
    </row>
    <row r="15" spans="1:11" x14ac:dyDescent="0.2">
      <c r="A15" s="9"/>
      <c r="B15" s="14"/>
      <c r="C15" s="20">
        <v>30803</v>
      </c>
      <c r="D15" s="20">
        <v>15</v>
      </c>
      <c r="E15" s="12">
        <f t="shared" si="0"/>
        <v>0.65</v>
      </c>
      <c r="F15" s="12">
        <f t="shared" si="1"/>
        <v>1.4999999999999999E-2</v>
      </c>
      <c r="G15" s="20">
        <v>735</v>
      </c>
      <c r="H15" s="14">
        <f t="shared" si="2"/>
        <v>73.5</v>
      </c>
    </row>
    <row r="16" spans="1:11" x14ac:dyDescent="0.2">
      <c r="A16" s="9"/>
      <c r="B16" s="14"/>
      <c r="C16" s="20">
        <v>30853</v>
      </c>
      <c r="D16" s="20">
        <v>15</v>
      </c>
      <c r="E16" s="12">
        <f t="shared" si="0"/>
        <v>0.7</v>
      </c>
      <c r="F16" s="12">
        <f t="shared" si="1"/>
        <v>1.4999999999999999E-2</v>
      </c>
      <c r="G16" s="20">
        <v>737</v>
      </c>
      <c r="H16" s="14">
        <f t="shared" si="2"/>
        <v>73.7</v>
      </c>
    </row>
    <row r="17" spans="1:8" x14ac:dyDescent="0.2">
      <c r="A17" s="9"/>
      <c r="B17" s="14"/>
      <c r="C17" s="20">
        <v>30903</v>
      </c>
      <c r="D17" s="20">
        <v>15</v>
      </c>
      <c r="E17" s="12">
        <f t="shared" si="0"/>
        <v>0.75</v>
      </c>
      <c r="F17" s="12">
        <f t="shared" si="1"/>
        <v>1.4999999999999999E-2</v>
      </c>
      <c r="G17" s="20">
        <v>740</v>
      </c>
      <c r="H17" s="14">
        <f t="shared" si="2"/>
        <v>74</v>
      </c>
    </row>
    <row r="18" spans="1:8" x14ac:dyDescent="0.2">
      <c r="A18" s="9"/>
      <c r="B18" s="14"/>
      <c r="C18" s="20">
        <v>30953</v>
      </c>
      <c r="D18" s="20">
        <v>15</v>
      </c>
      <c r="E18" s="12">
        <f t="shared" si="0"/>
        <v>0.8</v>
      </c>
      <c r="F18" s="12">
        <f t="shared" si="1"/>
        <v>1.4999999999999999E-2</v>
      </c>
      <c r="G18" s="20">
        <v>742</v>
      </c>
      <c r="H18" s="14">
        <f t="shared" si="2"/>
        <v>74.2</v>
      </c>
    </row>
    <row r="19" spans="1:8" x14ac:dyDescent="0.2">
      <c r="A19" s="9"/>
      <c r="B19" s="14"/>
      <c r="C19" s="20">
        <v>31003</v>
      </c>
      <c r="D19" s="20">
        <v>15</v>
      </c>
      <c r="E19" s="12">
        <f t="shared" si="0"/>
        <v>0.85</v>
      </c>
      <c r="F19" s="12">
        <f t="shared" si="1"/>
        <v>1.4999999999999999E-2</v>
      </c>
      <c r="G19" s="20">
        <v>745</v>
      </c>
      <c r="H19" s="14">
        <f t="shared" si="2"/>
        <v>74.5</v>
      </c>
    </row>
    <row r="20" spans="1:8" x14ac:dyDescent="0.2">
      <c r="A20" s="9"/>
      <c r="B20" s="14"/>
      <c r="C20" s="20">
        <v>31053</v>
      </c>
      <c r="D20" s="20">
        <v>14</v>
      </c>
      <c r="E20" s="12">
        <f t="shared" si="0"/>
        <v>0.9</v>
      </c>
      <c r="F20" s="12">
        <f t="shared" si="1"/>
        <v>1.4E-2</v>
      </c>
      <c r="G20" s="21">
        <v>747</v>
      </c>
      <c r="H20" s="14">
        <f t="shared" si="2"/>
        <v>74.7</v>
      </c>
    </row>
    <row r="21" spans="1:8" x14ac:dyDescent="0.2">
      <c r="A21" s="9"/>
      <c r="B21" s="14"/>
      <c r="C21" s="20">
        <v>31103</v>
      </c>
      <c r="D21" s="20">
        <v>14</v>
      </c>
      <c r="E21" s="12">
        <f t="shared" si="0"/>
        <v>0.95</v>
      </c>
      <c r="F21" s="12">
        <f t="shared" si="1"/>
        <v>1.4E-2</v>
      </c>
      <c r="G21" s="20">
        <v>750</v>
      </c>
      <c r="H21" s="14">
        <f t="shared" si="2"/>
        <v>75</v>
      </c>
    </row>
    <row r="22" spans="1:8" x14ac:dyDescent="0.2">
      <c r="A22" s="9"/>
      <c r="B22" s="14"/>
      <c r="C22" s="20">
        <v>31153</v>
      </c>
      <c r="D22" s="20">
        <v>14</v>
      </c>
      <c r="E22" s="12">
        <f t="shared" si="0"/>
        <v>1</v>
      </c>
      <c r="F22" s="12">
        <f t="shared" si="1"/>
        <v>1.4E-2</v>
      </c>
      <c r="G22" s="20">
        <v>752</v>
      </c>
      <c r="H22" s="14">
        <f t="shared" si="2"/>
        <v>75.2</v>
      </c>
    </row>
    <row r="23" spans="1:8" x14ac:dyDescent="0.2">
      <c r="A23" s="9"/>
      <c r="B23" s="14"/>
      <c r="C23" s="20">
        <v>31203</v>
      </c>
      <c r="D23" s="20">
        <v>15</v>
      </c>
      <c r="E23" s="12">
        <f t="shared" si="0"/>
        <v>1.05</v>
      </c>
      <c r="F23" s="12">
        <f t="shared" si="1"/>
        <v>1.4999999999999999E-2</v>
      </c>
      <c r="G23" s="20">
        <v>755</v>
      </c>
      <c r="H23" s="14">
        <f t="shared" si="2"/>
        <v>75.5</v>
      </c>
    </row>
    <row r="24" spans="1:8" x14ac:dyDescent="0.2">
      <c r="A24" s="9"/>
      <c r="B24" s="14"/>
      <c r="C24" s="20">
        <v>31253</v>
      </c>
      <c r="D24" s="20">
        <v>15</v>
      </c>
      <c r="E24" s="12">
        <f t="shared" si="0"/>
        <v>1.1000000000000001</v>
      </c>
      <c r="F24" s="12">
        <f t="shared" si="1"/>
        <v>1.4999999999999999E-2</v>
      </c>
      <c r="G24" s="20">
        <v>757</v>
      </c>
      <c r="H24" s="14">
        <f t="shared" si="2"/>
        <v>75.7</v>
      </c>
    </row>
    <row r="25" spans="1:8" x14ac:dyDescent="0.2">
      <c r="A25" s="9"/>
      <c r="B25" s="14"/>
      <c r="C25" s="20">
        <v>31303</v>
      </c>
      <c r="D25" s="20">
        <v>15</v>
      </c>
      <c r="E25" s="12">
        <f t="shared" si="0"/>
        <v>1.1499999999999999</v>
      </c>
      <c r="F25" s="12">
        <f t="shared" si="1"/>
        <v>1.4999999999999999E-2</v>
      </c>
      <c r="G25" s="20">
        <v>760</v>
      </c>
      <c r="H25" s="14">
        <f t="shared" si="2"/>
        <v>76</v>
      </c>
    </row>
    <row r="26" spans="1:8" x14ac:dyDescent="0.2">
      <c r="A26" s="9"/>
      <c r="B26" s="14"/>
      <c r="C26" s="20">
        <v>31353</v>
      </c>
      <c r="D26" s="20">
        <v>15</v>
      </c>
      <c r="E26" s="12">
        <f t="shared" si="0"/>
        <v>1.2</v>
      </c>
      <c r="F26" s="12">
        <f t="shared" si="1"/>
        <v>1.4999999999999999E-2</v>
      </c>
      <c r="G26" s="20">
        <v>762</v>
      </c>
      <c r="H26" s="14">
        <f t="shared" si="2"/>
        <v>76.2</v>
      </c>
    </row>
    <row r="27" spans="1:8" x14ac:dyDescent="0.2">
      <c r="A27" s="9"/>
      <c r="B27" s="14"/>
      <c r="C27" s="20">
        <v>31403</v>
      </c>
      <c r="D27" s="20">
        <v>15</v>
      </c>
      <c r="E27" s="12">
        <f t="shared" si="0"/>
        <v>1.25</v>
      </c>
      <c r="F27" s="12">
        <f t="shared" si="1"/>
        <v>1.4999999999999999E-2</v>
      </c>
      <c r="G27" s="21">
        <v>765</v>
      </c>
      <c r="H27" s="14">
        <f t="shared" si="2"/>
        <v>76.5</v>
      </c>
    </row>
    <row r="28" spans="1:8" x14ac:dyDescent="0.2">
      <c r="A28" s="9"/>
      <c r="B28" s="14"/>
      <c r="C28" s="20">
        <v>31453</v>
      </c>
      <c r="D28" s="20">
        <v>15</v>
      </c>
      <c r="E28" s="12">
        <f t="shared" si="0"/>
        <v>1.3</v>
      </c>
      <c r="F28" s="12">
        <f t="shared" si="1"/>
        <v>1.4999999999999999E-2</v>
      </c>
      <c r="G28" s="20">
        <v>767</v>
      </c>
      <c r="H28" s="14">
        <f t="shared" si="2"/>
        <v>76.7</v>
      </c>
    </row>
    <row r="29" spans="1:8" x14ac:dyDescent="0.2">
      <c r="A29" s="9"/>
      <c r="B29" s="14"/>
      <c r="C29" s="20">
        <v>31503</v>
      </c>
      <c r="D29" s="20">
        <v>15</v>
      </c>
      <c r="E29" s="12">
        <f t="shared" si="0"/>
        <v>1.35</v>
      </c>
      <c r="F29" s="12">
        <f t="shared" si="1"/>
        <v>1.4999999999999999E-2</v>
      </c>
      <c r="G29" s="20">
        <v>770</v>
      </c>
      <c r="H29" s="14">
        <f t="shared" si="2"/>
        <v>77</v>
      </c>
    </row>
    <row r="30" spans="1:8" x14ac:dyDescent="0.2">
      <c r="A30" s="9"/>
      <c r="B30" s="14"/>
      <c r="C30" s="20">
        <v>31553</v>
      </c>
      <c r="D30" s="20">
        <v>15</v>
      </c>
      <c r="E30" s="12">
        <f t="shared" si="0"/>
        <v>1.4</v>
      </c>
      <c r="F30" s="12">
        <f t="shared" si="1"/>
        <v>1.4999999999999999E-2</v>
      </c>
      <c r="G30" s="20">
        <v>772</v>
      </c>
      <c r="H30" s="14">
        <f t="shared" si="2"/>
        <v>77.2</v>
      </c>
    </row>
    <row r="31" spans="1:8" x14ac:dyDescent="0.2">
      <c r="A31" s="9"/>
      <c r="B31" s="14"/>
      <c r="C31" s="20">
        <v>31603</v>
      </c>
      <c r="D31" s="20">
        <v>16</v>
      </c>
      <c r="E31" s="12">
        <f t="shared" si="0"/>
        <v>1.45</v>
      </c>
      <c r="F31" s="12">
        <f t="shared" si="1"/>
        <v>1.6E-2</v>
      </c>
      <c r="G31" s="20">
        <v>775</v>
      </c>
      <c r="H31" s="14">
        <f t="shared" si="2"/>
        <v>77.5</v>
      </c>
    </row>
    <row r="32" spans="1:8" x14ac:dyDescent="0.2">
      <c r="A32" s="9"/>
      <c r="B32" s="14"/>
      <c r="C32" s="20">
        <v>31653</v>
      </c>
      <c r="D32" s="20">
        <v>16</v>
      </c>
      <c r="E32" s="12">
        <f t="shared" si="0"/>
        <v>1.5</v>
      </c>
      <c r="F32" s="12">
        <f t="shared" si="1"/>
        <v>1.6E-2</v>
      </c>
      <c r="G32" s="20">
        <v>777</v>
      </c>
      <c r="H32" s="14">
        <f t="shared" si="2"/>
        <v>77.7</v>
      </c>
    </row>
    <row r="33" spans="1:16" x14ac:dyDescent="0.2">
      <c r="A33" s="9"/>
      <c r="B33" s="14"/>
      <c r="C33" s="20">
        <v>31703</v>
      </c>
      <c r="D33" s="20">
        <v>16</v>
      </c>
      <c r="E33" s="12">
        <f t="shared" si="0"/>
        <v>1.55</v>
      </c>
      <c r="F33" s="12">
        <f t="shared" si="1"/>
        <v>1.6E-2</v>
      </c>
      <c r="G33" s="20">
        <v>780</v>
      </c>
      <c r="H33" s="14">
        <f t="shared" si="2"/>
        <v>78</v>
      </c>
    </row>
    <row r="34" spans="1:16" x14ac:dyDescent="0.2">
      <c r="A34" s="9"/>
      <c r="B34" s="14"/>
      <c r="C34" s="20">
        <v>31753</v>
      </c>
      <c r="D34" s="20">
        <v>16</v>
      </c>
      <c r="E34" s="12">
        <f t="shared" si="0"/>
        <v>1.6</v>
      </c>
      <c r="F34" s="12">
        <f t="shared" si="1"/>
        <v>1.6E-2</v>
      </c>
      <c r="G34" s="20">
        <v>782</v>
      </c>
      <c r="H34" s="14">
        <f t="shared" si="2"/>
        <v>78.2</v>
      </c>
    </row>
    <row r="35" spans="1:16" x14ac:dyDescent="0.2">
      <c r="A35" s="9"/>
      <c r="B35" s="14"/>
      <c r="C35" s="20">
        <v>31803</v>
      </c>
      <c r="D35" s="20">
        <v>16</v>
      </c>
      <c r="E35" s="12">
        <f t="shared" si="0"/>
        <v>1.65</v>
      </c>
      <c r="F35" s="12">
        <f t="shared" si="1"/>
        <v>1.6E-2</v>
      </c>
      <c r="G35" s="20">
        <v>785</v>
      </c>
      <c r="H35" s="14">
        <f t="shared" si="2"/>
        <v>78.5</v>
      </c>
    </row>
    <row r="36" spans="1:16" x14ac:dyDescent="0.2">
      <c r="A36" s="9"/>
      <c r="B36" s="14"/>
      <c r="C36" s="20">
        <v>31853</v>
      </c>
      <c r="D36" s="20">
        <v>16</v>
      </c>
      <c r="E36" s="12">
        <f t="shared" si="0"/>
        <v>1.7</v>
      </c>
      <c r="F36" s="12">
        <f t="shared" si="1"/>
        <v>1.6E-2</v>
      </c>
      <c r="G36" s="20">
        <v>787</v>
      </c>
      <c r="H36" s="14">
        <f t="shared" si="2"/>
        <v>78.7</v>
      </c>
    </row>
    <row r="37" spans="1:16" x14ac:dyDescent="0.2">
      <c r="A37" s="9"/>
      <c r="B37" s="14"/>
      <c r="C37" s="20">
        <v>31903</v>
      </c>
      <c r="D37" s="20">
        <v>16</v>
      </c>
      <c r="E37" s="12">
        <f t="shared" si="0"/>
        <v>1.75</v>
      </c>
      <c r="F37" s="12">
        <f t="shared" si="1"/>
        <v>1.6E-2</v>
      </c>
      <c r="G37" s="20">
        <v>790</v>
      </c>
      <c r="H37" s="14">
        <f t="shared" si="2"/>
        <v>79</v>
      </c>
    </row>
    <row r="38" spans="1:16" x14ac:dyDescent="0.2">
      <c r="A38" s="9"/>
      <c r="B38" s="14"/>
      <c r="C38" s="20">
        <v>31953</v>
      </c>
      <c r="D38" s="20">
        <v>16</v>
      </c>
      <c r="E38" s="12">
        <f t="shared" si="0"/>
        <v>1.8</v>
      </c>
      <c r="F38" s="12">
        <f t="shared" si="1"/>
        <v>1.6E-2</v>
      </c>
      <c r="G38" s="20">
        <v>792</v>
      </c>
      <c r="H38" s="14">
        <f t="shared" si="2"/>
        <v>79.2</v>
      </c>
    </row>
    <row r="39" spans="1:16" x14ac:dyDescent="0.2">
      <c r="A39" s="9"/>
      <c r="B39" s="14"/>
      <c r="C39" s="20">
        <v>32003</v>
      </c>
      <c r="D39" s="20">
        <v>17</v>
      </c>
      <c r="E39" s="12">
        <f t="shared" si="0"/>
        <v>1.85</v>
      </c>
      <c r="F39" s="12">
        <f t="shared" si="1"/>
        <v>1.7000000000000001E-2</v>
      </c>
      <c r="G39" s="20">
        <v>795</v>
      </c>
      <c r="H39" s="14">
        <f t="shared" si="2"/>
        <v>79.5</v>
      </c>
    </row>
    <row r="40" spans="1:16" x14ac:dyDescent="0.2">
      <c r="A40" s="9"/>
      <c r="B40" s="14"/>
      <c r="C40" s="20">
        <v>32053</v>
      </c>
      <c r="D40" s="20">
        <v>17</v>
      </c>
      <c r="E40" s="12">
        <f t="shared" si="0"/>
        <v>1.9</v>
      </c>
      <c r="F40" s="12">
        <f t="shared" si="1"/>
        <v>1.7000000000000001E-2</v>
      </c>
      <c r="G40" s="20">
        <v>797</v>
      </c>
      <c r="H40" s="14">
        <f t="shared" si="2"/>
        <v>79.7</v>
      </c>
    </row>
    <row r="41" spans="1:16" x14ac:dyDescent="0.2">
      <c r="A41" s="9"/>
      <c r="B41" s="14"/>
      <c r="C41" s="20">
        <v>32103</v>
      </c>
      <c r="D41" s="20">
        <v>17</v>
      </c>
      <c r="E41" s="12">
        <f t="shared" si="0"/>
        <v>1.95</v>
      </c>
      <c r="F41" s="12">
        <f t="shared" si="1"/>
        <v>1.7000000000000001E-2</v>
      </c>
      <c r="G41" s="20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20">
        <v>32153</v>
      </c>
      <c r="D42" s="20">
        <v>17</v>
      </c>
      <c r="E42" s="12">
        <f t="shared" si="0"/>
        <v>2</v>
      </c>
      <c r="F42" s="12">
        <f t="shared" si="1"/>
        <v>1.7000000000000001E-2</v>
      </c>
      <c r="G42" s="20">
        <v>802</v>
      </c>
      <c r="H42" s="14">
        <f t="shared" si="2"/>
        <v>80.2</v>
      </c>
    </row>
    <row r="43" spans="1:16" x14ac:dyDescent="0.2">
      <c r="A43" s="9"/>
      <c r="B43" s="14"/>
      <c r="C43" s="20">
        <v>32203</v>
      </c>
      <c r="D43" s="20">
        <v>17</v>
      </c>
      <c r="E43" s="12">
        <f t="shared" si="0"/>
        <v>2.0499999999999998</v>
      </c>
      <c r="F43" s="12">
        <f t="shared" si="1"/>
        <v>1.7000000000000001E-2</v>
      </c>
      <c r="G43" s="20">
        <v>805</v>
      </c>
      <c r="H43" s="14">
        <f t="shared" si="2"/>
        <v>80.5</v>
      </c>
    </row>
    <row r="44" spans="1:16" x14ac:dyDescent="0.2">
      <c r="A44" s="9"/>
      <c r="B44" s="14"/>
      <c r="C44" s="20">
        <v>32253</v>
      </c>
      <c r="D44" s="20">
        <v>17</v>
      </c>
      <c r="E44" s="12">
        <f t="shared" si="0"/>
        <v>2.1</v>
      </c>
      <c r="F44" s="12">
        <f t="shared" si="1"/>
        <v>1.7000000000000001E-2</v>
      </c>
      <c r="G44" s="20">
        <v>807</v>
      </c>
      <c r="H44" s="14">
        <f t="shared" si="2"/>
        <v>80.7</v>
      </c>
      <c r="L44" s="1" t="s">
        <v>36</v>
      </c>
    </row>
    <row r="45" spans="1:16" x14ac:dyDescent="0.2">
      <c r="A45" s="9"/>
      <c r="B45" s="14"/>
      <c r="C45" s="20">
        <v>32303</v>
      </c>
      <c r="D45" s="20">
        <v>17</v>
      </c>
      <c r="E45" s="12">
        <f t="shared" si="0"/>
        <v>2.15</v>
      </c>
      <c r="F45" s="12">
        <f t="shared" si="1"/>
        <v>1.7000000000000001E-2</v>
      </c>
      <c r="G45" s="20">
        <v>810</v>
      </c>
      <c r="H45" s="14">
        <f t="shared" si="2"/>
        <v>81</v>
      </c>
    </row>
    <row r="46" spans="1:16" x14ac:dyDescent="0.2">
      <c r="A46" s="9"/>
      <c r="B46" s="14"/>
      <c r="C46" s="20">
        <v>32353</v>
      </c>
      <c r="D46" s="20">
        <v>17</v>
      </c>
      <c r="E46" s="12">
        <f t="shared" si="0"/>
        <v>2.2000000000000002</v>
      </c>
      <c r="F46" s="12">
        <f t="shared" si="1"/>
        <v>1.7000000000000001E-2</v>
      </c>
      <c r="G46" s="20">
        <v>812</v>
      </c>
      <c r="H46" s="14">
        <f t="shared" si="2"/>
        <v>81.2</v>
      </c>
    </row>
    <row r="47" spans="1:16" x14ac:dyDescent="0.2">
      <c r="A47" s="9"/>
      <c r="B47" s="14"/>
      <c r="C47" s="20">
        <v>32403</v>
      </c>
      <c r="D47" s="20">
        <v>17</v>
      </c>
      <c r="E47" s="12">
        <f t="shared" si="0"/>
        <v>2.25</v>
      </c>
      <c r="F47" s="12">
        <f t="shared" si="1"/>
        <v>1.7000000000000001E-2</v>
      </c>
      <c r="G47" s="20">
        <v>815</v>
      </c>
      <c r="H47" s="14">
        <f t="shared" si="2"/>
        <v>81.5</v>
      </c>
    </row>
    <row r="48" spans="1:16" x14ac:dyDescent="0.2">
      <c r="A48" s="9"/>
      <c r="B48" s="14"/>
      <c r="C48" s="20">
        <v>32453</v>
      </c>
      <c r="D48" s="20">
        <v>17</v>
      </c>
      <c r="E48" s="12">
        <f t="shared" si="0"/>
        <v>2.2999999999999998</v>
      </c>
      <c r="F48" s="12">
        <f t="shared" si="1"/>
        <v>1.7000000000000001E-2</v>
      </c>
      <c r="G48" s="20">
        <v>817</v>
      </c>
      <c r="H48" s="14">
        <f t="shared" si="2"/>
        <v>81.7</v>
      </c>
    </row>
    <row r="49" spans="1:8" x14ac:dyDescent="0.2">
      <c r="A49" s="9"/>
      <c r="B49" s="14"/>
      <c r="C49" s="20">
        <v>32503</v>
      </c>
      <c r="D49" s="20">
        <v>18</v>
      </c>
      <c r="E49" s="12">
        <f t="shared" si="0"/>
        <v>2.35</v>
      </c>
      <c r="F49" s="12">
        <f t="shared" si="1"/>
        <v>1.7999999999999999E-2</v>
      </c>
      <c r="G49" s="20">
        <v>820</v>
      </c>
      <c r="H49" s="14">
        <f t="shared" si="2"/>
        <v>82</v>
      </c>
    </row>
    <row r="50" spans="1:8" x14ac:dyDescent="0.2">
      <c r="A50" s="9"/>
      <c r="B50" s="14"/>
      <c r="C50" s="20">
        <v>32553</v>
      </c>
      <c r="D50" s="20">
        <v>18</v>
      </c>
      <c r="E50" s="12">
        <f t="shared" si="0"/>
        <v>2.4</v>
      </c>
      <c r="F50" s="12">
        <f t="shared" si="1"/>
        <v>1.7999999999999999E-2</v>
      </c>
      <c r="G50" s="20">
        <v>822</v>
      </c>
      <c r="H50" s="14">
        <f t="shared" si="2"/>
        <v>82.2</v>
      </c>
    </row>
    <row r="51" spans="1:8" x14ac:dyDescent="0.2">
      <c r="A51" s="9"/>
      <c r="B51" s="14"/>
      <c r="C51" s="20">
        <v>32603</v>
      </c>
      <c r="D51" s="20">
        <v>18</v>
      </c>
      <c r="E51" s="12">
        <f t="shared" si="0"/>
        <v>2.4500000000000002</v>
      </c>
      <c r="F51" s="12">
        <f t="shared" si="1"/>
        <v>1.7999999999999999E-2</v>
      </c>
      <c r="G51" s="20">
        <v>825</v>
      </c>
      <c r="H51" s="14">
        <f t="shared" si="2"/>
        <v>82.5</v>
      </c>
    </row>
    <row r="52" spans="1:8" x14ac:dyDescent="0.2">
      <c r="A52" s="9"/>
      <c r="B52" s="14"/>
      <c r="C52" s="20">
        <v>32653</v>
      </c>
      <c r="D52" s="20">
        <v>18</v>
      </c>
      <c r="E52" s="12">
        <f t="shared" si="0"/>
        <v>2.5</v>
      </c>
      <c r="F52" s="12">
        <f t="shared" si="1"/>
        <v>1.7999999999999999E-2</v>
      </c>
      <c r="G52" s="20">
        <v>827</v>
      </c>
      <c r="H52" s="14">
        <f t="shared" si="2"/>
        <v>82.7</v>
      </c>
    </row>
    <row r="53" spans="1:8" x14ac:dyDescent="0.2">
      <c r="A53" s="9"/>
      <c r="B53" s="14"/>
      <c r="C53" s="20">
        <v>32703</v>
      </c>
      <c r="D53" s="20">
        <v>19</v>
      </c>
      <c r="E53" s="12">
        <f t="shared" si="0"/>
        <v>2.5499999999999998</v>
      </c>
      <c r="F53" s="12">
        <f t="shared" si="1"/>
        <v>1.9E-2</v>
      </c>
      <c r="G53" s="20">
        <v>830</v>
      </c>
      <c r="H53" s="14">
        <f t="shared" si="2"/>
        <v>83</v>
      </c>
    </row>
    <row r="54" spans="1:8" x14ac:dyDescent="0.2">
      <c r="A54" s="9"/>
      <c r="B54" s="14"/>
      <c r="C54" s="20">
        <v>32753</v>
      </c>
      <c r="D54" s="20">
        <v>19</v>
      </c>
      <c r="E54" s="12">
        <f t="shared" si="0"/>
        <v>2.6</v>
      </c>
      <c r="F54" s="12">
        <f t="shared" si="1"/>
        <v>1.9E-2</v>
      </c>
      <c r="G54" s="20">
        <v>832</v>
      </c>
      <c r="H54" s="14">
        <f t="shared" si="2"/>
        <v>83.2</v>
      </c>
    </row>
    <row r="55" spans="1:8" x14ac:dyDescent="0.2">
      <c r="A55" s="9"/>
      <c r="B55" s="14"/>
      <c r="C55" s="20">
        <v>32803</v>
      </c>
      <c r="D55" s="20">
        <v>19</v>
      </c>
      <c r="E55" s="12">
        <f t="shared" si="0"/>
        <v>2.65</v>
      </c>
      <c r="F55" s="12">
        <f t="shared" si="1"/>
        <v>1.9E-2</v>
      </c>
      <c r="G55" s="20">
        <v>835</v>
      </c>
      <c r="H55" s="14">
        <f t="shared" si="2"/>
        <v>83.5</v>
      </c>
    </row>
    <row r="56" spans="1:8" x14ac:dyDescent="0.2">
      <c r="A56" s="9"/>
      <c r="B56" s="14"/>
      <c r="C56" s="20">
        <v>32853</v>
      </c>
      <c r="D56" s="20">
        <v>19</v>
      </c>
      <c r="E56" s="12">
        <f t="shared" si="0"/>
        <v>2.7</v>
      </c>
      <c r="F56" s="12">
        <f t="shared" si="1"/>
        <v>1.9E-2</v>
      </c>
      <c r="G56" s="20">
        <v>837</v>
      </c>
      <c r="H56" s="14">
        <f t="shared" si="2"/>
        <v>83.7</v>
      </c>
    </row>
    <row r="57" spans="1:8" x14ac:dyDescent="0.2">
      <c r="A57" s="9"/>
      <c r="B57" s="14"/>
      <c r="C57" s="20">
        <v>32903</v>
      </c>
      <c r="D57" s="20">
        <v>19</v>
      </c>
      <c r="E57" s="12">
        <f t="shared" si="0"/>
        <v>2.75</v>
      </c>
      <c r="F57" s="12">
        <f t="shared" si="1"/>
        <v>1.9E-2</v>
      </c>
      <c r="G57" s="20">
        <v>840</v>
      </c>
      <c r="H57" s="14">
        <f t="shared" si="2"/>
        <v>84</v>
      </c>
    </row>
    <row r="58" spans="1:8" x14ac:dyDescent="0.2">
      <c r="A58" s="9"/>
      <c r="B58" s="14"/>
      <c r="C58" s="20">
        <v>32953</v>
      </c>
      <c r="D58" s="20">
        <v>20</v>
      </c>
      <c r="E58" s="12">
        <f t="shared" si="0"/>
        <v>2.8</v>
      </c>
      <c r="F58" s="12">
        <f t="shared" si="1"/>
        <v>0.02</v>
      </c>
      <c r="G58" s="20">
        <v>842</v>
      </c>
      <c r="H58" s="14">
        <f t="shared" si="2"/>
        <v>84.2</v>
      </c>
    </row>
    <row r="59" spans="1:8" x14ac:dyDescent="0.2">
      <c r="A59" s="9"/>
      <c r="B59" s="14"/>
      <c r="C59" s="20">
        <v>33003</v>
      </c>
      <c r="D59" s="20">
        <v>20</v>
      </c>
      <c r="E59" s="12">
        <f t="shared" si="0"/>
        <v>2.85</v>
      </c>
      <c r="F59" s="12">
        <f t="shared" si="1"/>
        <v>0.02</v>
      </c>
      <c r="G59" s="20">
        <v>845</v>
      </c>
      <c r="H59" s="14">
        <f t="shared" si="2"/>
        <v>84.5</v>
      </c>
    </row>
    <row r="60" spans="1:8" x14ac:dyDescent="0.2">
      <c r="A60" s="9"/>
      <c r="B60" s="14"/>
      <c r="C60" s="20">
        <v>33053</v>
      </c>
      <c r="D60" s="20">
        <v>20</v>
      </c>
      <c r="E60" s="12">
        <f t="shared" si="0"/>
        <v>2.9</v>
      </c>
      <c r="F60" s="12">
        <f t="shared" si="1"/>
        <v>0.02</v>
      </c>
      <c r="G60" s="20">
        <v>847</v>
      </c>
      <c r="H60" s="14">
        <f t="shared" si="2"/>
        <v>84.7</v>
      </c>
    </row>
    <row r="61" spans="1:8" x14ac:dyDescent="0.2">
      <c r="A61" s="9"/>
      <c r="B61" s="14"/>
      <c r="C61" s="20">
        <v>33103</v>
      </c>
      <c r="D61" s="20">
        <v>20</v>
      </c>
      <c r="E61" s="12">
        <f t="shared" si="0"/>
        <v>2.95</v>
      </c>
      <c r="F61" s="12">
        <f t="shared" si="1"/>
        <v>0.02</v>
      </c>
      <c r="G61" s="20">
        <v>850</v>
      </c>
      <c r="H61" s="14">
        <f t="shared" si="2"/>
        <v>85</v>
      </c>
    </row>
    <row r="62" spans="1:8" x14ac:dyDescent="0.2">
      <c r="A62" s="9"/>
      <c r="B62" s="14"/>
      <c r="C62" s="20">
        <v>33153</v>
      </c>
      <c r="D62" s="20">
        <v>21</v>
      </c>
      <c r="E62" s="12">
        <f t="shared" si="0"/>
        <v>3</v>
      </c>
      <c r="F62" s="12">
        <f t="shared" si="1"/>
        <v>2.1000000000000001E-2</v>
      </c>
      <c r="G62" s="20">
        <v>852</v>
      </c>
      <c r="H62" s="14">
        <f t="shared" si="2"/>
        <v>85.2</v>
      </c>
    </row>
    <row r="63" spans="1:8" x14ac:dyDescent="0.2">
      <c r="A63" s="9"/>
      <c r="B63" s="14"/>
      <c r="C63" s="20">
        <v>33203</v>
      </c>
      <c r="D63" s="20">
        <v>21</v>
      </c>
      <c r="E63" s="12">
        <f t="shared" si="0"/>
        <v>3.05</v>
      </c>
      <c r="F63" s="12">
        <f t="shared" si="1"/>
        <v>2.1000000000000001E-2</v>
      </c>
      <c r="G63" s="20">
        <v>855</v>
      </c>
      <c r="H63" s="14">
        <f t="shared" si="2"/>
        <v>85.5</v>
      </c>
    </row>
    <row r="64" spans="1:8" x14ac:dyDescent="0.2">
      <c r="A64" s="9"/>
      <c r="B64" s="14"/>
      <c r="C64" s="20">
        <v>33253</v>
      </c>
      <c r="D64" s="20">
        <v>22</v>
      </c>
      <c r="E64" s="12">
        <f t="shared" si="0"/>
        <v>3.1</v>
      </c>
      <c r="F64" s="12">
        <f t="shared" si="1"/>
        <v>2.1999999999999999E-2</v>
      </c>
      <c r="G64" s="20">
        <v>857</v>
      </c>
      <c r="H64" s="14">
        <f t="shared" si="2"/>
        <v>85.7</v>
      </c>
    </row>
    <row r="65" spans="1:8" x14ac:dyDescent="0.2">
      <c r="A65" s="9"/>
      <c r="B65" s="14"/>
      <c r="C65" s="20">
        <v>33303</v>
      </c>
      <c r="D65" s="20">
        <v>22</v>
      </c>
      <c r="E65" s="12">
        <f t="shared" si="0"/>
        <v>3.15</v>
      </c>
      <c r="F65" s="12">
        <f t="shared" si="1"/>
        <v>2.1999999999999999E-2</v>
      </c>
      <c r="G65" s="20">
        <v>860</v>
      </c>
      <c r="H65" s="14">
        <f t="shared" si="2"/>
        <v>86</v>
      </c>
    </row>
    <row r="66" spans="1:8" x14ac:dyDescent="0.2">
      <c r="A66" s="9"/>
      <c r="B66" s="14"/>
      <c r="C66" s="20">
        <v>33353</v>
      </c>
      <c r="D66" s="20">
        <v>23</v>
      </c>
      <c r="E66" s="12">
        <f t="shared" si="0"/>
        <v>3.2</v>
      </c>
      <c r="F66" s="12">
        <f t="shared" si="1"/>
        <v>2.3E-2</v>
      </c>
      <c r="G66" s="20">
        <v>862</v>
      </c>
      <c r="H66" s="14">
        <f t="shared" si="2"/>
        <v>86.2</v>
      </c>
    </row>
    <row r="67" spans="1:8" x14ac:dyDescent="0.2">
      <c r="A67" s="9"/>
      <c r="B67" s="14"/>
      <c r="C67" s="20">
        <v>33403</v>
      </c>
      <c r="D67" s="20">
        <v>23</v>
      </c>
      <c r="E67" s="12">
        <f t="shared" ref="E67:E130" si="3">($C67-$C$2)/1000</f>
        <v>3.25</v>
      </c>
      <c r="F67" s="12">
        <f t="shared" ref="F67:F130" si="4">$D67/1000</f>
        <v>2.3E-2</v>
      </c>
      <c r="G67" s="20">
        <v>865</v>
      </c>
      <c r="H67" s="14">
        <f t="shared" ref="H67:H130" si="5">G67/10</f>
        <v>86.5</v>
      </c>
    </row>
    <row r="68" spans="1:8" x14ac:dyDescent="0.2">
      <c r="A68" s="9"/>
      <c r="B68" s="14"/>
      <c r="C68" s="20">
        <v>33453</v>
      </c>
      <c r="D68" s="20">
        <v>23</v>
      </c>
      <c r="E68" s="12">
        <f t="shared" si="3"/>
        <v>3.3</v>
      </c>
      <c r="F68" s="12">
        <f t="shared" si="4"/>
        <v>2.3E-2</v>
      </c>
      <c r="G68" s="20">
        <v>867</v>
      </c>
      <c r="H68" s="14">
        <f t="shared" si="5"/>
        <v>86.7</v>
      </c>
    </row>
    <row r="69" spans="1:8" x14ac:dyDescent="0.2">
      <c r="A69" s="9"/>
      <c r="B69" s="14"/>
      <c r="C69" s="20">
        <v>33503</v>
      </c>
      <c r="D69" s="20">
        <v>24</v>
      </c>
      <c r="E69" s="12">
        <f t="shared" si="3"/>
        <v>3.35</v>
      </c>
      <c r="F69" s="12">
        <f t="shared" si="4"/>
        <v>2.4E-2</v>
      </c>
      <c r="G69" s="20">
        <v>870</v>
      </c>
      <c r="H69" s="14">
        <f t="shared" si="5"/>
        <v>87</v>
      </c>
    </row>
    <row r="70" spans="1:8" x14ac:dyDescent="0.2">
      <c r="A70" s="9"/>
      <c r="B70" s="14"/>
      <c r="C70" s="20">
        <v>33553</v>
      </c>
      <c r="D70" s="20">
        <v>24</v>
      </c>
      <c r="E70" s="12">
        <f t="shared" si="3"/>
        <v>3.4</v>
      </c>
      <c r="F70" s="12">
        <f t="shared" si="4"/>
        <v>2.4E-2</v>
      </c>
      <c r="G70" s="20">
        <v>872</v>
      </c>
      <c r="H70" s="14">
        <f t="shared" si="5"/>
        <v>87.2</v>
      </c>
    </row>
    <row r="71" spans="1:8" x14ac:dyDescent="0.2">
      <c r="A71" s="9"/>
      <c r="B71" s="14"/>
      <c r="C71" s="20">
        <v>33603</v>
      </c>
      <c r="D71" s="20">
        <v>25</v>
      </c>
      <c r="E71" s="12">
        <f t="shared" si="3"/>
        <v>3.45</v>
      </c>
      <c r="F71" s="12">
        <f t="shared" si="4"/>
        <v>2.5000000000000001E-2</v>
      </c>
      <c r="G71" s="20">
        <v>875</v>
      </c>
      <c r="H71" s="14">
        <f t="shared" si="5"/>
        <v>87.5</v>
      </c>
    </row>
    <row r="72" spans="1:8" x14ac:dyDescent="0.2">
      <c r="A72" s="9"/>
      <c r="B72" s="14"/>
      <c r="C72" s="20">
        <v>33653</v>
      </c>
      <c r="D72" s="20">
        <v>25</v>
      </c>
      <c r="E72" s="12">
        <f t="shared" si="3"/>
        <v>3.5</v>
      </c>
      <c r="F72" s="12">
        <f t="shared" si="4"/>
        <v>2.5000000000000001E-2</v>
      </c>
      <c r="G72" s="20">
        <v>877</v>
      </c>
      <c r="H72" s="14">
        <f t="shared" si="5"/>
        <v>87.7</v>
      </c>
    </row>
    <row r="73" spans="1:8" x14ac:dyDescent="0.2">
      <c r="A73" s="9"/>
      <c r="B73" s="14"/>
      <c r="C73" s="20">
        <v>33703</v>
      </c>
      <c r="D73" s="20">
        <v>26</v>
      </c>
      <c r="E73" s="12">
        <f t="shared" si="3"/>
        <v>3.55</v>
      </c>
      <c r="F73" s="12">
        <f t="shared" si="4"/>
        <v>2.5999999999999999E-2</v>
      </c>
      <c r="G73" s="20">
        <v>877</v>
      </c>
      <c r="H73" s="14">
        <f t="shared" si="5"/>
        <v>87.7</v>
      </c>
    </row>
    <row r="74" spans="1:8" x14ac:dyDescent="0.2">
      <c r="A74" s="9"/>
      <c r="B74" s="14"/>
      <c r="C74" s="20">
        <v>33753</v>
      </c>
      <c r="D74" s="20">
        <v>27</v>
      </c>
      <c r="E74" s="12">
        <f t="shared" si="3"/>
        <v>3.6</v>
      </c>
      <c r="F74" s="12">
        <f t="shared" si="4"/>
        <v>2.7E-2</v>
      </c>
      <c r="G74" s="20">
        <v>877</v>
      </c>
      <c r="H74" s="14">
        <f t="shared" si="5"/>
        <v>87.7</v>
      </c>
    </row>
    <row r="75" spans="1:8" x14ac:dyDescent="0.2">
      <c r="A75" s="9"/>
      <c r="B75" s="14"/>
      <c r="C75" s="20">
        <v>33803</v>
      </c>
      <c r="D75" s="20">
        <v>27</v>
      </c>
      <c r="E75" s="12">
        <f t="shared" si="3"/>
        <v>3.65</v>
      </c>
      <c r="F75" s="12">
        <f t="shared" si="4"/>
        <v>2.7E-2</v>
      </c>
      <c r="G75" s="20">
        <v>877</v>
      </c>
      <c r="H75" s="14">
        <f t="shared" si="5"/>
        <v>87.7</v>
      </c>
    </row>
    <row r="76" spans="1:8" x14ac:dyDescent="0.2">
      <c r="A76" s="9"/>
      <c r="B76" s="14"/>
      <c r="C76" s="20">
        <v>33853</v>
      </c>
      <c r="D76" s="20">
        <v>28</v>
      </c>
      <c r="E76" s="12">
        <f t="shared" si="3"/>
        <v>3.7</v>
      </c>
      <c r="F76" s="12">
        <f t="shared" si="4"/>
        <v>2.8000000000000001E-2</v>
      </c>
      <c r="G76" s="20">
        <v>877</v>
      </c>
      <c r="H76" s="14">
        <f t="shared" si="5"/>
        <v>87.7</v>
      </c>
    </row>
    <row r="77" spans="1:8" x14ac:dyDescent="0.2">
      <c r="A77" s="9"/>
      <c r="B77" s="14"/>
      <c r="C77" s="20">
        <v>33903</v>
      </c>
      <c r="D77" s="20">
        <v>28</v>
      </c>
      <c r="E77" s="12">
        <f t="shared" si="3"/>
        <v>3.75</v>
      </c>
      <c r="F77" s="12">
        <f t="shared" si="4"/>
        <v>2.8000000000000001E-2</v>
      </c>
      <c r="G77" s="20">
        <v>877</v>
      </c>
      <c r="H77" s="14">
        <f t="shared" si="5"/>
        <v>87.7</v>
      </c>
    </row>
    <row r="78" spans="1:8" x14ac:dyDescent="0.2">
      <c r="A78" s="9"/>
      <c r="B78" s="14"/>
      <c r="C78" s="20">
        <v>33953</v>
      </c>
      <c r="D78" s="20">
        <v>29</v>
      </c>
      <c r="E78" s="12">
        <f t="shared" si="3"/>
        <v>3.8</v>
      </c>
      <c r="F78" s="12">
        <f t="shared" si="4"/>
        <v>2.9000000000000001E-2</v>
      </c>
      <c r="G78" s="20">
        <v>877</v>
      </c>
      <c r="H78" s="14">
        <f t="shared" si="5"/>
        <v>87.7</v>
      </c>
    </row>
    <row r="79" spans="1:8" x14ac:dyDescent="0.2">
      <c r="A79" s="9"/>
      <c r="B79" s="14"/>
      <c r="C79" s="20">
        <v>34003</v>
      </c>
      <c r="D79" s="20">
        <v>30</v>
      </c>
      <c r="E79" s="12">
        <f t="shared" si="3"/>
        <v>3.85</v>
      </c>
      <c r="F79" s="12">
        <f t="shared" si="4"/>
        <v>0.03</v>
      </c>
      <c r="G79" s="20">
        <v>877</v>
      </c>
      <c r="H79" s="14">
        <f t="shared" si="5"/>
        <v>87.7</v>
      </c>
    </row>
    <row r="80" spans="1:8" x14ac:dyDescent="0.2">
      <c r="A80" s="9"/>
      <c r="B80" s="14"/>
      <c r="C80" s="20">
        <v>34053</v>
      </c>
      <c r="D80" s="20">
        <v>30</v>
      </c>
      <c r="E80" s="12">
        <f t="shared" si="3"/>
        <v>3.9</v>
      </c>
      <c r="F80" s="12">
        <f t="shared" si="4"/>
        <v>0.03</v>
      </c>
      <c r="G80" s="20">
        <v>877</v>
      </c>
      <c r="H80" s="14">
        <f t="shared" si="5"/>
        <v>87.7</v>
      </c>
    </row>
    <row r="81" spans="1:8" x14ac:dyDescent="0.2">
      <c r="A81" s="9"/>
      <c r="B81" s="14"/>
      <c r="C81" s="20">
        <v>34103</v>
      </c>
      <c r="D81" s="20">
        <v>31</v>
      </c>
      <c r="E81" s="12">
        <f t="shared" si="3"/>
        <v>3.95</v>
      </c>
      <c r="F81" s="12">
        <f t="shared" si="4"/>
        <v>3.1E-2</v>
      </c>
      <c r="G81" s="20">
        <v>877</v>
      </c>
      <c r="H81" s="14">
        <f t="shared" si="5"/>
        <v>87.7</v>
      </c>
    </row>
    <row r="82" spans="1:8" x14ac:dyDescent="0.2">
      <c r="A82" s="9"/>
      <c r="B82" s="14"/>
      <c r="C82" s="20">
        <v>34153</v>
      </c>
      <c r="D82" s="20">
        <v>32</v>
      </c>
      <c r="E82" s="12">
        <f t="shared" si="3"/>
        <v>4</v>
      </c>
      <c r="F82" s="12">
        <f t="shared" si="4"/>
        <v>3.2000000000000001E-2</v>
      </c>
      <c r="G82" s="20">
        <v>877</v>
      </c>
      <c r="H82" s="14">
        <f t="shared" si="5"/>
        <v>87.7</v>
      </c>
    </row>
    <row r="83" spans="1:8" x14ac:dyDescent="0.2">
      <c r="A83" s="9"/>
      <c r="B83" s="14"/>
      <c r="C83" s="20">
        <v>34203</v>
      </c>
      <c r="D83" s="20">
        <v>32</v>
      </c>
      <c r="E83" s="12">
        <f t="shared" si="3"/>
        <v>4.05</v>
      </c>
      <c r="F83" s="12">
        <f t="shared" si="4"/>
        <v>3.2000000000000001E-2</v>
      </c>
      <c r="G83" s="20">
        <v>877</v>
      </c>
      <c r="H83" s="14">
        <f t="shared" si="5"/>
        <v>87.7</v>
      </c>
    </row>
    <row r="84" spans="1:8" x14ac:dyDescent="0.2">
      <c r="A84" s="9"/>
      <c r="B84" s="14"/>
      <c r="C84" s="20">
        <v>34253</v>
      </c>
      <c r="D84" s="20">
        <v>33</v>
      </c>
      <c r="E84" s="12">
        <f t="shared" si="3"/>
        <v>4.0999999999999996</v>
      </c>
      <c r="F84" s="12">
        <f t="shared" si="4"/>
        <v>3.3000000000000002E-2</v>
      </c>
      <c r="G84" s="20">
        <v>877</v>
      </c>
      <c r="H84" s="14">
        <f t="shared" si="5"/>
        <v>87.7</v>
      </c>
    </row>
    <row r="85" spans="1:8" x14ac:dyDescent="0.2">
      <c r="A85" s="9"/>
      <c r="B85" s="14"/>
      <c r="C85" s="20">
        <v>34303</v>
      </c>
      <c r="D85" s="20">
        <v>34</v>
      </c>
      <c r="E85" s="12">
        <f t="shared" si="3"/>
        <v>4.1500000000000004</v>
      </c>
      <c r="F85" s="12">
        <f t="shared" si="4"/>
        <v>3.4000000000000002E-2</v>
      </c>
      <c r="G85" s="20">
        <v>877</v>
      </c>
      <c r="H85" s="14">
        <f t="shared" si="5"/>
        <v>87.7</v>
      </c>
    </row>
    <row r="86" spans="1:8" x14ac:dyDescent="0.2">
      <c r="A86" s="9"/>
      <c r="B86" s="14"/>
      <c r="C86" s="20">
        <v>34353</v>
      </c>
      <c r="D86" s="20">
        <v>34</v>
      </c>
      <c r="E86" s="12">
        <f t="shared" si="3"/>
        <v>4.2</v>
      </c>
      <c r="F86" s="12">
        <f t="shared" si="4"/>
        <v>3.4000000000000002E-2</v>
      </c>
      <c r="G86" s="20">
        <v>877</v>
      </c>
      <c r="H86" s="14">
        <f t="shared" si="5"/>
        <v>87.7</v>
      </c>
    </row>
    <row r="87" spans="1:8" x14ac:dyDescent="0.2">
      <c r="A87" s="9"/>
      <c r="B87" s="14"/>
      <c r="C87" s="20">
        <v>34403</v>
      </c>
      <c r="D87" s="20">
        <v>35</v>
      </c>
      <c r="E87" s="12">
        <f t="shared" si="3"/>
        <v>4.25</v>
      </c>
      <c r="F87" s="12">
        <f t="shared" si="4"/>
        <v>3.5000000000000003E-2</v>
      </c>
      <c r="G87" s="20">
        <v>877</v>
      </c>
      <c r="H87" s="14">
        <f t="shared" si="5"/>
        <v>87.7</v>
      </c>
    </row>
    <row r="88" spans="1:8" x14ac:dyDescent="0.2">
      <c r="A88" s="9"/>
      <c r="B88" s="14"/>
      <c r="C88" s="20">
        <v>34453</v>
      </c>
      <c r="D88" s="20">
        <v>36</v>
      </c>
      <c r="E88" s="12">
        <f t="shared" si="3"/>
        <v>4.3</v>
      </c>
      <c r="F88" s="12">
        <f t="shared" si="4"/>
        <v>3.5999999999999997E-2</v>
      </c>
      <c r="G88" s="20">
        <v>877</v>
      </c>
      <c r="H88" s="14">
        <f t="shared" si="5"/>
        <v>87.7</v>
      </c>
    </row>
    <row r="89" spans="1:8" x14ac:dyDescent="0.2">
      <c r="A89" s="9"/>
      <c r="B89" s="14"/>
      <c r="C89" s="20">
        <v>34503</v>
      </c>
      <c r="D89" s="20">
        <v>37</v>
      </c>
      <c r="E89" s="12">
        <f t="shared" si="3"/>
        <v>4.3499999999999996</v>
      </c>
      <c r="F89" s="12">
        <f t="shared" si="4"/>
        <v>3.6999999999999998E-2</v>
      </c>
      <c r="G89" s="20">
        <v>877</v>
      </c>
      <c r="H89" s="14">
        <f t="shared" si="5"/>
        <v>87.7</v>
      </c>
    </row>
    <row r="90" spans="1:8" x14ac:dyDescent="0.2">
      <c r="A90" s="9"/>
      <c r="B90" s="14"/>
      <c r="C90" s="20">
        <v>34553</v>
      </c>
      <c r="D90" s="20">
        <v>37</v>
      </c>
      <c r="E90" s="12">
        <f t="shared" si="3"/>
        <v>4.4000000000000004</v>
      </c>
      <c r="F90" s="12">
        <f t="shared" si="4"/>
        <v>3.6999999999999998E-2</v>
      </c>
      <c r="G90" s="20">
        <v>877</v>
      </c>
      <c r="H90" s="14">
        <f t="shared" si="5"/>
        <v>87.7</v>
      </c>
    </row>
    <row r="91" spans="1:8" x14ac:dyDescent="0.2">
      <c r="A91" s="9"/>
      <c r="B91" s="14"/>
      <c r="C91" s="20">
        <v>34603</v>
      </c>
      <c r="D91" s="20">
        <v>38</v>
      </c>
      <c r="E91" s="12">
        <f t="shared" si="3"/>
        <v>4.45</v>
      </c>
      <c r="F91" s="12">
        <f t="shared" si="4"/>
        <v>3.7999999999999999E-2</v>
      </c>
      <c r="G91" s="20">
        <v>877</v>
      </c>
      <c r="H91" s="14">
        <f t="shared" si="5"/>
        <v>87.7</v>
      </c>
    </row>
    <row r="92" spans="1:8" x14ac:dyDescent="0.2">
      <c r="A92" s="9"/>
      <c r="B92" s="14"/>
      <c r="C92" s="20">
        <v>34653</v>
      </c>
      <c r="D92" s="20">
        <v>38</v>
      </c>
      <c r="E92" s="12">
        <f t="shared" si="3"/>
        <v>4.5</v>
      </c>
      <c r="F92" s="12">
        <f t="shared" si="4"/>
        <v>3.7999999999999999E-2</v>
      </c>
      <c r="G92" s="20">
        <v>877</v>
      </c>
      <c r="H92" s="14">
        <f t="shared" si="5"/>
        <v>87.7</v>
      </c>
    </row>
    <row r="93" spans="1:8" x14ac:dyDescent="0.2">
      <c r="A93" s="9"/>
      <c r="B93" s="14"/>
      <c r="C93" s="20">
        <v>34703</v>
      </c>
      <c r="D93" s="20">
        <v>39</v>
      </c>
      <c r="E93" s="12">
        <f t="shared" si="3"/>
        <v>4.55</v>
      </c>
      <c r="F93" s="12">
        <f t="shared" si="4"/>
        <v>3.9E-2</v>
      </c>
      <c r="G93" s="20">
        <v>877</v>
      </c>
      <c r="H93" s="14">
        <f t="shared" si="5"/>
        <v>87.7</v>
      </c>
    </row>
    <row r="94" spans="1:8" x14ac:dyDescent="0.2">
      <c r="A94" s="9"/>
      <c r="B94" s="14"/>
      <c r="C94" s="20">
        <v>34753</v>
      </c>
      <c r="D94" s="20">
        <v>40</v>
      </c>
      <c r="E94" s="12">
        <f t="shared" si="3"/>
        <v>4.5999999999999996</v>
      </c>
      <c r="F94" s="12">
        <f t="shared" si="4"/>
        <v>0.04</v>
      </c>
      <c r="G94" s="20">
        <v>877</v>
      </c>
      <c r="H94" s="14">
        <f t="shared" si="5"/>
        <v>87.7</v>
      </c>
    </row>
    <row r="95" spans="1:8" x14ac:dyDescent="0.2">
      <c r="A95" s="9"/>
      <c r="B95" s="14"/>
      <c r="C95" s="20">
        <v>34803</v>
      </c>
      <c r="D95" s="20">
        <v>41</v>
      </c>
      <c r="E95" s="12">
        <f t="shared" si="3"/>
        <v>4.6500000000000004</v>
      </c>
      <c r="F95" s="12">
        <f t="shared" si="4"/>
        <v>4.1000000000000002E-2</v>
      </c>
      <c r="G95" s="20">
        <v>877</v>
      </c>
      <c r="H95" s="14">
        <f t="shared" si="5"/>
        <v>87.7</v>
      </c>
    </row>
    <row r="96" spans="1:8" x14ac:dyDescent="0.2">
      <c r="A96" s="9"/>
      <c r="B96" s="14"/>
      <c r="C96" s="20">
        <v>34853</v>
      </c>
      <c r="D96" s="20">
        <v>41</v>
      </c>
      <c r="E96" s="12">
        <f t="shared" si="3"/>
        <v>4.7</v>
      </c>
      <c r="F96" s="12">
        <f t="shared" si="4"/>
        <v>4.1000000000000002E-2</v>
      </c>
      <c r="G96" s="20">
        <v>877</v>
      </c>
      <c r="H96" s="14">
        <f t="shared" si="5"/>
        <v>87.7</v>
      </c>
    </row>
    <row r="97" spans="1:8" x14ac:dyDescent="0.2">
      <c r="A97" s="9"/>
      <c r="B97" s="14"/>
      <c r="C97" s="20">
        <v>34903</v>
      </c>
      <c r="D97" s="20">
        <v>42</v>
      </c>
      <c r="E97" s="12">
        <f t="shared" si="3"/>
        <v>4.75</v>
      </c>
      <c r="F97" s="12">
        <f t="shared" si="4"/>
        <v>4.2000000000000003E-2</v>
      </c>
      <c r="G97" s="20">
        <v>877</v>
      </c>
      <c r="H97" s="14">
        <f t="shared" si="5"/>
        <v>87.7</v>
      </c>
    </row>
    <row r="98" spans="1:8" x14ac:dyDescent="0.2">
      <c r="A98" s="9"/>
      <c r="B98" s="14"/>
      <c r="C98" s="20">
        <v>34953</v>
      </c>
      <c r="D98" s="20">
        <v>42</v>
      </c>
      <c r="E98" s="12">
        <f t="shared" si="3"/>
        <v>4.8</v>
      </c>
      <c r="F98" s="12">
        <f t="shared" si="4"/>
        <v>4.2000000000000003E-2</v>
      </c>
      <c r="G98" s="20">
        <v>877</v>
      </c>
      <c r="H98" s="14">
        <f t="shared" si="5"/>
        <v>87.7</v>
      </c>
    </row>
    <row r="99" spans="1:8" x14ac:dyDescent="0.2">
      <c r="A99" s="9"/>
      <c r="B99" s="14"/>
      <c r="C99" s="20">
        <v>35003</v>
      </c>
      <c r="D99" s="20">
        <v>43</v>
      </c>
      <c r="E99" s="12">
        <f t="shared" si="3"/>
        <v>4.8499999999999996</v>
      </c>
      <c r="F99" s="12">
        <f t="shared" si="4"/>
        <v>4.2999999999999997E-2</v>
      </c>
      <c r="G99" s="20">
        <v>877</v>
      </c>
      <c r="H99" s="14">
        <f t="shared" si="5"/>
        <v>87.7</v>
      </c>
    </row>
    <row r="100" spans="1:8" x14ac:dyDescent="0.2">
      <c r="A100" s="9"/>
      <c r="B100" s="14"/>
      <c r="C100" s="20">
        <v>35053</v>
      </c>
      <c r="D100" s="20">
        <v>43</v>
      </c>
      <c r="E100" s="12">
        <f t="shared" si="3"/>
        <v>4.9000000000000004</v>
      </c>
      <c r="F100" s="12">
        <f t="shared" si="4"/>
        <v>4.2999999999999997E-2</v>
      </c>
      <c r="G100" s="20">
        <v>877</v>
      </c>
      <c r="H100" s="14">
        <f t="shared" si="5"/>
        <v>87.7</v>
      </c>
    </row>
    <row r="101" spans="1:8" x14ac:dyDescent="0.2">
      <c r="A101" s="9"/>
      <c r="B101" s="14"/>
      <c r="C101" s="20">
        <v>35103</v>
      </c>
      <c r="D101" s="20">
        <v>44</v>
      </c>
      <c r="E101" s="12">
        <f t="shared" si="3"/>
        <v>4.95</v>
      </c>
      <c r="F101" s="12">
        <f t="shared" si="4"/>
        <v>4.3999999999999997E-2</v>
      </c>
      <c r="G101" s="20">
        <v>877</v>
      </c>
      <c r="H101" s="14">
        <f t="shared" si="5"/>
        <v>87.7</v>
      </c>
    </row>
    <row r="102" spans="1:8" x14ac:dyDescent="0.2">
      <c r="A102" s="9"/>
      <c r="B102" s="14"/>
      <c r="C102" s="20">
        <v>35153</v>
      </c>
      <c r="D102" s="20">
        <v>46</v>
      </c>
      <c r="E102" s="12">
        <f t="shared" si="3"/>
        <v>5</v>
      </c>
      <c r="F102" s="12">
        <f t="shared" si="4"/>
        <v>4.5999999999999999E-2</v>
      </c>
      <c r="G102" s="20">
        <v>877</v>
      </c>
      <c r="H102" s="14">
        <f t="shared" si="5"/>
        <v>87.7</v>
      </c>
    </row>
    <row r="103" spans="1:8" x14ac:dyDescent="0.2">
      <c r="A103" s="9"/>
      <c r="B103" s="14"/>
      <c r="C103" s="20">
        <v>35203</v>
      </c>
      <c r="D103" s="20">
        <v>46</v>
      </c>
      <c r="E103" s="12">
        <f t="shared" si="3"/>
        <v>5.05</v>
      </c>
      <c r="F103" s="12">
        <f t="shared" si="4"/>
        <v>4.5999999999999999E-2</v>
      </c>
      <c r="G103" s="20">
        <v>877</v>
      </c>
      <c r="H103" s="14">
        <f t="shared" si="5"/>
        <v>87.7</v>
      </c>
    </row>
    <row r="104" spans="1:8" x14ac:dyDescent="0.2">
      <c r="A104" s="9"/>
      <c r="B104" s="14"/>
      <c r="C104" s="20">
        <v>35253</v>
      </c>
      <c r="D104" s="20">
        <v>46</v>
      </c>
      <c r="E104" s="12">
        <f t="shared" si="3"/>
        <v>5.0999999999999996</v>
      </c>
      <c r="F104" s="12">
        <f t="shared" si="4"/>
        <v>4.5999999999999999E-2</v>
      </c>
      <c r="G104" s="20">
        <v>877</v>
      </c>
      <c r="H104" s="14">
        <f t="shared" si="5"/>
        <v>87.7</v>
      </c>
    </row>
    <row r="105" spans="1:8" x14ac:dyDescent="0.2">
      <c r="A105" s="9"/>
      <c r="B105" s="14"/>
      <c r="C105" s="20">
        <v>35303</v>
      </c>
      <c r="D105" s="20">
        <v>47</v>
      </c>
      <c r="E105" s="12">
        <f t="shared" si="3"/>
        <v>5.15</v>
      </c>
      <c r="F105" s="12">
        <f t="shared" si="4"/>
        <v>4.7E-2</v>
      </c>
      <c r="G105" s="20">
        <v>877</v>
      </c>
      <c r="H105" s="14">
        <f t="shared" si="5"/>
        <v>87.7</v>
      </c>
    </row>
    <row r="106" spans="1:8" x14ac:dyDescent="0.2">
      <c r="A106" s="9"/>
      <c r="B106" s="14"/>
      <c r="C106" s="20">
        <v>35353</v>
      </c>
      <c r="D106" s="20">
        <v>48</v>
      </c>
      <c r="E106" s="12">
        <f t="shared" si="3"/>
        <v>5.2</v>
      </c>
      <c r="F106" s="12">
        <f t="shared" si="4"/>
        <v>4.8000000000000001E-2</v>
      </c>
      <c r="G106" s="20">
        <v>877</v>
      </c>
      <c r="H106" s="14">
        <f t="shared" si="5"/>
        <v>87.7</v>
      </c>
    </row>
    <row r="107" spans="1:8" x14ac:dyDescent="0.2">
      <c r="A107" s="9"/>
      <c r="B107" s="14"/>
      <c r="C107" s="20">
        <v>35403</v>
      </c>
      <c r="D107" s="20">
        <v>48</v>
      </c>
      <c r="E107" s="12">
        <f t="shared" si="3"/>
        <v>5.25</v>
      </c>
      <c r="F107" s="12">
        <f t="shared" si="4"/>
        <v>4.8000000000000001E-2</v>
      </c>
      <c r="G107" s="20">
        <v>877</v>
      </c>
      <c r="H107" s="14">
        <f t="shared" si="5"/>
        <v>87.7</v>
      </c>
    </row>
    <row r="108" spans="1:8" x14ac:dyDescent="0.2">
      <c r="A108" s="9"/>
      <c r="B108" s="14"/>
      <c r="C108" s="20">
        <v>35453</v>
      </c>
      <c r="D108" s="20">
        <v>48</v>
      </c>
      <c r="E108" s="12">
        <f t="shared" si="3"/>
        <v>5.3</v>
      </c>
      <c r="F108" s="12">
        <f t="shared" si="4"/>
        <v>4.8000000000000001E-2</v>
      </c>
      <c r="G108" s="20">
        <v>877</v>
      </c>
      <c r="H108" s="14">
        <f t="shared" si="5"/>
        <v>87.7</v>
      </c>
    </row>
    <row r="109" spans="1:8" x14ac:dyDescent="0.2">
      <c r="A109" s="9"/>
      <c r="B109" s="14"/>
      <c r="C109" s="20">
        <v>35503</v>
      </c>
      <c r="D109" s="20">
        <v>45</v>
      </c>
      <c r="E109" s="12">
        <f t="shared" si="3"/>
        <v>5.35</v>
      </c>
      <c r="F109" s="12">
        <f t="shared" si="4"/>
        <v>4.4999999999999998E-2</v>
      </c>
      <c r="G109" s="20">
        <v>877</v>
      </c>
      <c r="H109" s="14">
        <f t="shared" si="5"/>
        <v>87.7</v>
      </c>
    </row>
    <row r="110" spans="1:8" x14ac:dyDescent="0.2">
      <c r="A110" s="9"/>
      <c r="B110" s="14"/>
      <c r="C110" s="20">
        <v>35553</v>
      </c>
      <c r="D110" s="20">
        <v>47</v>
      </c>
      <c r="E110" s="12">
        <f t="shared" si="3"/>
        <v>5.4</v>
      </c>
      <c r="F110" s="12">
        <f t="shared" si="4"/>
        <v>4.7E-2</v>
      </c>
      <c r="G110" s="20">
        <v>877</v>
      </c>
      <c r="H110" s="14">
        <f t="shared" si="5"/>
        <v>87.7</v>
      </c>
    </row>
    <row r="111" spans="1:8" x14ac:dyDescent="0.2">
      <c r="A111" s="9"/>
      <c r="B111" s="14"/>
      <c r="C111" s="20">
        <v>35603</v>
      </c>
      <c r="D111" s="20">
        <v>47</v>
      </c>
      <c r="E111" s="12">
        <f t="shared" si="3"/>
        <v>5.45</v>
      </c>
      <c r="F111" s="12">
        <f t="shared" si="4"/>
        <v>4.7E-2</v>
      </c>
      <c r="G111" s="20">
        <v>877</v>
      </c>
      <c r="H111" s="14">
        <f t="shared" si="5"/>
        <v>87.7</v>
      </c>
    </row>
    <row r="112" spans="1:8" x14ac:dyDescent="0.2">
      <c r="A112" s="9"/>
      <c r="B112" s="14"/>
      <c r="C112" s="20">
        <v>35653</v>
      </c>
      <c r="D112" s="20">
        <v>45</v>
      </c>
      <c r="E112" s="12">
        <f t="shared" si="3"/>
        <v>5.5</v>
      </c>
      <c r="F112" s="12">
        <f t="shared" si="4"/>
        <v>4.4999999999999998E-2</v>
      </c>
      <c r="G112" s="20">
        <v>877</v>
      </c>
      <c r="H112" s="14">
        <f t="shared" si="5"/>
        <v>87.7</v>
      </c>
    </row>
    <row r="113" spans="1:8" x14ac:dyDescent="0.2">
      <c r="A113" s="9"/>
      <c r="B113" s="14"/>
      <c r="C113" s="20">
        <v>35703</v>
      </c>
      <c r="D113" s="20">
        <v>47</v>
      </c>
      <c r="E113" s="12">
        <f t="shared" si="3"/>
        <v>5.55</v>
      </c>
      <c r="F113" s="12">
        <f t="shared" si="4"/>
        <v>4.7E-2</v>
      </c>
      <c r="G113" s="20">
        <v>877</v>
      </c>
      <c r="H113" s="14">
        <f t="shared" si="5"/>
        <v>87.7</v>
      </c>
    </row>
    <row r="114" spans="1:8" x14ac:dyDescent="0.2">
      <c r="A114" s="9"/>
      <c r="B114" s="14"/>
      <c r="C114" s="20">
        <v>35753</v>
      </c>
      <c r="D114" s="20">
        <v>48</v>
      </c>
      <c r="E114" s="12">
        <f t="shared" si="3"/>
        <v>5.6</v>
      </c>
      <c r="F114" s="12">
        <f t="shared" si="4"/>
        <v>4.8000000000000001E-2</v>
      </c>
      <c r="G114" s="20">
        <v>877</v>
      </c>
      <c r="H114" s="14">
        <f t="shared" si="5"/>
        <v>87.7</v>
      </c>
    </row>
    <row r="115" spans="1:8" x14ac:dyDescent="0.2">
      <c r="A115" s="9"/>
      <c r="B115" s="14"/>
      <c r="C115" s="20">
        <v>35803</v>
      </c>
      <c r="D115" s="20">
        <v>50</v>
      </c>
      <c r="E115" s="12">
        <f t="shared" si="3"/>
        <v>5.65</v>
      </c>
      <c r="F115" s="12">
        <f t="shared" si="4"/>
        <v>0.05</v>
      </c>
      <c r="G115" s="20">
        <v>877</v>
      </c>
      <c r="H115" s="14">
        <f t="shared" si="5"/>
        <v>87.7</v>
      </c>
    </row>
    <row r="116" spans="1:8" x14ac:dyDescent="0.2">
      <c r="A116" s="9"/>
      <c r="B116" s="14"/>
      <c r="C116" s="20">
        <v>35853</v>
      </c>
      <c r="D116" s="20">
        <v>50</v>
      </c>
      <c r="E116" s="12">
        <f t="shared" si="3"/>
        <v>5.7</v>
      </c>
      <c r="F116" s="12">
        <f t="shared" si="4"/>
        <v>0.05</v>
      </c>
      <c r="G116" s="20">
        <v>877</v>
      </c>
      <c r="H116" s="14">
        <f t="shared" si="5"/>
        <v>87.7</v>
      </c>
    </row>
    <row r="117" spans="1:8" x14ac:dyDescent="0.2">
      <c r="A117" s="9"/>
      <c r="B117" s="14"/>
      <c r="C117" s="20">
        <v>35903</v>
      </c>
      <c r="D117" s="20">
        <v>51</v>
      </c>
      <c r="E117" s="12">
        <f t="shared" si="3"/>
        <v>5.75</v>
      </c>
      <c r="F117" s="12">
        <f t="shared" si="4"/>
        <v>5.0999999999999997E-2</v>
      </c>
      <c r="G117" s="20">
        <v>877</v>
      </c>
      <c r="H117" s="14">
        <f t="shared" si="5"/>
        <v>87.7</v>
      </c>
    </row>
    <row r="118" spans="1:8" x14ac:dyDescent="0.2">
      <c r="A118" s="9"/>
      <c r="B118" s="14"/>
      <c r="C118" s="20">
        <v>35953</v>
      </c>
      <c r="D118" s="20">
        <v>55</v>
      </c>
      <c r="E118" s="12">
        <f t="shared" si="3"/>
        <v>5.8</v>
      </c>
      <c r="F118" s="12">
        <f t="shared" si="4"/>
        <v>5.5E-2</v>
      </c>
      <c r="G118" s="20">
        <v>877</v>
      </c>
      <c r="H118" s="14">
        <f t="shared" si="5"/>
        <v>87.7</v>
      </c>
    </row>
    <row r="119" spans="1:8" x14ac:dyDescent="0.2">
      <c r="A119" s="9"/>
      <c r="B119" s="14"/>
      <c r="C119" s="20">
        <v>36003</v>
      </c>
      <c r="D119" s="20">
        <v>56</v>
      </c>
      <c r="E119" s="12">
        <f t="shared" si="3"/>
        <v>5.85</v>
      </c>
      <c r="F119" s="12">
        <f t="shared" si="4"/>
        <v>5.6000000000000001E-2</v>
      </c>
      <c r="G119" s="20">
        <v>877</v>
      </c>
      <c r="H119" s="14">
        <f t="shared" si="5"/>
        <v>87.7</v>
      </c>
    </row>
    <row r="120" spans="1:8" x14ac:dyDescent="0.2">
      <c r="A120" s="9"/>
      <c r="B120" s="14"/>
      <c r="C120" s="20">
        <v>36053</v>
      </c>
      <c r="D120" s="20">
        <v>50</v>
      </c>
      <c r="E120" s="12">
        <f t="shared" si="3"/>
        <v>5.9</v>
      </c>
      <c r="F120" s="12">
        <f t="shared" si="4"/>
        <v>0.05</v>
      </c>
      <c r="G120" s="20">
        <v>877</v>
      </c>
      <c r="H120" s="14">
        <f t="shared" si="5"/>
        <v>87.7</v>
      </c>
    </row>
    <row r="121" spans="1:8" x14ac:dyDescent="0.2">
      <c r="A121" s="9"/>
      <c r="B121" s="14"/>
      <c r="C121" s="20">
        <v>36103</v>
      </c>
      <c r="D121" s="20">
        <v>51</v>
      </c>
      <c r="E121" s="12">
        <f t="shared" si="3"/>
        <v>5.95</v>
      </c>
      <c r="F121" s="12">
        <f t="shared" si="4"/>
        <v>5.0999999999999997E-2</v>
      </c>
      <c r="G121" s="20">
        <v>877</v>
      </c>
      <c r="H121" s="14">
        <f t="shared" si="5"/>
        <v>87.7</v>
      </c>
    </row>
    <row r="122" spans="1:8" x14ac:dyDescent="0.2">
      <c r="A122" s="9"/>
      <c r="B122" s="14"/>
      <c r="C122" s="20">
        <v>36153</v>
      </c>
      <c r="D122" s="20">
        <v>53</v>
      </c>
      <c r="E122" s="12">
        <f t="shared" si="3"/>
        <v>6</v>
      </c>
      <c r="F122" s="12">
        <f t="shared" si="4"/>
        <v>5.2999999999999999E-2</v>
      </c>
      <c r="G122" s="20">
        <v>876</v>
      </c>
      <c r="H122" s="14">
        <f t="shared" si="5"/>
        <v>87.6</v>
      </c>
    </row>
    <row r="123" spans="1:8" x14ac:dyDescent="0.2">
      <c r="A123" s="9"/>
      <c r="B123" s="14"/>
      <c r="C123" s="20">
        <v>36203</v>
      </c>
      <c r="D123" s="20">
        <v>53</v>
      </c>
      <c r="E123" s="12">
        <f t="shared" si="3"/>
        <v>6.05</v>
      </c>
      <c r="F123" s="12">
        <f t="shared" si="4"/>
        <v>5.2999999999999999E-2</v>
      </c>
      <c r="G123" s="20">
        <v>876</v>
      </c>
      <c r="H123" s="14">
        <f t="shared" si="5"/>
        <v>87.6</v>
      </c>
    </row>
    <row r="124" spans="1:8" x14ac:dyDescent="0.2">
      <c r="A124" s="9"/>
      <c r="B124" s="14"/>
      <c r="C124" s="20">
        <v>36253</v>
      </c>
      <c r="D124" s="20">
        <v>54</v>
      </c>
      <c r="E124" s="12">
        <f t="shared" si="3"/>
        <v>6.1</v>
      </c>
      <c r="F124" s="12">
        <f t="shared" si="4"/>
        <v>5.3999999999999999E-2</v>
      </c>
      <c r="G124" s="20">
        <v>875</v>
      </c>
      <c r="H124" s="14">
        <f t="shared" si="5"/>
        <v>87.5</v>
      </c>
    </row>
    <row r="125" spans="1:8" x14ac:dyDescent="0.2">
      <c r="A125" s="9"/>
      <c r="B125" s="14"/>
      <c r="C125" s="20">
        <v>36303</v>
      </c>
      <c r="D125" s="20">
        <v>55</v>
      </c>
      <c r="E125" s="12">
        <f t="shared" si="3"/>
        <v>6.15</v>
      </c>
      <c r="F125" s="12">
        <f t="shared" si="4"/>
        <v>5.5E-2</v>
      </c>
      <c r="G125" s="20">
        <v>875</v>
      </c>
      <c r="H125" s="14">
        <f t="shared" si="5"/>
        <v>87.5</v>
      </c>
    </row>
    <row r="126" spans="1:8" x14ac:dyDescent="0.2">
      <c r="A126" s="9"/>
      <c r="B126" s="14"/>
      <c r="C126" s="20">
        <v>36353</v>
      </c>
      <c r="D126" s="20">
        <v>56</v>
      </c>
      <c r="E126" s="12">
        <f t="shared" si="3"/>
        <v>6.2</v>
      </c>
      <c r="F126" s="12">
        <f t="shared" si="4"/>
        <v>5.6000000000000001E-2</v>
      </c>
      <c r="G126" s="20">
        <v>874</v>
      </c>
      <c r="H126" s="14">
        <f t="shared" si="5"/>
        <v>87.4</v>
      </c>
    </row>
    <row r="127" spans="1:8" x14ac:dyDescent="0.2">
      <c r="A127" s="9"/>
      <c r="B127" s="14"/>
      <c r="C127" s="20">
        <v>36403</v>
      </c>
      <c r="D127" s="20">
        <v>57</v>
      </c>
      <c r="E127" s="12">
        <f t="shared" si="3"/>
        <v>6.25</v>
      </c>
      <c r="F127" s="12">
        <f t="shared" si="4"/>
        <v>5.7000000000000002E-2</v>
      </c>
      <c r="G127" s="20">
        <v>874</v>
      </c>
      <c r="H127" s="14">
        <f t="shared" si="5"/>
        <v>87.4</v>
      </c>
    </row>
    <row r="128" spans="1:8" x14ac:dyDescent="0.2">
      <c r="A128" s="9"/>
      <c r="B128" s="14"/>
      <c r="C128" s="20">
        <v>36453</v>
      </c>
      <c r="D128" s="20">
        <v>51</v>
      </c>
      <c r="E128" s="12">
        <f t="shared" si="3"/>
        <v>6.3</v>
      </c>
      <c r="F128" s="12">
        <f t="shared" si="4"/>
        <v>5.0999999999999997E-2</v>
      </c>
      <c r="G128" s="20">
        <v>874</v>
      </c>
      <c r="H128" s="14">
        <f t="shared" si="5"/>
        <v>87.4</v>
      </c>
    </row>
    <row r="129" spans="1:8" x14ac:dyDescent="0.2">
      <c r="A129" s="9"/>
      <c r="B129" s="14"/>
      <c r="C129" s="20">
        <v>36503</v>
      </c>
      <c r="D129" s="20">
        <v>55</v>
      </c>
      <c r="E129" s="12">
        <f t="shared" si="3"/>
        <v>6.35</v>
      </c>
      <c r="F129" s="12">
        <f t="shared" si="4"/>
        <v>5.5E-2</v>
      </c>
      <c r="G129" s="20">
        <v>874</v>
      </c>
      <c r="H129" s="14">
        <f t="shared" si="5"/>
        <v>87.4</v>
      </c>
    </row>
    <row r="130" spans="1:8" x14ac:dyDescent="0.2">
      <c r="A130" s="9"/>
      <c r="B130" s="14"/>
      <c r="C130" s="20">
        <v>36553</v>
      </c>
      <c r="D130" s="20">
        <v>57</v>
      </c>
      <c r="E130" s="12">
        <f t="shared" si="3"/>
        <v>6.4</v>
      </c>
      <c r="F130" s="12">
        <f t="shared" si="4"/>
        <v>5.7000000000000002E-2</v>
      </c>
      <c r="G130" s="20">
        <v>871</v>
      </c>
      <c r="H130" s="14">
        <f t="shared" si="5"/>
        <v>87.1</v>
      </c>
    </row>
    <row r="131" spans="1:8" x14ac:dyDescent="0.2">
      <c r="A131" s="9"/>
      <c r="B131" s="14"/>
      <c r="C131" s="20">
        <v>36603</v>
      </c>
      <c r="D131" s="20">
        <v>56</v>
      </c>
      <c r="E131" s="12">
        <f t="shared" ref="E131:E194" si="6">($C131-$C$2)/1000</f>
        <v>6.45</v>
      </c>
      <c r="F131" s="12">
        <f t="shared" ref="F131:F193" si="7">$D131/1000</f>
        <v>5.6000000000000001E-2</v>
      </c>
      <c r="G131" s="20">
        <v>871</v>
      </c>
      <c r="H131" s="14">
        <f t="shared" ref="H131:H194" si="8">G131/10</f>
        <v>87.1</v>
      </c>
    </row>
    <row r="132" spans="1:8" x14ac:dyDescent="0.2">
      <c r="A132" s="9"/>
      <c r="B132" s="14"/>
      <c r="C132" s="20">
        <v>36653</v>
      </c>
      <c r="D132" s="20">
        <v>58</v>
      </c>
      <c r="E132" s="12">
        <f t="shared" si="6"/>
        <v>6.5</v>
      </c>
      <c r="F132" s="12">
        <f t="shared" si="7"/>
        <v>5.8000000000000003E-2</v>
      </c>
      <c r="G132" s="20">
        <v>870</v>
      </c>
      <c r="H132" s="14">
        <f t="shared" si="8"/>
        <v>87</v>
      </c>
    </row>
    <row r="133" spans="1:8" x14ac:dyDescent="0.2">
      <c r="A133" s="9"/>
      <c r="B133" s="14"/>
      <c r="C133" s="20">
        <v>36703</v>
      </c>
      <c r="D133" s="20">
        <v>59</v>
      </c>
      <c r="E133" s="12">
        <f t="shared" si="6"/>
        <v>6.55</v>
      </c>
      <c r="F133" s="12">
        <f t="shared" si="7"/>
        <v>5.8999999999999997E-2</v>
      </c>
      <c r="G133" s="20">
        <v>870</v>
      </c>
      <c r="H133" s="14">
        <f t="shared" si="8"/>
        <v>87</v>
      </c>
    </row>
    <row r="134" spans="1:8" x14ac:dyDescent="0.2">
      <c r="A134" s="9"/>
      <c r="B134" s="14"/>
      <c r="C134" s="20">
        <v>36753</v>
      </c>
      <c r="D134" s="20">
        <v>60</v>
      </c>
      <c r="E134" s="12">
        <f t="shared" si="6"/>
        <v>6.6</v>
      </c>
      <c r="F134" s="12">
        <f t="shared" si="7"/>
        <v>0.06</v>
      </c>
      <c r="G134" s="20">
        <v>869</v>
      </c>
      <c r="H134" s="14">
        <f t="shared" si="8"/>
        <v>86.9</v>
      </c>
    </row>
    <row r="135" spans="1:8" x14ac:dyDescent="0.2">
      <c r="A135" s="9"/>
      <c r="B135" s="14"/>
      <c r="C135" s="20">
        <v>36803</v>
      </c>
      <c r="D135" s="20">
        <v>61</v>
      </c>
      <c r="E135" s="12">
        <f t="shared" si="6"/>
        <v>6.65</v>
      </c>
      <c r="F135" s="12">
        <f t="shared" si="7"/>
        <v>6.0999999999999999E-2</v>
      </c>
      <c r="G135" s="20">
        <v>869</v>
      </c>
      <c r="H135" s="14">
        <f t="shared" si="8"/>
        <v>86.9</v>
      </c>
    </row>
    <row r="136" spans="1:8" x14ac:dyDescent="0.2">
      <c r="A136" s="9"/>
      <c r="B136" s="14"/>
      <c r="C136" s="20">
        <v>36853</v>
      </c>
      <c r="D136" s="20">
        <v>62</v>
      </c>
      <c r="E136" s="12">
        <f t="shared" si="6"/>
        <v>6.7</v>
      </c>
      <c r="F136" s="12">
        <f t="shared" si="7"/>
        <v>6.2E-2</v>
      </c>
      <c r="G136" s="20">
        <v>868</v>
      </c>
      <c r="H136" s="14">
        <f t="shared" si="8"/>
        <v>86.8</v>
      </c>
    </row>
    <row r="137" spans="1:8" x14ac:dyDescent="0.2">
      <c r="A137" s="9"/>
      <c r="B137" s="14"/>
      <c r="C137" s="20">
        <v>36903</v>
      </c>
      <c r="D137" s="20">
        <v>63</v>
      </c>
      <c r="E137" s="12">
        <f t="shared" si="6"/>
        <v>6.75</v>
      </c>
      <c r="F137" s="12">
        <f t="shared" si="7"/>
        <v>6.3E-2</v>
      </c>
      <c r="G137" s="20">
        <v>868</v>
      </c>
      <c r="H137" s="14">
        <f t="shared" si="8"/>
        <v>86.8</v>
      </c>
    </row>
    <row r="138" spans="1:8" x14ac:dyDescent="0.2">
      <c r="A138" s="9"/>
      <c r="B138" s="14"/>
      <c r="C138" s="20">
        <v>36953</v>
      </c>
      <c r="D138" s="20">
        <v>63</v>
      </c>
      <c r="E138" s="12">
        <f t="shared" si="6"/>
        <v>6.8</v>
      </c>
      <c r="F138" s="12">
        <f t="shared" si="7"/>
        <v>6.3E-2</v>
      </c>
      <c r="G138" s="20">
        <v>867</v>
      </c>
      <c r="H138" s="14">
        <f t="shared" si="8"/>
        <v>86.7</v>
      </c>
    </row>
    <row r="139" spans="1:8" x14ac:dyDescent="0.2">
      <c r="A139" s="9"/>
      <c r="B139" s="14"/>
      <c r="C139" s="20">
        <v>37003</v>
      </c>
      <c r="D139" s="20">
        <v>63</v>
      </c>
      <c r="E139" s="12">
        <f t="shared" si="6"/>
        <v>6.85</v>
      </c>
      <c r="F139" s="12">
        <f t="shared" si="7"/>
        <v>6.3E-2</v>
      </c>
      <c r="G139" s="20">
        <v>867</v>
      </c>
      <c r="H139" s="14">
        <f t="shared" si="8"/>
        <v>86.7</v>
      </c>
    </row>
    <row r="140" spans="1:8" x14ac:dyDescent="0.2">
      <c r="A140" s="9"/>
      <c r="B140" s="14"/>
      <c r="C140" s="20">
        <v>37053</v>
      </c>
      <c r="D140" s="20">
        <v>63</v>
      </c>
      <c r="E140" s="12">
        <f t="shared" si="6"/>
        <v>6.9</v>
      </c>
      <c r="F140" s="12">
        <f t="shared" si="7"/>
        <v>6.3E-2</v>
      </c>
      <c r="G140" s="20">
        <v>866</v>
      </c>
      <c r="H140" s="14">
        <f t="shared" si="8"/>
        <v>86.6</v>
      </c>
    </row>
    <row r="141" spans="1:8" x14ac:dyDescent="0.2">
      <c r="A141" s="9"/>
      <c r="B141" s="14"/>
      <c r="C141" s="20">
        <v>37103</v>
      </c>
      <c r="D141" s="20">
        <v>64</v>
      </c>
      <c r="E141" s="12">
        <f t="shared" si="6"/>
        <v>6.95</v>
      </c>
      <c r="F141" s="12">
        <f t="shared" si="7"/>
        <v>6.4000000000000001E-2</v>
      </c>
      <c r="G141" s="20">
        <v>866</v>
      </c>
      <c r="H141" s="14">
        <f t="shared" si="8"/>
        <v>86.6</v>
      </c>
    </row>
    <row r="142" spans="1:8" s="17" customFormat="1" x14ac:dyDescent="0.2">
      <c r="A142" s="19"/>
      <c r="B142" s="16"/>
      <c r="C142" s="20">
        <v>37153</v>
      </c>
      <c r="D142" s="20">
        <v>64</v>
      </c>
      <c r="E142" s="18">
        <f t="shared" si="6"/>
        <v>7</v>
      </c>
      <c r="F142" s="18">
        <f t="shared" si="7"/>
        <v>6.4000000000000001E-2</v>
      </c>
      <c r="G142" s="20">
        <v>865</v>
      </c>
      <c r="H142" s="14">
        <f t="shared" si="8"/>
        <v>86.5</v>
      </c>
    </row>
    <row r="143" spans="1:8" x14ac:dyDescent="0.2">
      <c r="A143" s="9"/>
      <c r="B143" s="14"/>
      <c r="C143" s="20">
        <v>37203</v>
      </c>
      <c r="D143" s="20">
        <v>61</v>
      </c>
      <c r="E143" s="12">
        <f t="shared" si="6"/>
        <v>7.05</v>
      </c>
      <c r="F143" s="12">
        <f t="shared" si="7"/>
        <v>6.0999999999999999E-2</v>
      </c>
      <c r="G143" s="20">
        <v>865</v>
      </c>
      <c r="H143" s="14">
        <f t="shared" si="8"/>
        <v>86.5</v>
      </c>
    </row>
    <row r="144" spans="1:8" x14ac:dyDescent="0.2">
      <c r="A144" s="9"/>
      <c r="B144" s="14"/>
      <c r="C144" s="20">
        <v>37253</v>
      </c>
      <c r="D144" s="20">
        <v>57</v>
      </c>
      <c r="E144" s="12">
        <f t="shared" si="6"/>
        <v>7.1</v>
      </c>
      <c r="F144" s="12">
        <f t="shared" si="7"/>
        <v>5.7000000000000002E-2</v>
      </c>
      <c r="G144" s="20">
        <v>865</v>
      </c>
      <c r="H144" s="14">
        <f t="shared" si="8"/>
        <v>86.5</v>
      </c>
    </row>
    <row r="145" spans="1:8" x14ac:dyDescent="0.2">
      <c r="A145" s="9"/>
      <c r="B145" s="14"/>
      <c r="C145" s="20">
        <v>37303</v>
      </c>
      <c r="D145" s="20">
        <v>54</v>
      </c>
      <c r="E145" s="12">
        <f t="shared" si="6"/>
        <v>7.15</v>
      </c>
      <c r="F145" s="12">
        <f t="shared" si="7"/>
        <v>5.3999999999999999E-2</v>
      </c>
      <c r="G145" s="20">
        <v>865</v>
      </c>
      <c r="H145" s="14">
        <f t="shared" si="8"/>
        <v>86.5</v>
      </c>
    </row>
    <row r="146" spans="1:8" x14ac:dyDescent="0.2">
      <c r="A146" s="9"/>
      <c r="B146" s="14"/>
      <c r="C146" s="20">
        <v>37353</v>
      </c>
      <c r="D146" s="20">
        <v>58</v>
      </c>
      <c r="E146" s="12">
        <f t="shared" si="6"/>
        <v>7.2</v>
      </c>
      <c r="F146" s="12">
        <f t="shared" si="7"/>
        <v>5.8000000000000003E-2</v>
      </c>
      <c r="G146" s="20">
        <v>865</v>
      </c>
      <c r="H146" s="14">
        <f t="shared" si="8"/>
        <v>86.5</v>
      </c>
    </row>
    <row r="147" spans="1:8" x14ac:dyDescent="0.2">
      <c r="A147" s="9"/>
      <c r="B147" s="14"/>
      <c r="C147" s="20">
        <v>37403</v>
      </c>
      <c r="D147" s="20">
        <v>61</v>
      </c>
      <c r="E147" s="12">
        <f t="shared" si="6"/>
        <v>7.25</v>
      </c>
      <c r="F147" s="12">
        <f t="shared" si="7"/>
        <v>6.0999999999999999E-2</v>
      </c>
      <c r="G147" s="20">
        <v>865</v>
      </c>
      <c r="H147" s="14">
        <f t="shared" si="8"/>
        <v>86.5</v>
      </c>
    </row>
    <row r="148" spans="1:8" x14ac:dyDescent="0.2">
      <c r="A148" s="9"/>
      <c r="B148" s="14"/>
      <c r="C148" s="20">
        <v>37453</v>
      </c>
      <c r="D148" s="20">
        <v>63</v>
      </c>
      <c r="E148" s="12">
        <f t="shared" si="6"/>
        <v>7.3</v>
      </c>
      <c r="F148" s="12">
        <f t="shared" si="7"/>
        <v>6.3E-2</v>
      </c>
      <c r="G148" s="20">
        <v>865</v>
      </c>
      <c r="H148" s="14">
        <f t="shared" si="8"/>
        <v>86.5</v>
      </c>
    </row>
    <row r="149" spans="1:8" x14ac:dyDescent="0.2">
      <c r="A149" s="9"/>
      <c r="B149" s="14"/>
      <c r="C149" s="20">
        <v>37503</v>
      </c>
      <c r="D149" s="20">
        <v>64</v>
      </c>
      <c r="E149" s="12">
        <f t="shared" si="6"/>
        <v>7.35</v>
      </c>
      <c r="F149" s="12">
        <f t="shared" si="7"/>
        <v>6.4000000000000001E-2</v>
      </c>
      <c r="G149" s="20">
        <v>865</v>
      </c>
      <c r="H149" s="14">
        <f t="shared" si="8"/>
        <v>86.5</v>
      </c>
    </row>
    <row r="150" spans="1:8" x14ac:dyDescent="0.2">
      <c r="A150" s="9"/>
      <c r="B150" s="14"/>
      <c r="C150" s="20">
        <v>37553</v>
      </c>
      <c r="D150" s="20">
        <v>65</v>
      </c>
      <c r="E150" s="12">
        <f t="shared" si="6"/>
        <v>7.4</v>
      </c>
      <c r="F150" s="12">
        <f t="shared" si="7"/>
        <v>6.5000000000000002E-2</v>
      </c>
      <c r="G150" s="20">
        <v>865</v>
      </c>
      <c r="H150" s="14">
        <f t="shared" si="8"/>
        <v>86.5</v>
      </c>
    </row>
    <row r="151" spans="1:8" x14ac:dyDescent="0.2">
      <c r="A151" s="9"/>
      <c r="B151" s="14"/>
      <c r="C151" s="20">
        <v>37603</v>
      </c>
      <c r="D151" s="20">
        <v>66</v>
      </c>
      <c r="E151" s="12">
        <f t="shared" si="6"/>
        <v>7.45</v>
      </c>
      <c r="F151" s="12">
        <f t="shared" si="7"/>
        <v>6.6000000000000003E-2</v>
      </c>
      <c r="G151" s="20">
        <v>865</v>
      </c>
      <c r="H151" s="14">
        <f t="shared" si="8"/>
        <v>86.5</v>
      </c>
    </row>
    <row r="152" spans="1:8" x14ac:dyDescent="0.2">
      <c r="A152" s="9"/>
      <c r="B152" s="14"/>
      <c r="C152" s="20">
        <v>37653</v>
      </c>
      <c r="D152" s="20">
        <v>67</v>
      </c>
      <c r="E152" s="12">
        <f t="shared" si="6"/>
        <v>7.5</v>
      </c>
      <c r="F152" s="12">
        <f t="shared" si="7"/>
        <v>6.7000000000000004E-2</v>
      </c>
      <c r="G152" s="20">
        <v>865</v>
      </c>
      <c r="H152" s="14">
        <f t="shared" si="8"/>
        <v>86.5</v>
      </c>
    </row>
    <row r="153" spans="1:8" x14ac:dyDescent="0.2">
      <c r="A153" s="9"/>
      <c r="B153" s="14"/>
      <c r="C153" s="20">
        <v>37703</v>
      </c>
      <c r="D153" s="20">
        <v>67</v>
      </c>
      <c r="E153" s="12">
        <f t="shared" si="6"/>
        <v>7.55</v>
      </c>
      <c r="F153" s="12">
        <f t="shared" si="7"/>
        <v>6.7000000000000004E-2</v>
      </c>
      <c r="G153" s="20">
        <v>865</v>
      </c>
      <c r="H153" s="14">
        <f t="shared" si="8"/>
        <v>86.5</v>
      </c>
    </row>
    <row r="154" spans="1:8" x14ac:dyDescent="0.2">
      <c r="A154" s="9"/>
      <c r="B154" s="14"/>
      <c r="C154" s="20">
        <v>37753</v>
      </c>
      <c r="D154" s="20">
        <v>67</v>
      </c>
      <c r="E154" s="12">
        <f t="shared" si="6"/>
        <v>7.6</v>
      </c>
      <c r="F154" s="12">
        <f t="shared" si="7"/>
        <v>6.7000000000000004E-2</v>
      </c>
      <c r="G154" s="20">
        <v>865</v>
      </c>
      <c r="H154" s="14">
        <f t="shared" si="8"/>
        <v>86.5</v>
      </c>
    </row>
    <row r="155" spans="1:8" x14ac:dyDescent="0.2">
      <c r="A155" s="9"/>
      <c r="B155" s="14"/>
      <c r="C155" s="20">
        <v>37803</v>
      </c>
      <c r="D155" s="20">
        <v>67</v>
      </c>
      <c r="E155" s="12">
        <f t="shared" si="6"/>
        <v>7.65</v>
      </c>
      <c r="F155" s="12">
        <f t="shared" si="7"/>
        <v>6.7000000000000004E-2</v>
      </c>
      <c r="G155" s="20">
        <v>865</v>
      </c>
      <c r="H155" s="14">
        <f t="shared" si="8"/>
        <v>86.5</v>
      </c>
    </row>
    <row r="156" spans="1:8" x14ac:dyDescent="0.2">
      <c r="A156" s="9"/>
      <c r="B156" s="14"/>
      <c r="C156" s="20">
        <v>37853</v>
      </c>
      <c r="D156" s="20">
        <v>65</v>
      </c>
      <c r="E156" s="12">
        <f t="shared" si="6"/>
        <v>7.7</v>
      </c>
      <c r="F156" s="12">
        <f t="shared" si="7"/>
        <v>6.5000000000000002E-2</v>
      </c>
      <c r="G156" s="20">
        <v>865</v>
      </c>
      <c r="H156" s="14">
        <f t="shared" si="8"/>
        <v>86.5</v>
      </c>
    </row>
    <row r="157" spans="1:8" x14ac:dyDescent="0.2">
      <c r="A157" s="9"/>
      <c r="B157" s="14"/>
      <c r="C157" s="20">
        <v>37903</v>
      </c>
      <c r="D157" s="20">
        <v>67</v>
      </c>
      <c r="E157" s="12">
        <f t="shared" si="6"/>
        <v>7.75</v>
      </c>
      <c r="F157" s="12">
        <f t="shared" si="7"/>
        <v>6.7000000000000004E-2</v>
      </c>
      <c r="G157" s="20">
        <v>865</v>
      </c>
      <c r="H157" s="14">
        <f t="shared" si="8"/>
        <v>86.5</v>
      </c>
    </row>
    <row r="158" spans="1:8" x14ac:dyDescent="0.2">
      <c r="A158" s="9"/>
      <c r="B158" s="14"/>
      <c r="C158" s="20">
        <v>37953</v>
      </c>
      <c r="D158" s="20">
        <v>68</v>
      </c>
      <c r="E158" s="12">
        <f t="shared" si="6"/>
        <v>7.8</v>
      </c>
      <c r="F158" s="12">
        <f t="shared" si="7"/>
        <v>6.8000000000000005E-2</v>
      </c>
      <c r="G158" s="20">
        <v>865</v>
      </c>
      <c r="H158" s="14">
        <f t="shared" si="8"/>
        <v>86.5</v>
      </c>
    </row>
    <row r="159" spans="1:8" x14ac:dyDescent="0.2">
      <c r="A159" s="9"/>
      <c r="B159" s="14"/>
      <c r="C159" s="20">
        <v>38003</v>
      </c>
      <c r="D159" s="20">
        <v>69</v>
      </c>
      <c r="E159" s="12">
        <f t="shared" si="6"/>
        <v>7.85</v>
      </c>
      <c r="F159" s="12">
        <f t="shared" si="7"/>
        <v>6.9000000000000006E-2</v>
      </c>
      <c r="G159" s="20">
        <v>865</v>
      </c>
      <c r="H159" s="14">
        <f t="shared" si="8"/>
        <v>86.5</v>
      </c>
    </row>
    <row r="160" spans="1:8" x14ac:dyDescent="0.2">
      <c r="A160" s="9"/>
      <c r="B160" s="14"/>
      <c r="C160" s="20">
        <v>38053</v>
      </c>
      <c r="D160" s="20">
        <v>70</v>
      </c>
      <c r="E160" s="12">
        <f t="shared" si="6"/>
        <v>7.9</v>
      </c>
      <c r="F160" s="12">
        <f t="shared" si="7"/>
        <v>7.0000000000000007E-2</v>
      </c>
      <c r="G160" s="20">
        <v>865</v>
      </c>
      <c r="H160" s="14">
        <f t="shared" si="8"/>
        <v>86.5</v>
      </c>
    </row>
    <row r="161" spans="1:8" x14ac:dyDescent="0.2">
      <c r="A161" s="9"/>
      <c r="B161" s="14"/>
      <c r="C161" s="20">
        <v>38103</v>
      </c>
      <c r="D161" s="20">
        <v>74</v>
      </c>
      <c r="E161" s="12">
        <f t="shared" si="6"/>
        <v>7.95</v>
      </c>
      <c r="F161" s="12">
        <f t="shared" si="7"/>
        <v>7.3999999999999996E-2</v>
      </c>
      <c r="G161" s="20">
        <v>865</v>
      </c>
      <c r="H161" s="14">
        <f t="shared" si="8"/>
        <v>86.5</v>
      </c>
    </row>
    <row r="162" spans="1:8" x14ac:dyDescent="0.2">
      <c r="A162" s="9"/>
      <c r="B162" s="14"/>
      <c r="C162" s="20">
        <v>38153</v>
      </c>
      <c r="D162" s="20">
        <v>75</v>
      </c>
      <c r="E162" s="12">
        <f t="shared" si="6"/>
        <v>8</v>
      </c>
      <c r="F162" s="12">
        <f t="shared" si="7"/>
        <v>7.4999999999999997E-2</v>
      </c>
      <c r="G162" s="20">
        <v>865</v>
      </c>
      <c r="H162" s="14">
        <f t="shared" si="8"/>
        <v>86.5</v>
      </c>
    </row>
    <row r="163" spans="1:8" x14ac:dyDescent="0.2">
      <c r="A163" s="9"/>
      <c r="B163" s="14"/>
      <c r="C163" s="20">
        <v>38203</v>
      </c>
      <c r="D163" s="20">
        <v>74</v>
      </c>
      <c r="E163" s="12">
        <f t="shared" si="6"/>
        <v>8.0500000000000007</v>
      </c>
      <c r="F163" s="12">
        <f t="shared" si="7"/>
        <v>7.3999999999999996E-2</v>
      </c>
      <c r="G163" s="20">
        <v>865</v>
      </c>
      <c r="H163" s="14">
        <f t="shared" si="8"/>
        <v>86.5</v>
      </c>
    </row>
    <row r="164" spans="1:8" x14ac:dyDescent="0.2">
      <c r="A164" s="9"/>
      <c r="B164" s="14"/>
      <c r="C164" s="20">
        <v>38253</v>
      </c>
      <c r="D164" s="20">
        <v>74</v>
      </c>
      <c r="E164" s="12">
        <f t="shared" si="6"/>
        <v>8.1</v>
      </c>
      <c r="F164" s="12">
        <f t="shared" si="7"/>
        <v>7.3999999999999996E-2</v>
      </c>
      <c r="G164" s="20">
        <v>865</v>
      </c>
      <c r="H164" s="14">
        <f t="shared" si="8"/>
        <v>86.5</v>
      </c>
    </row>
    <row r="165" spans="1:8" x14ac:dyDescent="0.2">
      <c r="A165" s="9"/>
      <c r="B165" s="14"/>
      <c r="C165" s="20">
        <v>38303</v>
      </c>
      <c r="D165" s="20">
        <v>74</v>
      </c>
      <c r="E165" s="12">
        <f t="shared" si="6"/>
        <v>8.15</v>
      </c>
      <c r="F165" s="12">
        <f t="shared" si="7"/>
        <v>7.3999999999999996E-2</v>
      </c>
      <c r="G165" s="20">
        <v>865</v>
      </c>
      <c r="H165" s="14">
        <f t="shared" si="8"/>
        <v>86.5</v>
      </c>
    </row>
    <row r="166" spans="1:8" x14ac:dyDescent="0.2">
      <c r="A166" s="9"/>
      <c r="B166" s="14"/>
      <c r="C166" s="20">
        <v>38353</v>
      </c>
      <c r="D166" s="20">
        <v>72</v>
      </c>
      <c r="E166" s="12">
        <f t="shared" si="6"/>
        <v>8.1999999999999993</v>
      </c>
      <c r="F166" s="12">
        <f t="shared" si="7"/>
        <v>7.1999999999999995E-2</v>
      </c>
      <c r="G166" s="20">
        <v>865</v>
      </c>
      <c r="H166" s="14">
        <f t="shared" si="8"/>
        <v>86.5</v>
      </c>
    </row>
    <row r="167" spans="1:8" x14ac:dyDescent="0.2">
      <c r="A167" s="9"/>
      <c r="B167" s="14"/>
      <c r="C167" s="20">
        <v>38403</v>
      </c>
      <c r="D167" s="20">
        <v>74</v>
      </c>
      <c r="E167" s="12">
        <f t="shared" si="6"/>
        <v>8.25</v>
      </c>
      <c r="F167" s="12">
        <f t="shared" si="7"/>
        <v>7.3999999999999996E-2</v>
      </c>
      <c r="G167" s="20">
        <v>865</v>
      </c>
      <c r="H167" s="14">
        <f t="shared" si="8"/>
        <v>86.5</v>
      </c>
    </row>
    <row r="168" spans="1:8" x14ac:dyDescent="0.2">
      <c r="A168" s="9"/>
      <c r="B168" s="14"/>
      <c r="C168" s="20">
        <v>38453</v>
      </c>
      <c r="D168" s="20">
        <v>73</v>
      </c>
      <c r="E168" s="12">
        <f t="shared" si="6"/>
        <v>8.3000000000000007</v>
      </c>
      <c r="F168" s="12">
        <f t="shared" si="7"/>
        <v>7.2999999999999995E-2</v>
      </c>
      <c r="G168" s="20">
        <v>865</v>
      </c>
      <c r="H168" s="14">
        <f t="shared" si="8"/>
        <v>86.5</v>
      </c>
    </row>
    <row r="169" spans="1:8" x14ac:dyDescent="0.2">
      <c r="A169" s="9"/>
      <c r="B169" s="14"/>
      <c r="C169" s="20">
        <v>38503</v>
      </c>
      <c r="D169" s="20">
        <v>72</v>
      </c>
      <c r="E169" s="12">
        <f t="shared" si="6"/>
        <v>8.35</v>
      </c>
      <c r="F169" s="12">
        <f t="shared" si="7"/>
        <v>7.1999999999999995E-2</v>
      </c>
      <c r="G169" s="20">
        <v>865</v>
      </c>
      <c r="H169" s="14">
        <f t="shared" si="8"/>
        <v>86.5</v>
      </c>
    </row>
    <row r="170" spans="1:8" x14ac:dyDescent="0.2">
      <c r="A170" s="9"/>
      <c r="B170" s="14"/>
      <c r="C170" s="20">
        <v>38553</v>
      </c>
      <c r="D170" s="20">
        <v>72</v>
      </c>
      <c r="E170" s="12">
        <f t="shared" si="6"/>
        <v>8.4</v>
      </c>
      <c r="F170" s="12">
        <f t="shared" si="7"/>
        <v>7.1999999999999995E-2</v>
      </c>
      <c r="G170" s="20">
        <v>865</v>
      </c>
      <c r="H170" s="14">
        <f t="shared" si="8"/>
        <v>86.5</v>
      </c>
    </row>
    <row r="171" spans="1:8" x14ac:dyDescent="0.2">
      <c r="A171" s="9"/>
      <c r="B171" s="14"/>
      <c r="C171" s="20">
        <v>38603</v>
      </c>
      <c r="D171" s="20">
        <v>70</v>
      </c>
      <c r="E171" s="12">
        <f t="shared" si="6"/>
        <v>8.4499999999999993</v>
      </c>
      <c r="F171" s="12">
        <f t="shared" si="7"/>
        <v>7.0000000000000007E-2</v>
      </c>
      <c r="G171" s="20">
        <v>865</v>
      </c>
      <c r="H171" s="14">
        <f t="shared" si="8"/>
        <v>86.5</v>
      </c>
    </row>
    <row r="172" spans="1:8" x14ac:dyDescent="0.2">
      <c r="A172" s="9"/>
      <c r="B172" s="14"/>
      <c r="C172" s="20">
        <v>38653</v>
      </c>
      <c r="D172" s="20">
        <v>66</v>
      </c>
      <c r="E172" s="12">
        <f t="shared" si="6"/>
        <v>8.5</v>
      </c>
      <c r="F172" s="12">
        <f t="shared" si="7"/>
        <v>6.6000000000000003E-2</v>
      </c>
      <c r="G172" s="20">
        <v>865</v>
      </c>
      <c r="H172" s="14">
        <f t="shared" si="8"/>
        <v>86.5</v>
      </c>
    </row>
    <row r="173" spans="1:8" x14ac:dyDescent="0.2">
      <c r="A173" s="9"/>
      <c r="B173" s="14"/>
      <c r="C173" s="20">
        <v>38703</v>
      </c>
      <c r="D173" s="20">
        <v>61</v>
      </c>
      <c r="E173" s="12">
        <f t="shared" si="6"/>
        <v>8.5500000000000007</v>
      </c>
      <c r="F173" s="12">
        <f t="shared" si="7"/>
        <v>6.0999999999999999E-2</v>
      </c>
      <c r="G173" s="20">
        <v>865</v>
      </c>
      <c r="H173" s="14">
        <f t="shared" si="8"/>
        <v>86.5</v>
      </c>
    </row>
    <row r="174" spans="1:8" x14ac:dyDescent="0.2">
      <c r="A174" s="9"/>
      <c r="B174" s="14"/>
      <c r="C174" s="20">
        <v>38753</v>
      </c>
      <c r="D174" s="20">
        <v>59</v>
      </c>
      <c r="E174" s="12">
        <f t="shared" si="6"/>
        <v>8.6</v>
      </c>
      <c r="F174" s="12">
        <f t="shared" si="7"/>
        <v>5.8999999999999997E-2</v>
      </c>
      <c r="G174" s="20">
        <v>865</v>
      </c>
      <c r="H174" s="14">
        <f t="shared" si="8"/>
        <v>86.5</v>
      </c>
    </row>
    <row r="175" spans="1:8" x14ac:dyDescent="0.2">
      <c r="A175" s="9"/>
      <c r="B175" s="14"/>
      <c r="C175" s="20">
        <v>38803</v>
      </c>
      <c r="D175" s="20">
        <v>56</v>
      </c>
      <c r="E175" s="12">
        <f t="shared" si="6"/>
        <v>8.65</v>
      </c>
      <c r="F175" s="12">
        <f t="shared" si="7"/>
        <v>5.6000000000000001E-2</v>
      </c>
      <c r="G175" s="20">
        <v>865</v>
      </c>
      <c r="H175" s="14">
        <f t="shared" si="8"/>
        <v>86.5</v>
      </c>
    </row>
    <row r="176" spans="1:8" x14ac:dyDescent="0.2">
      <c r="A176" s="9"/>
      <c r="B176" s="14"/>
      <c r="C176" s="20">
        <v>38853</v>
      </c>
      <c r="D176" s="20">
        <v>63</v>
      </c>
      <c r="E176" s="12">
        <f t="shared" si="6"/>
        <v>8.6999999999999993</v>
      </c>
      <c r="F176" s="12">
        <f t="shared" si="7"/>
        <v>6.3E-2</v>
      </c>
      <c r="G176" s="20">
        <v>865</v>
      </c>
      <c r="H176" s="14">
        <f t="shared" si="8"/>
        <v>86.5</v>
      </c>
    </row>
    <row r="177" spans="1:8" x14ac:dyDescent="0.2">
      <c r="A177" s="9"/>
      <c r="B177" s="14"/>
      <c r="C177" s="20">
        <v>38903</v>
      </c>
      <c r="D177" s="20">
        <v>68</v>
      </c>
      <c r="E177" s="12">
        <f t="shared" si="6"/>
        <v>8.75</v>
      </c>
      <c r="F177" s="12">
        <f t="shared" si="7"/>
        <v>6.8000000000000005E-2</v>
      </c>
      <c r="G177" s="20">
        <v>865</v>
      </c>
      <c r="H177" s="14">
        <f t="shared" si="8"/>
        <v>86.5</v>
      </c>
    </row>
    <row r="178" spans="1:8" x14ac:dyDescent="0.2">
      <c r="A178" s="9"/>
      <c r="B178" s="14"/>
      <c r="C178" s="20">
        <v>38953</v>
      </c>
      <c r="D178" s="20">
        <v>71</v>
      </c>
      <c r="E178" s="12">
        <f t="shared" si="6"/>
        <v>8.8000000000000007</v>
      </c>
      <c r="F178" s="12">
        <f t="shared" si="7"/>
        <v>7.0999999999999994E-2</v>
      </c>
      <c r="G178" s="20">
        <v>865</v>
      </c>
      <c r="H178" s="14">
        <f t="shared" si="8"/>
        <v>86.5</v>
      </c>
    </row>
    <row r="179" spans="1:8" x14ac:dyDescent="0.2">
      <c r="A179" s="9"/>
      <c r="B179" s="14"/>
      <c r="C179" s="20">
        <v>39003</v>
      </c>
      <c r="D179" s="20">
        <v>70</v>
      </c>
      <c r="E179" s="12">
        <f t="shared" si="6"/>
        <v>8.85</v>
      </c>
      <c r="F179" s="12">
        <f t="shared" si="7"/>
        <v>7.0000000000000007E-2</v>
      </c>
      <c r="G179" s="20">
        <v>865</v>
      </c>
      <c r="H179" s="14">
        <f t="shared" si="8"/>
        <v>86.5</v>
      </c>
    </row>
    <row r="180" spans="1:8" x14ac:dyDescent="0.2">
      <c r="A180" s="9"/>
      <c r="B180" s="14"/>
      <c r="C180" s="20">
        <v>39053</v>
      </c>
      <c r="D180" s="20">
        <v>73</v>
      </c>
      <c r="E180" s="12">
        <f t="shared" si="6"/>
        <v>8.9</v>
      </c>
      <c r="F180" s="12">
        <f t="shared" si="7"/>
        <v>7.2999999999999995E-2</v>
      </c>
      <c r="G180" s="20">
        <v>865</v>
      </c>
      <c r="H180" s="14">
        <f t="shared" si="8"/>
        <v>86.5</v>
      </c>
    </row>
    <row r="181" spans="1:8" x14ac:dyDescent="0.2">
      <c r="A181" s="9"/>
      <c r="B181" s="14"/>
      <c r="C181" s="20">
        <v>39103</v>
      </c>
      <c r="D181" s="20">
        <v>74</v>
      </c>
      <c r="E181" s="12">
        <f t="shared" si="6"/>
        <v>8.9499999999999993</v>
      </c>
      <c r="F181" s="12">
        <f t="shared" si="7"/>
        <v>7.3999999999999996E-2</v>
      </c>
      <c r="G181" s="20">
        <v>865</v>
      </c>
      <c r="H181" s="14">
        <f t="shared" si="8"/>
        <v>86.5</v>
      </c>
    </row>
    <row r="182" spans="1:8" x14ac:dyDescent="0.2">
      <c r="A182" s="9"/>
      <c r="B182" s="14"/>
      <c r="C182" s="20">
        <v>39153</v>
      </c>
      <c r="D182" s="20">
        <v>76</v>
      </c>
      <c r="E182" s="12">
        <f t="shared" si="6"/>
        <v>9</v>
      </c>
      <c r="F182" s="12">
        <f t="shared" si="7"/>
        <v>7.5999999999999998E-2</v>
      </c>
      <c r="G182" s="20">
        <v>865</v>
      </c>
      <c r="H182" s="14">
        <f t="shared" si="8"/>
        <v>86.5</v>
      </c>
    </row>
    <row r="183" spans="1:8" x14ac:dyDescent="0.2">
      <c r="A183" s="9"/>
      <c r="B183" s="14"/>
      <c r="C183" s="20">
        <v>39203</v>
      </c>
      <c r="D183" s="20">
        <v>78</v>
      </c>
      <c r="E183" s="12">
        <f t="shared" si="6"/>
        <v>9.0500000000000007</v>
      </c>
      <c r="F183" s="12">
        <f t="shared" si="7"/>
        <v>7.8E-2</v>
      </c>
      <c r="G183" s="20">
        <v>865</v>
      </c>
      <c r="H183" s="14">
        <f t="shared" si="8"/>
        <v>86.5</v>
      </c>
    </row>
    <row r="184" spans="1:8" x14ac:dyDescent="0.2">
      <c r="A184" s="9"/>
      <c r="B184" s="14"/>
      <c r="C184" s="20">
        <v>39253</v>
      </c>
      <c r="D184" s="20">
        <v>78</v>
      </c>
      <c r="E184" s="12">
        <f t="shared" si="6"/>
        <v>9.1</v>
      </c>
      <c r="F184" s="12">
        <f t="shared" si="7"/>
        <v>7.8E-2</v>
      </c>
      <c r="G184" s="20">
        <v>865</v>
      </c>
      <c r="H184" s="14">
        <f t="shared" si="8"/>
        <v>86.5</v>
      </c>
    </row>
    <row r="185" spans="1:8" x14ac:dyDescent="0.2">
      <c r="A185" s="9"/>
      <c r="B185" s="14"/>
      <c r="C185" s="20">
        <v>39303</v>
      </c>
      <c r="D185" s="20">
        <v>78</v>
      </c>
      <c r="E185" s="12">
        <f t="shared" si="6"/>
        <v>9.15</v>
      </c>
      <c r="F185" s="12">
        <f t="shared" si="7"/>
        <v>7.8E-2</v>
      </c>
      <c r="G185" s="20">
        <v>865</v>
      </c>
      <c r="H185" s="14">
        <f t="shared" si="8"/>
        <v>86.5</v>
      </c>
    </row>
    <row r="186" spans="1:8" x14ac:dyDescent="0.2">
      <c r="A186" s="9"/>
      <c r="B186" s="14"/>
      <c r="C186" s="20">
        <v>39353</v>
      </c>
      <c r="D186" s="20">
        <v>75</v>
      </c>
      <c r="E186" s="12">
        <f t="shared" si="6"/>
        <v>9.1999999999999993</v>
      </c>
      <c r="F186" s="12">
        <f t="shared" si="7"/>
        <v>7.4999999999999997E-2</v>
      </c>
      <c r="G186" s="20">
        <v>865</v>
      </c>
      <c r="H186" s="14">
        <f t="shared" si="8"/>
        <v>86.5</v>
      </c>
    </row>
    <row r="187" spans="1:8" x14ac:dyDescent="0.2">
      <c r="A187" s="9"/>
      <c r="B187" s="14"/>
      <c r="C187" s="20">
        <v>39403</v>
      </c>
      <c r="D187" s="20">
        <v>73</v>
      </c>
      <c r="E187" s="12">
        <f t="shared" si="6"/>
        <v>9.25</v>
      </c>
      <c r="F187" s="12">
        <f t="shared" si="7"/>
        <v>7.2999999999999995E-2</v>
      </c>
      <c r="G187" s="20">
        <v>865</v>
      </c>
      <c r="H187" s="14">
        <f t="shared" si="8"/>
        <v>86.5</v>
      </c>
    </row>
    <row r="188" spans="1:8" x14ac:dyDescent="0.2">
      <c r="A188" s="9"/>
      <c r="B188" s="14"/>
      <c r="C188" s="20">
        <v>39453</v>
      </c>
      <c r="D188" s="20">
        <v>65</v>
      </c>
      <c r="E188" s="12">
        <f t="shared" si="6"/>
        <v>9.3000000000000007</v>
      </c>
      <c r="F188" s="12">
        <f t="shared" si="7"/>
        <v>6.5000000000000002E-2</v>
      </c>
      <c r="G188" s="20">
        <v>865</v>
      </c>
      <c r="H188" s="14">
        <f t="shared" si="8"/>
        <v>86.5</v>
      </c>
    </row>
    <row r="189" spans="1:8" x14ac:dyDescent="0.2">
      <c r="A189" s="9"/>
      <c r="B189" s="14"/>
      <c r="C189" s="20">
        <v>39503</v>
      </c>
      <c r="D189" s="20">
        <v>65</v>
      </c>
      <c r="E189" s="12">
        <f t="shared" si="6"/>
        <v>9.35</v>
      </c>
      <c r="F189" s="12">
        <f t="shared" si="7"/>
        <v>6.5000000000000002E-2</v>
      </c>
      <c r="G189" s="20">
        <v>865</v>
      </c>
      <c r="H189" s="14">
        <f t="shared" si="8"/>
        <v>86.5</v>
      </c>
    </row>
    <row r="190" spans="1:8" x14ac:dyDescent="0.2">
      <c r="A190" s="9"/>
      <c r="B190" s="14"/>
      <c r="C190" s="20">
        <v>39553</v>
      </c>
      <c r="D190" s="20">
        <v>64</v>
      </c>
      <c r="E190" s="12">
        <f t="shared" si="6"/>
        <v>9.4</v>
      </c>
      <c r="F190" s="12">
        <f t="shared" si="7"/>
        <v>6.4000000000000001E-2</v>
      </c>
      <c r="G190" s="20">
        <v>865</v>
      </c>
      <c r="H190" s="14">
        <f t="shared" si="8"/>
        <v>86.5</v>
      </c>
    </row>
    <row r="191" spans="1:8" x14ac:dyDescent="0.2">
      <c r="A191" s="9"/>
      <c r="B191" s="14"/>
      <c r="C191" s="20">
        <v>39603</v>
      </c>
      <c r="D191" s="20">
        <v>63</v>
      </c>
      <c r="E191" s="12">
        <f t="shared" si="6"/>
        <v>9.4499999999999993</v>
      </c>
      <c r="F191" s="12">
        <f t="shared" si="7"/>
        <v>6.3E-2</v>
      </c>
      <c r="G191" s="20">
        <v>865</v>
      </c>
      <c r="H191" s="14">
        <f t="shared" si="8"/>
        <v>86.5</v>
      </c>
    </row>
    <row r="192" spans="1:8" x14ac:dyDescent="0.2">
      <c r="A192" s="9"/>
      <c r="B192" s="14"/>
      <c r="C192" s="20">
        <v>39653</v>
      </c>
      <c r="D192" s="20">
        <v>69</v>
      </c>
      <c r="E192" s="12">
        <f t="shared" si="6"/>
        <v>9.5</v>
      </c>
      <c r="F192" s="12">
        <f t="shared" si="7"/>
        <v>6.9000000000000006E-2</v>
      </c>
      <c r="G192" s="20">
        <v>865</v>
      </c>
      <c r="H192" s="14">
        <f t="shared" si="8"/>
        <v>86.5</v>
      </c>
    </row>
    <row r="193" spans="1:8" x14ac:dyDescent="0.2">
      <c r="A193" s="9"/>
      <c r="B193" s="14"/>
      <c r="C193" s="20">
        <v>39703</v>
      </c>
      <c r="D193" s="20">
        <v>73</v>
      </c>
      <c r="E193" s="12">
        <f t="shared" si="6"/>
        <v>9.5500000000000007</v>
      </c>
      <c r="F193" s="12">
        <f t="shared" si="7"/>
        <v>7.2999999999999995E-2</v>
      </c>
      <c r="G193" s="20">
        <v>865</v>
      </c>
      <c r="H193" s="14">
        <f t="shared" si="8"/>
        <v>86.5</v>
      </c>
    </row>
    <row r="194" spans="1:8" x14ac:dyDescent="0.2">
      <c r="A194" s="9"/>
      <c r="B194" s="10"/>
      <c r="C194" s="20">
        <v>39753</v>
      </c>
      <c r="D194" s="20">
        <v>71</v>
      </c>
      <c r="E194" s="12">
        <f t="shared" si="6"/>
        <v>9.6</v>
      </c>
      <c r="F194" s="12"/>
      <c r="G194" s="20">
        <v>865</v>
      </c>
      <c r="H194" s="14">
        <f t="shared" si="8"/>
        <v>86.5</v>
      </c>
    </row>
    <row r="195" spans="1:8" x14ac:dyDescent="0.2">
      <c r="A195" s="9"/>
      <c r="B195" s="10"/>
      <c r="C195" s="20">
        <v>39803</v>
      </c>
      <c r="D195" s="20">
        <v>74</v>
      </c>
      <c r="E195" s="12">
        <f t="shared" ref="E195:E258" si="9">($C195-$C$2)/1000</f>
        <v>9.65</v>
      </c>
      <c r="F195" s="12"/>
      <c r="G195" s="20">
        <v>865</v>
      </c>
      <c r="H195" s="14">
        <f t="shared" ref="H195:H258" si="10">G195/10</f>
        <v>86.5</v>
      </c>
    </row>
    <row r="196" spans="1:8" x14ac:dyDescent="0.2">
      <c r="A196" s="9"/>
      <c r="B196" s="10"/>
      <c r="C196" s="20">
        <v>39853</v>
      </c>
      <c r="D196" s="20">
        <v>77</v>
      </c>
      <c r="E196" s="12">
        <f t="shared" si="9"/>
        <v>9.6999999999999993</v>
      </c>
      <c r="F196" s="12"/>
      <c r="G196" s="20">
        <v>865</v>
      </c>
      <c r="H196" s="14">
        <f t="shared" si="10"/>
        <v>86.5</v>
      </c>
    </row>
    <row r="197" spans="1:8" x14ac:dyDescent="0.2">
      <c r="A197" s="9"/>
      <c r="B197" s="10"/>
      <c r="C197" s="20">
        <v>39903</v>
      </c>
      <c r="D197" s="20">
        <v>79</v>
      </c>
      <c r="E197" s="12">
        <f t="shared" si="9"/>
        <v>9.75</v>
      </c>
      <c r="F197" s="12"/>
      <c r="G197" s="20">
        <v>865</v>
      </c>
      <c r="H197" s="14">
        <f t="shared" si="10"/>
        <v>86.5</v>
      </c>
    </row>
    <row r="198" spans="1:8" x14ac:dyDescent="0.2">
      <c r="A198" s="9"/>
      <c r="B198" s="10"/>
      <c r="C198" s="20">
        <v>39953</v>
      </c>
      <c r="D198" s="20">
        <v>65</v>
      </c>
      <c r="E198" s="12">
        <f t="shared" si="9"/>
        <v>9.8000000000000007</v>
      </c>
      <c r="F198" s="12"/>
      <c r="G198" s="20">
        <v>865</v>
      </c>
      <c r="H198" s="14">
        <f t="shared" si="10"/>
        <v>86.5</v>
      </c>
    </row>
    <row r="199" spans="1:8" x14ac:dyDescent="0.2">
      <c r="A199" s="9"/>
      <c r="B199" s="10"/>
      <c r="C199" s="20">
        <v>40003</v>
      </c>
      <c r="D199" s="20">
        <v>71</v>
      </c>
      <c r="E199" s="12">
        <f t="shared" si="9"/>
        <v>9.85</v>
      </c>
      <c r="F199" s="12"/>
      <c r="G199" s="20">
        <v>865</v>
      </c>
      <c r="H199" s="14">
        <f t="shared" si="10"/>
        <v>86.5</v>
      </c>
    </row>
    <row r="200" spans="1:8" x14ac:dyDescent="0.2">
      <c r="A200" s="9"/>
      <c r="B200" s="10"/>
      <c r="C200" s="20">
        <v>40053</v>
      </c>
      <c r="D200" s="20">
        <v>63</v>
      </c>
      <c r="E200" s="12">
        <f t="shared" si="9"/>
        <v>9.9</v>
      </c>
      <c r="F200" s="12"/>
      <c r="G200" s="20">
        <v>865</v>
      </c>
      <c r="H200" s="14">
        <f t="shared" si="10"/>
        <v>86.5</v>
      </c>
    </row>
    <row r="201" spans="1:8" x14ac:dyDescent="0.2">
      <c r="A201" s="9"/>
      <c r="B201" s="10"/>
      <c r="C201" s="20">
        <v>40103</v>
      </c>
      <c r="D201" s="20">
        <v>69</v>
      </c>
      <c r="E201" s="12">
        <f t="shared" si="9"/>
        <v>9.9499999999999993</v>
      </c>
      <c r="F201" s="12"/>
      <c r="G201" s="20">
        <v>865</v>
      </c>
      <c r="H201" s="14">
        <f t="shared" si="10"/>
        <v>86.5</v>
      </c>
    </row>
    <row r="202" spans="1:8" x14ac:dyDescent="0.2">
      <c r="A202" s="9"/>
      <c r="B202" s="10"/>
      <c r="C202" s="20">
        <v>40153</v>
      </c>
      <c r="D202" s="20">
        <v>72</v>
      </c>
      <c r="E202" s="12">
        <f t="shared" si="9"/>
        <v>10</v>
      </c>
      <c r="F202" s="12"/>
      <c r="G202" s="20">
        <v>865</v>
      </c>
      <c r="H202" s="14">
        <f t="shared" si="10"/>
        <v>86.5</v>
      </c>
    </row>
    <row r="203" spans="1:8" x14ac:dyDescent="0.2">
      <c r="A203" s="9"/>
      <c r="B203" s="10"/>
      <c r="C203" s="20">
        <v>40203</v>
      </c>
      <c r="D203" s="20">
        <v>75</v>
      </c>
      <c r="E203" s="12">
        <f t="shared" si="9"/>
        <v>10.050000000000001</v>
      </c>
      <c r="F203" s="12"/>
      <c r="G203" s="20">
        <v>865</v>
      </c>
      <c r="H203" s="14">
        <f t="shared" si="10"/>
        <v>86.5</v>
      </c>
    </row>
    <row r="204" spans="1:8" x14ac:dyDescent="0.2">
      <c r="A204" s="9"/>
      <c r="B204" s="10"/>
      <c r="C204" s="20">
        <v>40253</v>
      </c>
      <c r="D204" s="20">
        <v>77</v>
      </c>
      <c r="E204" s="12">
        <f t="shared" si="9"/>
        <v>10.1</v>
      </c>
      <c r="F204" s="12"/>
      <c r="G204" s="20">
        <v>865</v>
      </c>
      <c r="H204" s="14">
        <f t="shared" si="10"/>
        <v>86.5</v>
      </c>
    </row>
    <row r="205" spans="1:8" x14ac:dyDescent="0.2">
      <c r="A205" s="9"/>
      <c r="B205" s="10"/>
      <c r="C205" s="20">
        <v>40303</v>
      </c>
      <c r="D205" s="20">
        <v>79</v>
      </c>
      <c r="E205" s="12">
        <f t="shared" si="9"/>
        <v>10.15</v>
      </c>
      <c r="F205" s="12"/>
      <c r="G205" s="20">
        <v>865</v>
      </c>
      <c r="H205" s="14">
        <f t="shared" si="10"/>
        <v>86.5</v>
      </c>
    </row>
    <row r="206" spans="1:8" x14ac:dyDescent="0.2">
      <c r="A206" s="9"/>
      <c r="B206" s="10"/>
      <c r="C206" s="20">
        <v>40353</v>
      </c>
      <c r="D206" s="20">
        <v>81</v>
      </c>
      <c r="E206" s="12">
        <f t="shared" si="9"/>
        <v>10.199999999999999</v>
      </c>
      <c r="F206" s="12"/>
      <c r="G206" s="20">
        <v>865</v>
      </c>
      <c r="H206" s="14">
        <f t="shared" si="10"/>
        <v>86.5</v>
      </c>
    </row>
    <row r="207" spans="1:8" x14ac:dyDescent="0.2">
      <c r="A207" s="9"/>
      <c r="B207" s="10"/>
      <c r="C207" s="20">
        <v>40403</v>
      </c>
      <c r="D207" s="20">
        <v>82</v>
      </c>
      <c r="E207" s="12">
        <f t="shared" si="9"/>
        <v>10.25</v>
      </c>
      <c r="F207" s="12"/>
      <c r="G207" s="20">
        <v>865</v>
      </c>
      <c r="H207" s="14">
        <f t="shared" si="10"/>
        <v>86.5</v>
      </c>
    </row>
    <row r="208" spans="1:8" x14ac:dyDescent="0.2">
      <c r="A208" s="9"/>
      <c r="B208" s="10"/>
      <c r="C208" s="20">
        <v>40453</v>
      </c>
      <c r="D208" s="20">
        <v>83</v>
      </c>
      <c r="E208" s="12">
        <f t="shared" si="9"/>
        <v>10.3</v>
      </c>
      <c r="F208" s="12"/>
      <c r="G208" s="20">
        <v>865</v>
      </c>
      <c r="H208" s="14">
        <f t="shared" si="10"/>
        <v>86.5</v>
      </c>
    </row>
    <row r="209" spans="1:8" x14ac:dyDescent="0.2">
      <c r="A209" s="9"/>
      <c r="B209" s="10"/>
      <c r="C209" s="20">
        <v>40503</v>
      </c>
      <c r="D209" s="20">
        <v>83</v>
      </c>
      <c r="E209" s="12">
        <f t="shared" si="9"/>
        <v>10.35</v>
      </c>
      <c r="F209" s="12"/>
      <c r="G209" s="20">
        <v>865</v>
      </c>
      <c r="H209" s="14">
        <f t="shared" si="10"/>
        <v>86.5</v>
      </c>
    </row>
    <row r="210" spans="1:8" x14ac:dyDescent="0.2">
      <c r="A210" s="9"/>
      <c r="B210" s="10"/>
      <c r="C210" s="20">
        <v>40553</v>
      </c>
      <c r="D210" s="20">
        <v>84</v>
      </c>
      <c r="E210" s="12">
        <f t="shared" si="9"/>
        <v>10.4</v>
      </c>
      <c r="F210" s="12"/>
      <c r="G210" s="20">
        <v>865</v>
      </c>
      <c r="H210" s="14">
        <f t="shared" si="10"/>
        <v>86.5</v>
      </c>
    </row>
    <row r="211" spans="1:8" x14ac:dyDescent="0.2">
      <c r="A211" s="9"/>
      <c r="B211" s="10"/>
      <c r="C211" s="20">
        <v>40603</v>
      </c>
      <c r="D211" s="20">
        <v>81</v>
      </c>
      <c r="E211" s="12">
        <f t="shared" si="9"/>
        <v>10.45</v>
      </c>
      <c r="F211" s="12"/>
      <c r="G211" s="20">
        <v>865</v>
      </c>
      <c r="H211" s="14">
        <f t="shared" si="10"/>
        <v>86.5</v>
      </c>
    </row>
    <row r="212" spans="1:8" x14ac:dyDescent="0.2">
      <c r="A212" s="9"/>
      <c r="B212" s="10"/>
      <c r="C212" s="20">
        <v>40653</v>
      </c>
      <c r="D212" s="20">
        <v>79</v>
      </c>
      <c r="E212" s="12">
        <f t="shared" si="9"/>
        <v>10.5</v>
      </c>
      <c r="F212" s="12"/>
      <c r="G212" s="20">
        <v>865</v>
      </c>
      <c r="H212" s="14">
        <f t="shared" si="10"/>
        <v>86.5</v>
      </c>
    </row>
    <row r="213" spans="1:8" x14ac:dyDescent="0.2">
      <c r="A213" s="9"/>
      <c r="B213" s="10"/>
      <c r="C213" s="20">
        <v>40703</v>
      </c>
      <c r="D213" s="20">
        <v>76</v>
      </c>
      <c r="E213" s="12">
        <f t="shared" si="9"/>
        <v>10.55</v>
      </c>
      <c r="F213" s="12"/>
      <c r="G213" s="20">
        <v>865</v>
      </c>
      <c r="H213" s="14">
        <f t="shared" si="10"/>
        <v>86.5</v>
      </c>
    </row>
    <row r="214" spans="1:8" x14ac:dyDescent="0.2">
      <c r="A214" s="9"/>
      <c r="B214" s="10"/>
      <c r="C214" s="20">
        <v>40753</v>
      </c>
      <c r="D214" s="20">
        <v>79</v>
      </c>
      <c r="E214" s="12">
        <f t="shared" si="9"/>
        <v>10.6</v>
      </c>
      <c r="F214" s="12"/>
      <c r="G214" s="20">
        <v>865</v>
      </c>
      <c r="H214" s="14">
        <f t="shared" si="10"/>
        <v>86.5</v>
      </c>
    </row>
    <row r="215" spans="1:8" x14ac:dyDescent="0.2">
      <c r="A215" s="9"/>
      <c r="B215" s="10"/>
      <c r="C215" s="20">
        <v>40803</v>
      </c>
      <c r="D215" s="20">
        <v>81</v>
      </c>
      <c r="E215" s="12">
        <f t="shared" si="9"/>
        <v>10.65</v>
      </c>
      <c r="F215" s="12"/>
      <c r="G215" s="20">
        <v>865</v>
      </c>
      <c r="H215" s="14">
        <f t="shared" si="10"/>
        <v>86.5</v>
      </c>
    </row>
    <row r="216" spans="1:8" x14ac:dyDescent="0.2">
      <c r="A216" s="9"/>
      <c r="B216" s="10"/>
      <c r="C216" s="20">
        <v>40853</v>
      </c>
      <c r="D216" s="20">
        <v>82</v>
      </c>
      <c r="E216" s="12">
        <f t="shared" si="9"/>
        <v>10.7</v>
      </c>
      <c r="F216" s="12"/>
      <c r="G216" s="20">
        <v>865</v>
      </c>
      <c r="H216" s="14">
        <f t="shared" si="10"/>
        <v>86.5</v>
      </c>
    </row>
    <row r="217" spans="1:8" x14ac:dyDescent="0.2">
      <c r="A217" s="9"/>
      <c r="B217" s="10"/>
      <c r="C217" s="20">
        <v>40903</v>
      </c>
      <c r="D217" s="20">
        <v>80</v>
      </c>
      <c r="E217" s="12">
        <f t="shared" si="9"/>
        <v>10.75</v>
      </c>
      <c r="F217" s="12"/>
      <c r="G217" s="20">
        <v>865</v>
      </c>
      <c r="H217" s="14">
        <f t="shared" si="10"/>
        <v>86.5</v>
      </c>
    </row>
    <row r="218" spans="1:8" x14ac:dyDescent="0.2">
      <c r="A218" s="9"/>
      <c r="B218" s="10"/>
      <c r="C218" s="20">
        <v>40953</v>
      </c>
      <c r="D218" s="20">
        <v>82</v>
      </c>
      <c r="E218" s="12">
        <f t="shared" si="9"/>
        <v>10.8</v>
      </c>
      <c r="F218" s="12"/>
      <c r="G218" s="20">
        <v>865</v>
      </c>
      <c r="H218" s="14">
        <f t="shared" si="10"/>
        <v>86.5</v>
      </c>
    </row>
    <row r="219" spans="1:8" x14ac:dyDescent="0.2">
      <c r="A219" s="9"/>
      <c r="B219" s="10"/>
      <c r="C219" s="20">
        <v>41003</v>
      </c>
      <c r="D219" s="20">
        <v>80</v>
      </c>
      <c r="E219" s="12">
        <f t="shared" si="9"/>
        <v>10.85</v>
      </c>
      <c r="F219" s="12"/>
      <c r="G219" s="20">
        <v>865</v>
      </c>
      <c r="H219" s="14">
        <f t="shared" si="10"/>
        <v>86.5</v>
      </c>
    </row>
    <row r="220" spans="1:8" x14ac:dyDescent="0.2">
      <c r="A220" s="9"/>
      <c r="B220" s="10"/>
      <c r="C220" s="20">
        <v>41053</v>
      </c>
      <c r="D220" s="20">
        <v>81</v>
      </c>
      <c r="E220" s="12">
        <f t="shared" si="9"/>
        <v>10.9</v>
      </c>
      <c r="F220" s="12"/>
      <c r="G220" s="20">
        <v>865</v>
      </c>
      <c r="H220" s="14">
        <f t="shared" si="10"/>
        <v>86.5</v>
      </c>
    </row>
    <row r="221" spans="1:8" x14ac:dyDescent="0.2">
      <c r="A221" s="9"/>
      <c r="B221" s="10"/>
      <c r="C221" s="20">
        <v>41103</v>
      </c>
      <c r="D221" s="20">
        <v>80</v>
      </c>
      <c r="E221" s="12">
        <f t="shared" si="9"/>
        <v>10.95</v>
      </c>
      <c r="F221" s="12"/>
      <c r="G221" s="20">
        <v>865</v>
      </c>
      <c r="H221" s="14">
        <f t="shared" si="10"/>
        <v>86.5</v>
      </c>
    </row>
    <row r="222" spans="1:8" x14ac:dyDescent="0.2">
      <c r="A222" s="9"/>
      <c r="B222" s="10"/>
      <c r="C222" s="20">
        <v>41153</v>
      </c>
      <c r="D222" s="20">
        <v>78</v>
      </c>
      <c r="E222" s="12">
        <f t="shared" si="9"/>
        <v>11</v>
      </c>
      <c r="F222" s="12"/>
      <c r="G222" s="20">
        <v>865</v>
      </c>
      <c r="H222" s="14">
        <f t="shared" si="10"/>
        <v>86.5</v>
      </c>
    </row>
    <row r="223" spans="1:8" x14ac:dyDescent="0.2">
      <c r="A223" s="9"/>
      <c r="B223" s="10"/>
      <c r="C223" s="20">
        <v>41203</v>
      </c>
      <c r="D223" s="20">
        <v>73</v>
      </c>
      <c r="E223" s="12">
        <f t="shared" si="9"/>
        <v>11.05</v>
      </c>
      <c r="F223" s="12"/>
      <c r="G223" s="20">
        <v>865</v>
      </c>
      <c r="H223" s="14">
        <f t="shared" si="10"/>
        <v>86.5</v>
      </c>
    </row>
    <row r="224" spans="1:8" x14ac:dyDescent="0.2">
      <c r="A224" s="9"/>
      <c r="B224" s="10"/>
      <c r="C224" s="20">
        <v>41253</v>
      </c>
      <c r="D224" s="20">
        <v>77</v>
      </c>
      <c r="E224" s="12">
        <f t="shared" si="9"/>
        <v>11.1</v>
      </c>
      <c r="F224" s="12"/>
      <c r="G224" s="20">
        <v>865</v>
      </c>
      <c r="H224" s="14">
        <f t="shared" si="10"/>
        <v>86.5</v>
      </c>
    </row>
    <row r="225" spans="1:8" x14ac:dyDescent="0.2">
      <c r="A225" s="9"/>
      <c r="B225" s="10"/>
      <c r="C225" s="20">
        <v>41303</v>
      </c>
      <c r="D225" s="20">
        <v>81</v>
      </c>
      <c r="E225" s="12">
        <f t="shared" si="9"/>
        <v>11.15</v>
      </c>
      <c r="F225" s="12"/>
      <c r="G225" s="20">
        <v>865</v>
      </c>
      <c r="H225" s="14">
        <f t="shared" si="10"/>
        <v>86.5</v>
      </c>
    </row>
    <row r="226" spans="1:8" x14ac:dyDescent="0.2">
      <c r="A226" s="9"/>
      <c r="B226" s="10"/>
      <c r="C226" s="20">
        <v>41353</v>
      </c>
      <c r="D226" s="20">
        <v>79</v>
      </c>
      <c r="E226" s="12">
        <f t="shared" si="9"/>
        <v>11.2</v>
      </c>
      <c r="F226" s="12"/>
      <c r="G226" s="20">
        <v>865</v>
      </c>
      <c r="H226" s="14">
        <f t="shared" si="10"/>
        <v>86.5</v>
      </c>
    </row>
    <row r="227" spans="1:8" x14ac:dyDescent="0.2">
      <c r="A227" s="9"/>
      <c r="B227" s="10"/>
      <c r="C227" s="20">
        <v>41403</v>
      </c>
      <c r="D227" s="20">
        <v>76</v>
      </c>
      <c r="E227" s="12">
        <f t="shared" si="9"/>
        <v>11.25</v>
      </c>
      <c r="F227" s="12"/>
      <c r="G227" s="20">
        <v>865</v>
      </c>
      <c r="H227" s="14">
        <f t="shared" si="10"/>
        <v>86.5</v>
      </c>
    </row>
    <row r="228" spans="1:8" x14ac:dyDescent="0.2">
      <c r="A228" s="9"/>
      <c r="B228" s="10"/>
      <c r="C228" s="20">
        <v>41453</v>
      </c>
      <c r="D228" s="20">
        <v>79</v>
      </c>
      <c r="E228" s="12">
        <f t="shared" si="9"/>
        <v>11.3</v>
      </c>
      <c r="F228" s="12"/>
      <c r="G228" s="20">
        <v>865</v>
      </c>
      <c r="H228" s="14">
        <f t="shared" si="10"/>
        <v>86.5</v>
      </c>
    </row>
    <row r="229" spans="1:8" x14ac:dyDescent="0.2">
      <c r="A229" s="9"/>
      <c r="B229" s="10"/>
      <c r="C229" s="20">
        <v>41503</v>
      </c>
      <c r="D229" s="20">
        <v>79</v>
      </c>
      <c r="E229" s="12">
        <f t="shared" si="9"/>
        <v>11.35</v>
      </c>
      <c r="F229" s="12"/>
      <c r="G229" s="20">
        <v>865</v>
      </c>
      <c r="H229" s="14">
        <f t="shared" si="10"/>
        <v>86.5</v>
      </c>
    </row>
    <row r="230" spans="1:8" x14ac:dyDescent="0.2">
      <c r="A230" s="9"/>
      <c r="B230" s="10"/>
      <c r="C230" s="20">
        <v>41553</v>
      </c>
      <c r="D230" s="20">
        <v>80</v>
      </c>
      <c r="E230" s="12">
        <f t="shared" si="9"/>
        <v>11.4</v>
      </c>
      <c r="F230" s="12"/>
      <c r="G230" s="20">
        <v>865</v>
      </c>
      <c r="H230" s="14">
        <f t="shared" si="10"/>
        <v>86.5</v>
      </c>
    </row>
    <row r="231" spans="1:8" x14ac:dyDescent="0.2">
      <c r="A231" s="9"/>
      <c r="B231" s="10"/>
      <c r="C231" s="20">
        <v>41603</v>
      </c>
      <c r="D231" s="20">
        <v>78</v>
      </c>
      <c r="E231" s="12">
        <f t="shared" si="9"/>
        <v>11.45</v>
      </c>
      <c r="F231" s="12"/>
      <c r="G231" s="20">
        <v>865</v>
      </c>
      <c r="H231" s="14">
        <f t="shared" si="10"/>
        <v>86.5</v>
      </c>
    </row>
    <row r="232" spans="1:8" x14ac:dyDescent="0.2">
      <c r="A232" s="9"/>
      <c r="B232" s="10"/>
      <c r="C232" s="20">
        <v>41653</v>
      </c>
      <c r="D232" s="20">
        <v>81</v>
      </c>
      <c r="E232" s="12">
        <f t="shared" si="9"/>
        <v>11.5</v>
      </c>
      <c r="F232" s="12"/>
      <c r="G232" s="20">
        <v>865</v>
      </c>
      <c r="H232" s="14">
        <f t="shared" si="10"/>
        <v>86.5</v>
      </c>
    </row>
    <row r="233" spans="1:8" x14ac:dyDescent="0.2">
      <c r="A233" s="9"/>
      <c r="B233" s="10"/>
      <c r="C233" s="20">
        <v>41703</v>
      </c>
      <c r="D233" s="20">
        <v>84</v>
      </c>
      <c r="E233" s="12">
        <f t="shared" si="9"/>
        <v>11.55</v>
      </c>
      <c r="F233" s="12"/>
      <c r="G233" s="20">
        <v>865</v>
      </c>
      <c r="H233" s="14">
        <f t="shared" si="10"/>
        <v>86.5</v>
      </c>
    </row>
    <row r="234" spans="1:8" x14ac:dyDescent="0.2">
      <c r="A234" s="9"/>
      <c r="B234" s="10"/>
      <c r="C234" s="20">
        <v>41753</v>
      </c>
      <c r="D234" s="20">
        <v>85</v>
      </c>
      <c r="E234" s="12">
        <f t="shared" si="9"/>
        <v>11.6</v>
      </c>
      <c r="F234" s="12"/>
      <c r="G234" s="20">
        <v>865</v>
      </c>
      <c r="H234" s="14">
        <f t="shared" si="10"/>
        <v>86.5</v>
      </c>
    </row>
    <row r="235" spans="1:8" x14ac:dyDescent="0.2">
      <c r="A235" s="9"/>
      <c r="B235" s="10"/>
      <c r="C235" s="20">
        <v>41803</v>
      </c>
      <c r="D235" s="20">
        <v>84</v>
      </c>
      <c r="E235" s="12">
        <f t="shared" si="9"/>
        <v>11.65</v>
      </c>
      <c r="F235" s="12"/>
      <c r="G235" s="20">
        <v>865</v>
      </c>
      <c r="H235" s="14">
        <f t="shared" si="10"/>
        <v>86.5</v>
      </c>
    </row>
    <row r="236" spans="1:8" x14ac:dyDescent="0.2">
      <c r="A236" s="9"/>
      <c r="B236" s="10"/>
      <c r="C236" s="20">
        <v>41853</v>
      </c>
      <c r="D236" s="20">
        <v>71</v>
      </c>
      <c r="E236" s="12">
        <f t="shared" si="9"/>
        <v>11.7</v>
      </c>
      <c r="F236" s="12"/>
      <c r="G236" s="20">
        <v>865</v>
      </c>
      <c r="H236" s="14">
        <f t="shared" si="10"/>
        <v>86.5</v>
      </c>
    </row>
    <row r="237" spans="1:8" x14ac:dyDescent="0.2">
      <c r="A237" s="9"/>
      <c r="B237" s="10"/>
      <c r="C237" s="20">
        <v>41903</v>
      </c>
      <c r="D237" s="20">
        <v>76</v>
      </c>
      <c r="E237" s="12">
        <f t="shared" si="9"/>
        <v>11.75</v>
      </c>
      <c r="F237" s="12"/>
      <c r="G237" s="20">
        <v>865</v>
      </c>
      <c r="H237" s="14">
        <f t="shared" si="10"/>
        <v>86.5</v>
      </c>
    </row>
    <row r="238" spans="1:8" x14ac:dyDescent="0.2">
      <c r="A238" s="9"/>
      <c r="B238" s="10"/>
      <c r="C238" s="20">
        <v>41953</v>
      </c>
      <c r="D238" s="20">
        <v>80</v>
      </c>
      <c r="E238" s="12">
        <f t="shared" si="9"/>
        <v>11.8</v>
      </c>
      <c r="F238" s="12"/>
      <c r="G238" s="20">
        <v>865</v>
      </c>
      <c r="H238" s="14">
        <f t="shared" si="10"/>
        <v>86.5</v>
      </c>
    </row>
    <row r="239" spans="1:8" x14ac:dyDescent="0.2">
      <c r="A239" s="9"/>
      <c r="B239" s="10"/>
      <c r="C239" s="20">
        <v>42003</v>
      </c>
      <c r="D239" s="20">
        <v>82</v>
      </c>
      <c r="E239" s="12">
        <f t="shared" si="9"/>
        <v>11.85</v>
      </c>
      <c r="F239" s="12"/>
      <c r="G239" s="20">
        <v>865</v>
      </c>
      <c r="H239" s="14">
        <f t="shared" si="10"/>
        <v>86.5</v>
      </c>
    </row>
    <row r="240" spans="1:8" x14ac:dyDescent="0.2">
      <c r="A240" s="9"/>
      <c r="B240" s="10"/>
      <c r="C240" s="20">
        <v>42053</v>
      </c>
      <c r="D240" s="20">
        <v>79</v>
      </c>
      <c r="E240" s="12">
        <f t="shared" si="9"/>
        <v>11.9</v>
      </c>
      <c r="F240" s="12"/>
      <c r="G240" s="20">
        <v>865</v>
      </c>
      <c r="H240" s="14">
        <f t="shared" si="10"/>
        <v>86.5</v>
      </c>
    </row>
    <row r="241" spans="1:8" x14ac:dyDescent="0.2">
      <c r="A241" s="9"/>
      <c r="B241" s="10"/>
      <c r="C241" s="20">
        <v>42103</v>
      </c>
      <c r="D241" s="20">
        <v>77</v>
      </c>
      <c r="E241" s="12">
        <f t="shared" si="9"/>
        <v>11.95</v>
      </c>
      <c r="F241" s="12"/>
      <c r="G241" s="20">
        <v>865</v>
      </c>
      <c r="H241" s="14">
        <f t="shared" si="10"/>
        <v>86.5</v>
      </c>
    </row>
    <row r="242" spans="1:8" x14ac:dyDescent="0.2">
      <c r="A242" s="9"/>
      <c r="B242" s="10"/>
      <c r="C242" s="20">
        <v>42153</v>
      </c>
      <c r="D242" s="20">
        <v>81</v>
      </c>
      <c r="E242" s="12">
        <f t="shared" si="9"/>
        <v>12</v>
      </c>
      <c r="F242" s="12"/>
      <c r="G242" s="20">
        <v>865</v>
      </c>
      <c r="H242" s="14">
        <f t="shared" si="10"/>
        <v>86.5</v>
      </c>
    </row>
    <row r="243" spans="1:8" x14ac:dyDescent="0.2">
      <c r="A243" s="9"/>
      <c r="B243" s="10"/>
      <c r="C243" s="20">
        <v>42203</v>
      </c>
      <c r="D243" s="20">
        <v>83</v>
      </c>
      <c r="E243" s="12">
        <f t="shared" si="9"/>
        <v>12.05</v>
      </c>
      <c r="F243" s="12"/>
      <c r="G243" s="20">
        <v>865</v>
      </c>
      <c r="H243" s="14">
        <f t="shared" si="10"/>
        <v>86.5</v>
      </c>
    </row>
    <row r="244" spans="1:8" x14ac:dyDescent="0.2">
      <c r="A244" s="9"/>
      <c r="B244" s="10"/>
      <c r="C244" s="20">
        <v>42253</v>
      </c>
      <c r="D244" s="20">
        <v>84</v>
      </c>
      <c r="E244" s="12">
        <f t="shared" si="9"/>
        <v>12.1</v>
      </c>
      <c r="F244" s="12"/>
      <c r="G244" s="20">
        <v>865</v>
      </c>
      <c r="H244" s="14">
        <f t="shared" si="10"/>
        <v>86.5</v>
      </c>
    </row>
    <row r="245" spans="1:8" x14ac:dyDescent="0.2">
      <c r="A245" s="9"/>
      <c r="B245" s="10"/>
      <c r="C245" s="20">
        <v>42303</v>
      </c>
      <c r="D245" s="20">
        <v>85</v>
      </c>
      <c r="E245" s="12">
        <f t="shared" si="9"/>
        <v>12.15</v>
      </c>
      <c r="F245" s="12"/>
      <c r="G245" s="20">
        <v>865</v>
      </c>
      <c r="H245" s="14">
        <f t="shared" si="10"/>
        <v>86.5</v>
      </c>
    </row>
    <row r="246" spans="1:8" x14ac:dyDescent="0.2">
      <c r="A246" s="9"/>
      <c r="B246" s="10"/>
      <c r="C246" s="20">
        <v>42353</v>
      </c>
      <c r="D246" s="20">
        <v>69</v>
      </c>
      <c r="E246" s="12">
        <f t="shared" si="9"/>
        <v>12.2</v>
      </c>
      <c r="F246" s="12"/>
      <c r="G246" s="20">
        <v>865</v>
      </c>
      <c r="H246" s="14">
        <f t="shared" si="10"/>
        <v>86.5</v>
      </c>
    </row>
    <row r="247" spans="1:8" x14ac:dyDescent="0.2">
      <c r="A247" s="9"/>
      <c r="B247" s="10"/>
      <c r="C247" s="20">
        <v>42403</v>
      </c>
      <c r="D247" s="20">
        <v>65</v>
      </c>
      <c r="E247" s="12">
        <f t="shared" si="9"/>
        <v>12.25</v>
      </c>
      <c r="F247" s="12"/>
      <c r="G247" s="20">
        <v>865</v>
      </c>
      <c r="H247" s="14">
        <f t="shared" si="10"/>
        <v>86.5</v>
      </c>
    </row>
    <row r="248" spans="1:8" x14ac:dyDescent="0.2">
      <c r="A248" s="9"/>
      <c r="B248" s="10"/>
      <c r="C248" s="20">
        <v>42453</v>
      </c>
      <c r="D248" s="20">
        <v>62</v>
      </c>
      <c r="E248" s="12">
        <f t="shared" si="9"/>
        <v>12.3</v>
      </c>
      <c r="F248" s="12"/>
      <c r="G248" s="20">
        <v>865</v>
      </c>
      <c r="H248" s="14">
        <f t="shared" si="10"/>
        <v>86.5</v>
      </c>
    </row>
    <row r="249" spans="1:8" x14ac:dyDescent="0.2">
      <c r="A249" s="9"/>
      <c r="B249" s="10"/>
      <c r="C249" s="20">
        <v>42503</v>
      </c>
      <c r="D249" s="20">
        <v>71</v>
      </c>
      <c r="E249" s="12">
        <f t="shared" si="9"/>
        <v>12.35</v>
      </c>
      <c r="F249" s="12"/>
      <c r="G249" s="20">
        <v>865</v>
      </c>
      <c r="H249" s="14">
        <f t="shared" si="10"/>
        <v>86.5</v>
      </c>
    </row>
    <row r="250" spans="1:8" x14ac:dyDescent="0.2">
      <c r="A250" s="9"/>
      <c r="B250" s="10"/>
      <c r="C250" s="20">
        <v>42553</v>
      </c>
      <c r="D250" s="20">
        <v>68</v>
      </c>
      <c r="E250" s="12">
        <f t="shared" si="9"/>
        <v>12.4</v>
      </c>
      <c r="F250" s="12"/>
      <c r="G250" s="20">
        <v>865</v>
      </c>
      <c r="H250" s="14">
        <f t="shared" si="10"/>
        <v>86.5</v>
      </c>
    </row>
    <row r="251" spans="1:8" x14ac:dyDescent="0.2">
      <c r="A251" s="9"/>
      <c r="B251" s="10"/>
      <c r="C251" s="20">
        <v>42603</v>
      </c>
      <c r="D251" s="20">
        <v>68</v>
      </c>
      <c r="E251" s="12">
        <f t="shared" si="9"/>
        <v>12.45</v>
      </c>
      <c r="F251" s="12"/>
      <c r="G251" s="20">
        <v>865</v>
      </c>
      <c r="H251" s="14">
        <f t="shared" si="10"/>
        <v>86.5</v>
      </c>
    </row>
    <row r="252" spans="1:8" x14ac:dyDescent="0.2">
      <c r="A252" s="9"/>
      <c r="B252" s="10"/>
      <c r="C252" s="20">
        <v>42653</v>
      </c>
      <c r="D252" s="20">
        <v>69</v>
      </c>
      <c r="E252" s="12">
        <f t="shared" si="9"/>
        <v>12.5</v>
      </c>
      <c r="F252" s="12"/>
      <c r="G252" s="20">
        <v>865</v>
      </c>
      <c r="H252" s="14">
        <f t="shared" si="10"/>
        <v>86.5</v>
      </c>
    </row>
    <row r="253" spans="1:8" x14ac:dyDescent="0.2">
      <c r="A253" s="9"/>
      <c r="B253" s="10"/>
      <c r="C253" s="20">
        <v>42703</v>
      </c>
      <c r="D253" s="20">
        <v>71</v>
      </c>
      <c r="E253" s="12">
        <f t="shared" si="9"/>
        <v>12.55</v>
      </c>
      <c r="F253" s="12"/>
      <c r="G253" s="20">
        <v>865</v>
      </c>
      <c r="H253" s="14">
        <f t="shared" si="10"/>
        <v>86.5</v>
      </c>
    </row>
    <row r="254" spans="1:8" x14ac:dyDescent="0.2">
      <c r="A254" s="9"/>
      <c r="B254" s="10"/>
      <c r="C254" s="20">
        <v>42753</v>
      </c>
      <c r="D254" s="20">
        <v>66</v>
      </c>
      <c r="E254" s="12">
        <f t="shared" si="9"/>
        <v>12.6</v>
      </c>
      <c r="F254" s="12"/>
      <c r="G254" s="20">
        <v>865</v>
      </c>
      <c r="H254" s="14">
        <f t="shared" si="10"/>
        <v>86.5</v>
      </c>
    </row>
    <row r="255" spans="1:8" x14ac:dyDescent="0.2">
      <c r="A255" s="9"/>
      <c r="B255" s="10"/>
      <c r="C255" s="20">
        <v>42803</v>
      </c>
      <c r="D255" s="20">
        <v>68</v>
      </c>
      <c r="E255" s="12">
        <f t="shared" si="9"/>
        <v>12.65</v>
      </c>
      <c r="F255" s="12"/>
      <c r="G255" s="20">
        <v>865</v>
      </c>
      <c r="H255" s="14">
        <f t="shared" si="10"/>
        <v>86.5</v>
      </c>
    </row>
    <row r="256" spans="1:8" x14ac:dyDescent="0.2">
      <c r="A256" s="9"/>
      <c r="B256" s="10"/>
      <c r="C256" s="20">
        <v>42853</v>
      </c>
      <c r="D256" s="20">
        <v>66</v>
      </c>
      <c r="E256" s="12">
        <f t="shared" si="9"/>
        <v>12.7</v>
      </c>
      <c r="F256" s="12"/>
      <c r="G256" s="20">
        <v>865</v>
      </c>
      <c r="H256" s="14">
        <f t="shared" si="10"/>
        <v>86.5</v>
      </c>
    </row>
    <row r="257" spans="1:8" x14ac:dyDescent="0.2">
      <c r="A257" s="9"/>
      <c r="B257" s="10"/>
      <c r="C257" s="20">
        <v>42903</v>
      </c>
      <c r="D257" s="20">
        <v>73</v>
      </c>
      <c r="E257" s="12">
        <f t="shared" si="9"/>
        <v>12.75</v>
      </c>
      <c r="F257" s="12"/>
      <c r="G257" s="20">
        <v>865</v>
      </c>
      <c r="H257" s="14">
        <f t="shared" si="10"/>
        <v>86.5</v>
      </c>
    </row>
    <row r="258" spans="1:8" x14ac:dyDescent="0.2">
      <c r="A258" s="9"/>
      <c r="B258" s="10"/>
      <c r="C258" s="20">
        <v>42953</v>
      </c>
      <c r="D258" s="20">
        <v>78</v>
      </c>
      <c r="E258" s="12">
        <f t="shared" si="9"/>
        <v>12.8</v>
      </c>
      <c r="F258" s="12"/>
      <c r="G258" s="20">
        <v>865</v>
      </c>
      <c r="H258" s="14">
        <f t="shared" si="10"/>
        <v>86.5</v>
      </c>
    </row>
    <row r="259" spans="1:8" x14ac:dyDescent="0.2">
      <c r="A259" s="9"/>
      <c r="B259" s="10"/>
      <c r="C259" s="20">
        <v>43003</v>
      </c>
      <c r="D259" s="20">
        <v>79</v>
      </c>
      <c r="E259" s="12">
        <f t="shared" ref="E259:E322" si="11">($C259-$C$2)/1000</f>
        <v>12.85</v>
      </c>
      <c r="F259" s="12"/>
      <c r="G259" s="20">
        <v>865</v>
      </c>
      <c r="H259" s="14">
        <f t="shared" ref="H259:H322" si="12">G259/10</f>
        <v>86.5</v>
      </c>
    </row>
    <row r="260" spans="1:8" x14ac:dyDescent="0.2">
      <c r="A260" s="9"/>
      <c r="B260" s="10"/>
      <c r="C260" s="20">
        <v>43053</v>
      </c>
      <c r="D260" s="20">
        <v>76</v>
      </c>
      <c r="E260" s="12">
        <f t="shared" si="11"/>
        <v>12.9</v>
      </c>
      <c r="F260" s="12"/>
      <c r="G260" s="20">
        <v>865</v>
      </c>
      <c r="H260" s="14">
        <f t="shared" si="12"/>
        <v>86.5</v>
      </c>
    </row>
    <row r="261" spans="1:8" x14ac:dyDescent="0.2">
      <c r="A261" s="9"/>
      <c r="B261" s="10"/>
      <c r="C261" s="20">
        <v>43103</v>
      </c>
      <c r="D261" s="20">
        <v>80</v>
      </c>
      <c r="E261" s="12">
        <f t="shared" si="11"/>
        <v>12.95</v>
      </c>
      <c r="F261" s="12"/>
      <c r="G261" s="20">
        <v>865</v>
      </c>
      <c r="H261" s="14">
        <f t="shared" si="12"/>
        <v>86.5</v>
      </c>
    </row>
    <row r="262" spans="1:8" x14ac:dyDescent="0.2">
      <c r="A262" s="9"/>
      <c r="B262" s="10"/>
      <c r="C262" s="20">
        <v>43153</v>
      </c>
      <c r="D262" s="20">
        <v>71</v>
      </c>
      <c r="E262" s="12">
        <f t="shared" si="11"/>
        <v>13</v>
      </c>
      <c r="F262" s="12"/>
      <c r="G262" s="20">
        <v>865</v>
      </c>
      <c r="H262" s="14">
        <f t="shared" si="12"/>
        <v>86.5</v>
      </c>
    </row>
    <row r="263" spans="1:8" x14ac:dyDescent="0.2">
      <c r="A263" s="9"/>
      <c r="B263" s="10"/>
      <c r="C263" s="20">
        <v>43203</v>
      </c>
      <c r="D263" s="20">
        <v>75</v>
      </c>
      <c r="E263" s="12">
        <f t="shared" si="11"/>
        <v>13.05</v>
      </c>
      <c r="F263" s="12"/>
      <c r="G263" s="20">
        <v>865</v>
      </c>
      <c r="H263" s="14">
        <f t="shared" si="12"/>
        <v>86.5</v>
      </c>
    </row>
    <row r="264" spans="1:8" x14ac:dyDescent="0.2">
      <c r="A264" s="9"/>
      <c r="B264" s="10"/>
      <c r="C264" s="20">
        <v>43253</v>
      </c>
      <c r="D264" s="20">
        <v>70</v>
      </c>
      <c r="E264" s="12">
        <f t="shared" si="11"/>
        <v>13.1</v>
      </c>
      <c r="F264" s="12"/>
      <c r="G264" s="20">
        <v>865</v>
      </c>
      <c r="H264" s="14">
        <f t="shared" si="12"/>
        <v>86.5</v>
      </c>
    </row>
    <row r="265" spans="1:8" x14ac:dyDescent="0.2">
      <c r="A265" s="9"/>
      <c r="B265" s="10"/>
      <c r="C265" s="20">
        <v>43303</v>
      </c>
      <c r="D265" s="20">
        <v>68</v>
      </c>
      <c r="E265" s="12">
        <f t="shared" si="11"/>
        <v>13.15</v>
      </c>
      <c r="F265" s="12"/>
      <c r="G265" s="20">
        <v>865</v>
      </c>
      <c r="H265" s="14">
        <f t="shared" si="12"/>
        <v>86.5</v>
      </c>
    </row>
    <row r="266" spans="1:8" x14ac:dyDescent="0.2">
      <c r="A266" s="9"/>
      <c r="B266" s="10"/>
      <c r="C266" s="20">
        <v>43353</v>
      </c>
      <c r="D266" s="20">
        <v>69</v>
      </c>
      <c r="E266" s="12">
        <f t="shared" si="11"/>
        <v>13.2</v>
      </c>
      <c r="F266" s="12"/>
      <c r="G266" s="20">
        <v>865</v>
      </c>
      <c r="H266" s="14">
        <f t="shared" si="12"/>
        <v>86.5</v>
      </c>
    </row>
    <row r="267" spans="1:8" x14ac:dyDescent="0.2">
      <c r="A267" s="9"/>
      <c r="B267" s="10"/>
      <c r="C267" s="20">
        <v>43403</v>
      </c>
      <c r="D267" s="20">
        <v>63</v>
      </c>
      <c r="E267" s="12">
        <f t="shared" si="11"/>
        <v>13.25</v>
      </c>
      <c r="F267" s="12"/>
      <c r="G267" s="20">
        <v>865</v>
      </c>
      <c r="H267" s="14">
        <f t="shared" si="12"/>
        <v>86.5</v>
      </c>
    </row>
    <row r="268" spans="1:8" x14ac:dyDescent="0.2">
      <c r="A268" s="9"/>
      <c r="B268" s="10"/>
      <c r="C268" s="20">
        <v>43453</v>
      </c>
      <c r="D268" s="20">
        <v>67</v>
      </c>
      <c r="E268" s="12">
        <f t="shared" si="11"/>
        <v>13.3</v>
      </c>
      <c r="F268" s="12"/>
      <c r="G268" s="20">
        <v>865</v>
      </c>
      <c r="H268" s="14">
        <f t="shared" si="12"/>
        <v>86.5</v>
      </c>
    </row>
    <row r="269" spans="1:8" x14ac:dyDescent="0.2">
      <c r="A269" s="9"/>
      <c r="B269" s="10"/>
      <c r="C269" s="20">
        <v>43503</v>
      </c>
      <c r="D269" s="20">
        <v>63</v>
      </c>
      <c r="E269" s="12">
        <f t="shared" si="11"/>
        <v>13.35</v>
      </c>
      <c r="F269" s="12"/>
      <c r="G269" s="20">
        <v>865</v>
      </c>
      <c r="H269" s="14">
        <f t="shared" si="12"/>
        <v>86.5</v>
      </c>
    </row>
    <row r="270" spans="1:8" x14ac:dyDescent="0.2">
      <c r="A270" s="9"/>
      <c r="B270" s="10"/>
      <c r="C270" s="20">
        <v>43553</v>
      </c>
      <c r="D270" s="20">
        <v>71</v>
      </c>
      <c r="E270" s="12">
        <f t="shared" si="11"/>
        <v>13.4</v>
      </c>
      <c r="F270" s="12"/>
      <c r="G270" s="20">
        <v>865</v>
      </c>
      <c r="H270" s="14">
        <f t="shared" si="12"/>
        <v>86.5</v>
      </c>
    </row>
    <row r="271" spans="1:8" x14ac:dyDescent="0.2">
      <c r="A271" s="9"/>
      <c r="B271" s="10"/>
      <c r="C271" s="20">
        <v>43603</v>
      </c>
      <c r="D271" s="20">
        <v>77</v>
      </c>
      <c r="E271" s="12">
        <f t="shared" si="11"/>
        <v>13.45</v>
      </c>
      <c r="F271" s="12"/>
      <c r="G271" s="20">
        <v>865</v>
      </c>
      <c r="H271" s="14">
        <f t="shared" si="12"/>
        <v>86.5</v>
      </c>
    </row>
    <row r="272" spans="1:8" x14ac:dyDescent="0.2">
      <c r="A272" s="9"/>
      <c r="B272" s="10"/>
      <c r="C272" s="20">
        <v>43653</v>
      </c>
      <c r="D272" s="20">
        <v>80</v>
      </c>
      <c r="E272" s="12">
        <f t="shared" si="11"/>
        <v>13.5</v>
      </c>
      <c r="F272" s="12"/>
      <c r="G272" s="20">
        <v>865</v>
      </c>
      <c r="H272" s="14">
        <f t="shared" si="12"/>
        <v>86.5</v>
      </c>
    </row>
    <row r="273" spans="1:8" x14ac:dyDescent="0.2">
      <c r="A273" s="9"/>
      <c r="B273" s="10"/>
      <c r="C273" s="20">
        <v>43703</v>
      </c>
      <c r="D273" s="20">
        <v>74</v>
      </c>
      <c r="E273" s="12">
        <f t="shared" si="11"/>
        <v>13.55</v>
      </c>
      <c r="F273" s="12"/>
      <c r="G273" s="20">
        <v>865</v>
      </c>
      <c r="H273" s="14">
        <f t="shared" si="12"/>
        <v>86.5</v>
      </c>
    </row>
    <row r="274" spans="1:8" x14ac:dyDescent="0.2">
      <c r="A274" s="9"/>
      <c r="B274" s="10"/>
      <c r="C274" s="20">
        <v>43753</v>
      </c>
      <c r="D274" s="20">
        <v>79</v>
      </c>
      <c r="E274" s="12">
        <f t="shared" si="11"/>
        <v>13.6</v>
      </c>
      <c r="F274" s="12"/>
      <c r="G274" s="20">
        <v>865</v>
      </c>
      <c r="H274" s="14">
        <f t="shared" si="12"/>
        <v>86.5</v>
      </c>
    </row>
    <row r="275" spans="1:8" x14ac:dyDescent="0.2">
      <c r="A275" s="9"/>
      <c r="B275" s="10"/>
      <c r="C275" s="20">
        <v>43803</v>
      </c>
      <c r="D275" s="20">
        <v>71</v>
      </c>
      <c r="E275" s="12">
        <f t="shared" si="11"/>
        <v>13.65</v>
      </c>
      <c r="F275" s="12"/>
      <c r="G275" s="20">
        <v>865</v>
      </c>
      <c r="H275" s="14">
        <f t="shared" si="12"/>
        <v>86.5</v>
      </c>
    </row>
    <row r="276" spans="1:8" x14ac:dyDescent="0.2">
      <c r="A276" s="9"/>
      <c r="B276" s="10"/>
      <c r="C276" s="20">
        <v>43853</v>
      </c>
      <c r="D276" s="20">
        <v>67</v>
      </c>
      <c r="E276" s="12">
        <f t="shared" si="11"/>
        <v>13.7</v>
      </c>
      <c r="F276" s="12"/>
      <c r="G276" s="20">
        <v>865</v>
      </c>
      <c r="H276" s="14">
        <f t="shared" si="12"/>
        <v>86.5</v>
      </c>
    </row>
    <row r="277" spans="1:8" x14ac:dyDescent="0.2">
      <c r="A277" s="9"/>
      <c r="B277" s="10"/>
      <c r="C277" s="20">
        <v>43903</v>
      </c>
      <c r="D277" s="20">
        <v>65</v>
      </c>
      <c r="E277" s="12">
        <f t="shared" si="11"/>
        <v>13.75</v>
      </c>
      <c r="F277" s="12"/>
      <c r="G277" s="20">
        <v>865</v>
      </c>
      <c r="H277" s="14">
        <f t="shared" si="12"/>
        <v>86.5</v>
      </c>
    </row>
    <row r="278" spans="1:8" x14ac:dyDescent="0.2">
      <c r="A278" s="9"/>
      <c r="B278" s="10"/>
      <c r="C278" s="20">
        <v>43953</v>
      </c>
      <c r="D278" s="20">
        <v>65</v>
      </c>
      <c r="E278" s="12">
        <f t="shared" si="11"/>
        <v>13.8</v>
      </c>
      <c r="F278" s="12"/>
      <c r="G278" s="20">
        <v>865</v>
      </c>
      <c r="H278" s="14">
        <f t="shared" si="12"/>
        <v>86.5</v>
      </c>
    </row>
    <row r="279" spans="1:8" x14ac:dyDescent="0.2">
      <c r="A279" s="9"/>
      <c r="B279" s="10"/>
      <c r="C279" s="20">
        <v>44003</v>
      </c>
      <c r="D279" s="20">
        <v>66</v>
      </c>
      <c r="E279" s="12">
        <f t="shared" si="11"/>
        <v>13.85</v>
      </c>
      <c r="F279" s="12"/>
      <c r="G279" s="20">
        <v>865</v>
      </c>
      <c r="H279" s="14">
        <f t="shared" si="12"/>
        <v>86.5</v>
      </c>
    </row>
    <row r="280" spans="1:8" x14ac:dyDescent="0.2">
      <c r="A280" s="9"/>
      <c r="B280" s="10"/>
      <c r="C280" s="20">
        <v>44053</v>
      </c>
      <c r="D280" s="20">
        <v>60</v>
      </c>
      <c r="E280" s="12">
        <f t="shared" si="11"/>
        <v>13.9</v>
      </c>
      <c r="F280" s="12"/>
      <c r="G280" s="20">
        <v>865</v>
      </c>
      <c r="H280" s="14">
        <f t="shared" si="12"/>
        <v>86.5</v>
      </c>
    </row>
    <row r="281" spans="1:8" x14ac:dyDescent="0.2">
      <c r="A281" s="9"/>
      <c r="B281" s="10"/>
      <c r="C281" s="20">
        <v>44103</v>
      </c>
      <c r="D281" s="20">
        <v>64</v>
      </c>
      <c r="E281" s="12">
        <f t="shared" si="11"/>
        <v>13.95</v>
      </c>
      <c r="F281" s="12"/>
      <c r="G281" s="20">
        <v>865</v>
      </c>
      <c r="H281" s="14">
        <f t="shared" si="12"/>
        <v>86.5</v>
      </c>
    </row>
    <row r="282" spans="1:8" x14ac:dyDescent="0.2">
      <c r="A282" s="9"/>
      <c r="B282" s="10"/>
      <c r="C282" s="20">
        <v>44153</v>
      </c>
      <c r="D282" s="20">
        <v>67</v>
      </c>
      <c r="E282" s="12">
        <f t="shared" si="11"/>
        <v>14</v>
      </c>
      <c r="F282" s="12"/>
      <c r="G282" s="20">
        <v>865</v>
      </c>
      <c r="H282" s="14">
        <f t="shared" si="12"/>
        <v>86.5</v>
      </c>
    </row>
    <row r="283" spans="1:8" x14ac:dyDescent="0.2">
      <c r="A283" s="9"/>
      <c r="B283" s="10"/>
      <c r="C283" s="20">
        <v>44203</v>
      </c>
      <c r="D283" s="20">
        <v>71</v>
      </c>
      <c r="E283" s="12">
        <f t="shared" si="11"/>
        <v>14.05</v>
      </c>
      <c r="F283" s="12"/>
      <c r="G283" s="20">
        <v>865</v>
      </c>
      <c r="H283" s="14">
        <f t="shared" si="12"/>
        <v>86.5</v>
      </c>
    </row>
    <row r="284" spans="1:8" x14ac:dyDescent="0.2">
      <c r="A284" s="9"/>
      <c r="B284" s="10"/>
      <c r="C284" s="20">
        <v>44253</v>
      </c>
      <c r="D284" s="20">
        <v>73</v>
      </c>
      <c r="E284" s="12">
        <f t="shared" si="11"/>
        <v>14.1</v>
      </c>
      <c r="F284" s="12"/>
      <c r="G284" s="20">
        <v>865</v>
      </c>
      <c r="H284" s="14">
        <f t="shared" si="12"/>
        <v>86.5</v>
      </c>
    </row>
    <row r="285" spans="1:8" x14ac:dyDescent="0.2">
      <c r="A285" s="9"/>
      <c r="B285" s="10"/>
      <c r="C285" s="20">
        <v>44303</v>
      </c>
      <c r="D285" s="20">
        <v>77</v>
      </c>
      <c r="E285" s="12">
        <f t="shared" si="11"/>
        <v>14.15</v>
      </c>
      <c r="F285" s="12"/>
      <c r="G285" s="20">
        <v>865</v>
      </c>
      <c r="H285" s="14">
        <f t="shared" si="12"/>
        <v>86.5</v>
      </c>
    </row>
    <row r="286" spans="1:8" x14ac:dyDescent="0.2">
      <c r="A286" s="9"/>
      <c r="B286" s="10"/>
      <c r="C286" s="20">
        <v>44353</v>
      </c>
      <c r="D286" s="20">
        <v>80</v>
      </c>
      <c r="E286" s="12">
        <f t="shared" si="11"/>
        <v>14.2</v>
      </c>
      <c r="F286" s="12"/>
      <c r="G286" s="20">
        <v>865</v>
      </c>
      <c r="H286" s="14">
        <f t="shared" si="12"/>
        <v>86.5</v>
      </c>
    </row>
    <row r="287" spans="1:8" x14ac:dyDescent="0.2">
      <c r="A287" s="9"/>
      <c r="B287" s="10"/>
      <c r="C287" s="20">
        <v>44403</v>
      </c>
      <c r="D287" s="20">
        <v>78</v>
      </c>
      <c r="E287" s="12">
        <f t="shared" si="11"/>
        <v>14.25</v>
      </c>
      <c r="F287" s="12"/>
      <c r="G287" s="20">
        <v>865</v>
      </c>
      <c r="H287" s="14">
        <f t="shared" si="12"/>
        <v>86.5</v>
      </c>
    </row>
    <row r="288" spans="1:8" x14ac:dyDescent="0.2">
      <c r="A288" s="9"/>
      <c r="B288" s="10"/>
      <c r="C288" s="20">
        <v>44453</v>
      </c>
      <c r="D288" s="20">
        <v>81</v>
      </c>
      <c r="E288" s="12">
        <f t="shared" si="11"/>
        <v>14.3</v>
      </c>
      <c r="F288" s="12"/>
      <c r="G288" s="20">
        <v>865</v>
      </c>
      <c r="H288" s="14">
        <f t="shared" si="12"/>
        <v>86.5</v>
      </c>
    </row>
    <row r="289" spans="1:8" x14ac:dyDescent="0.2">
      <c r="A289" s="9"/>
      <c r="B289" s="10"/>
      <c r="C289" s="20">
        <v>44503</v>
      </c>
      <c r="D289" s="20">
        <v>84</v>
      </c>
      <c r="E289" s="12">
        <f t="shared" si="11"/>
        <v>14.35</v>
      </c>
      <c r="F289" s="12"/>
      <c r="G289" s="20">
        <v>865</v>
      </c>
      <c r="H289" s="14">
        <f t="shared" si="12"/>
        <v>86.5</v>
      </c>
    </row>
    <row r="290" spans="1:8" x14ac:dyDescent="0.2">
      <c r="A290" s="9"/>
      <c r="B290" s="10"/>
      <c r="C290" s="20">
        <v>44553</v>
      </c>
      <c r="D290" s="20">
        <v>87</v>
      </c>
      <c r="E290" s="12">
        <f t="shared" si="11"/>
        <v>14.4</v>
      </c>
      <c r="F290" s="12"/>
      <c r="G290" s="20">
        <v>865</v>
      </c>
      <c r="H290" s="14">
        <f t="shared" si="12"/>
        <v>86.5</v>
      </c>
    </row>
    <row r="291" spans="1:8" x14ac:dyDescent="0.2">
      <c r="A291" s="9"/>
      <c r="B291" s="10"/>
      <c r="C291" s="20">
        <v>44603</v>
      </c>
      <c r="D291" s="20">
        <v>88</v>
      </c>
      <c r="E291" s="12">
        <f t="shared" si="11"/>
        <v>14.45</v>
      </c>
      <c r="F291" s="12"/>
      <c r="G291" s="20">
        <v>865</v>
      </c>
      <c r="H291" s="14">
        <f t="shared" si="12"/>
        <v>86.5</v>
      </c>
    </row>
    <row r="292" spans="1:8" x14ac:dyDescent="0.2">
      <c r="A292" s="9"/>
      <c r="B292" s="10"/>
      <c r="C292" s="20">
        <v>44653</v>
      </c>
      <c r="D292" s="20">
        <v>88</v>
      </c>
      <c r="E292" s="12">
        <f t="shared" si="11"/>
        <v>14.5</v>
      </c>
      <c r="F292" s="12"/>
      <c r="G292" s="20">
        <v>865</v>
      </c>
      <c r="H292" s="14">
        <f t="shared" si="12"/>
        <v>86.5</v>
      </c>
    </row>
    <row r="293" spans="1:8" x14ac:dyDescent="0.2">
      <c r="A293" s="9"/>
      <c r="B293" s="10"/>
      <c r="C293" s="20">
        <v>44703</v>
      </c>
      <c r="D293" s="20">
        <v>84</v>
      </c>
      <c r="E293" s="12">
        <f t="shared" si="11"/>
        <v>14.55</v>
      </c>
      <c r="F293" s="12"/>
      <c r="G293" s="20">
        <v>865</v>
      </c>
      <c r="H293" s="14">
        <f t="shared" si="12"/>
        <v>86.5</v>
      </c>
    </row>
    <row r="294" spans="1:8" x14ac:dyDescent="0.2">
      <c r="A294" s="9"/>
      <c r="B294" s="10"/>
      <c r="C294" s="20">
        <v>44753</v>
      </c>
      <c r="D294" s="20">
        <v>90</v>
      </c>
      <c r="E294" s="12">
        <f t="shared" si="11"/>
        <v>14.6</v>
      </c>
      <c r="F294" s="12"/>
      <c r="G294" s="20">
        <v>865</v>
      </c>
      <c r="H294" s="14">
        <f t="shared" si="12"/>
        <v>86.5</v>
      </c>
    </row>
    <row r="295" spans="1:8" x14ac:dyDescent="0.2">
      <c r="A295" s="9"/>
      <c r="B295" s="10"/>
      <c r="C295" s="20">
        <v>44803</v>
      </c>
      <c r="D295" s="20">
        <v>81</v>
      </c>
      <c r="E295" s="12">
        <f t="shared" si="11"/>
        <v>14.65</v>
      </c>
      <c r="F295" s="12"/>
      <c r="G295" s="20">
        <v>865</v>
      </c>
      <c r="H295" s="14">
        <f t="shared" si="12"/>
        <v>86.5</v>
      </c>
    </row>
    <row r="296" spans="1:8" x14ac:dyDescent="0.2">
      <c r="A296" s="9"/>
      <c r="B296" s="10"/>
      <c r="C296" s="20">
        <v>44853</v>
      </c>
      <c r="D296" s="20">
        <v>84</v>
      </c>
      <c r="E296" s="12">
        <f t="shared" si="11"/>
        <v>14.7</v>
      </c>
      <c r="F296" s="12"/>
      <c r="G296" s="20">
        <v>865</v>
      </c>
      <c r="H296" s="14">
        <f t="shared" si="12"/>
        <v>86.5</v>
      </c>
    </row>
    <row r="297" spans="1:8" x14ac:dyDescent="0.2">
      <c r="A297" s="9"/>
      <c r="B297" s="10"/>
      <c r="C297" s="20">
        <v>44903</v>
      </c>
      <c r="D297" s="20">
        <v>85</v>
      </c>
      <c r="E297" s="12">
        <f t="shared" si="11"/>
        <v>14.75</v>
      </c>
      <c r="F297" s="12"/>
      <c r="G297" s="20">
        <v>865</v>
      </c>
      <c r="H297" s="14">
        <f t="shared" si="12"/>
        <v>86.5</v>
      </c>
    </row>
    <row r="298" spans="1:8" x14ac:dyDescent="0.2">
      <c r="A298" s="9"/>
      <c r="B298" s="10"/>
      <c r="C298" s="20">
        <v>44953</v>
      </c>
      <c r="D298" s="20">
        <v>87</v>
      </c>
      <c r="E298" s="12">
        <f t="shared" si="11"/>
        <v>14.8</v>
      </c>
      <c r="F298" s="12"/>
      <c r="G298" s="20">
        <v>865</v>
      </c>
      <c r="H298" s="14">
        <f t="shared" si="12"/>
        <v>86.5</v>
      </c>
    </row>
    <row r="299" spans="1:8" x14ac:dyDescent="0.2">
      <c r="C299" s="20">
        <v>45003</v>
      </c>
      <c r="D299" s="20">
        <v>73</v>
      </c>
      <c r="E299" s="12">
        <f t="shared" si="11"/>
        <v>14.85</v>
      </c>
      <c r="F299" s="12"/>
      <c r="G299" s="20">
        <v>865</v>
      </c>
      <c r="H299" s="14">
        <f t="shared" si="12"/>
        <v>86.5</v>
      </c>
    </row>
    <row r="300" spans="1:8" x14ac:dyDescent="0.2">
      <c r="C300" s="20">
        <v>45053</v>
      </c>
      <c r="D300" s="20">
        <v>74</v>
      </c>
      <c r="E300" s="12">
        <f t="shared" si="11"/>
        <v>14.9</v>
      </c>
      <c r="F300" s="12"/>
      <c r="G300" s="20">
        <v>865</v>
      </c>
      <c r="H300" s="14">
        <f t="shared" si="12"/>
        <v>86.5</v>
      </c>
    </row>
    <row r="301" spans="1:8" x14ac:dyDescent="0.2">
      <c r="C301" s="20">
        <v>45103</v>
      </c>
      <c r="D301" s="20">
        <v>79</v>
      </c>
      <c r="E301" s="12">
        <f t="shared" si="11"/>
        <v>14.95</v>
      </c>
      <c r="F301" s="12"/>
      <c r="G301" s="20">
        <v>865</v>
      </c>
      <c r="H301" s="14">
        <f t="shared" si="12"/>
        <v>86.5</v>
      </c>
    </row>
    <row r="302" spans="1:8" x14ac:dyDescent="0.2">
      <c r="C302" s="20">
        <v>45153</v>
      </c>
      <c r="D302" s="20">
        <v>71</v>
      </c>
      <c r="E302" s="12">
        <f t="shared" si="11"/>
        <v>15</v>
      </c>
      <c r="F302" s="12"/>
      <c r="G302" s="20">
        <v>865</v>
      </c>
      <c r="H302" s="14">
        <f t="shared" si="12"/>
        <v>86.5</v>
      </c>
    </row>
    <row r="303" spans="1:8" x14ac:dyDescent="0.2">
      <c r="C303" s="20">
        <v>45203</v>
      </c>
      <c r="D303" s="20">
        <v>68</v>
      </c>
      <c r="E303" s="12">
        <f t="shared" si="11"/>
        <v>15.05</v>
      </c>
      <c r="F303" s="12"/>
      <c r="G303" s="20">
        <v>865</v>
      </c>
      <c r="H303" s="14">
        <f t="shared" si="12"/>
        <v>86.5</v>
      </c>
    </row>
    <row r="304" spans="1:8" x14ac:dyDescent="0.2">
      <c r="C304" s="20">
        <v>45253</v>
      </c>
      <c r="D304" s="20">
        <v>66</v>
      </c>
      <c r="E304" s="12">
        <f t="shared" si="11"/>
        <v>15.1</v>
      </c>
      <c r="F304" s="12"/>
      <c r="G304" s="20">
        <v>865</v>
      </c>
      <c r="H304" s="14">
        <f t="shared" si="12"/>
        <v>86.5</v>
      </c>
    </row>
    <row r="305" spans="3:8" x14ac:dyDescent="0.2">
      <c r="C305" s="20">
        <v>45303</v>
      </c>
      <c r="D305" s="20">
        <v>66</v>
      </c>
      <c r="E305" s="12">
        <f t="shared" si="11"/>
        <v>15.15</v>
      </c>
      <c r="F305" s="12"/>
      <c r="G305" s="20">
        <v>865</v>
      </c>
      <c r="H305" s="14">
        <f t="shared" si="12"/>
        <v>86.5</v>
      </c>
    </row>
    <row r="306" spans="3:8" x14ac:dyDescent="0.2">
      <c r="C306" s="20">
        <v>45353</v>
      </c>
      <c r="D306" s="20">
        <v>67</v>
      </c>
      <c r="E306" s="12">
        <f t="shared" si="11"/>
        <v>15.2</v>
      </c>
      <c r="F306" s="12"/>
      <c r="G306" s="20">
        <v>865</v>
      </c>
      <c r="H306" s="14">
        <f t="shared" si="12"/>
        <v>86.5</v>
      </c>
    </row>
    <row r="307" spans="3:8" x14ac:dyDescent="0.2">
      <c r="C307" s="20">
        <v>45403</v>
      </c>
      <c r="D307" s="20">
        <v>68</v>
      </c>
      <c r="E307" s="12">
        <f t="shared" si="11"/>
        <v>15.25</v>
      </c>
      <c r="F307" s="12"/>
      <c r="G307" s="20">
        <v>865</v>
      </c>
      <c r="H307" s="14">
        <f t="shared" si="12"/>
        <v>86.5</v>
      </c>
    </row>
    <row r="308" spans="3:8" x14ac:dyDescent="0.2">
      <c r="C308" s="20">
        <v>45453</v>
      </c>
      <c r="D308" s="20">
        <v>68</v>
      </c>
      <c r="E308" s="12">
        <f t="shared" si="11"/>
        <v>15.3</v>
      </c>
      <c r="F308" s="12"/>
      <c r="G308" s="20">
        <v>865</v>
      </c>
      <c r="H308" s="14">
        <f t="shared" si="12"/>
        <v>86.5</v>
      </c>
    </row>
    <row r="309" spans="3:8" x14ac:dyDescent="0.2">
      <c r="C309" s="20">
        <v>45503</v>
      </c>
      <c r="D309" s="20">
        <v>71</v>
      </c>
      <c r="E309" s="12">
        <f t="shared" si="11"/>
        <v>15.35</v>
      </c>
      <c r="F309" s="12"/>
      <c r="G309" s="20">
        <v>865</v>
      </c>
      <c r="H309" s="14">
        <f t="shared" si="12"/>
        <v>86.5</v>
      </c>
    </row>
    <row r="310" spans="3:8" x14ac:dyDescent="0.2">
      <c r="C310" s="20">
        <v>45553</v>
      </c>
      <c r="D310" s="20">
        <v>73</v>
      </c>
      <c r="E310" s="12">
        <f t="shared" si="11"/>
        <v>15.4</v>
      </c>
      <c r="F310" s="12"/>
      <c r="G310" s="20">
        <v>865</v>
      </c>
      <c r="H310" s="14">
        <f t="shared" si="12"/>
        <v>86.5</v>
      </c>
    </row>
    <row r="311" spans="3:8" x14ac:dyDescent="0.2">
      <c r="C311" s="20">
        <v>45603</v>
      </c>
      <c r="D311" s="20">
        <v>71</v>
      </c>
      <c r="E311" s="12">
        <f t="shared" si="11"/>
        <v>15.45</v>
      </c>
      <c r="F311" s="12"/>
      <c r="G311" s="20">
        <v>865</v>
      </c>
      <c r="H311" s="14">
        <f t="shared" si="12"/>
        <v>86.5</v>
      </c>
    </row>
    <row r="312" spans="3:8" x14ac:dyDescent="0.2">
      <c r="C312" s="20">
        <v>45653</v>
      </c>
      <c r="D312" s="20">
        <v>75</v>
      </c>
      <c r="E312" s="12">
        <f t="shared" si="11"/>
        <v>15.5</v>
      </c>
      <c r="F312" s="12"/>
      <c r="G312" s="20">
        <v>865</v>
      </c>
      <c r="H312" s="14">
        <f t="shared" si="12"/>
        <v>86.5</v>
      </c>
    </row>
    <row r="313" spans="3:8" x14ac:dyDescent="0.2">
      <c r="C313" s="20">
        <v>45703</v>
      </c>
      <c r="D313" s="20">
        <v>77</v>
      </c>
      <c r="E313" s="12">
        <f t="shared" si="11"/>
        <v>15.55</v>
      </c>
      <c r="F313" s="12"/>
      <c r="G313" s="20">
        <v>865</v>
      </c>
      <c r="H313" s="14">
        <f t="shared" si="12"/>
        <v>86.5</v>
      </c>
    </row>
    <row r="314" spans="3:8" x14ac:dyDescent="0.2">
      <c r="C314" s="20">
        <v>45753</v>
      </c>
      <c r="D314" s="20">
        <v>79</v>
      </c>
      <c r="E314" s="12">
        <f t="shared" si="11"/>
        <v>15.6</v>
      </c>
      <c r="F314" s="12"/>
      <c r="G314" s="20">
        <v>865</v>
      </c>
      <c r="H314" s="14">
        <f t="shared" si="12"/>
        <v>86.5</v>
      </c>
    </row>
    <row r="315" spans="3:8" x14ac:dyDescent="0.2">
      <c r="C315" s="20">
        <v>45803</v>
      </c>
      <c r="D315" s="20">
        <v>78</v>
      </c>
      <c r="E315" s="12">
        <f t="shared" si="11"/>
        <v>15.65</v>
      </c>
      <c r="F315" s="12"/>
      <c r="G315" s="20">
        <v>865</v>
      </c>
      <c r="H315" s="14">
        <f t="shared" si="12"/>
        <v>86.5</v>
      </c>
    </row>
    <row r="316" spans="3:8" x14ac:dyDescent="0.2">
      <c r="C316" s="20">
        <v>45853</v>
      </c>
      <c r="D316" s="20">
        <v>74</v>
      </c>
      <c r="E316" s="12">
        <f t="shared" si="11"/>
        <v>15.7</v>
      </c>
      <c r="F316" s="12"/>
      <c r="G316" s="20">
        <v>865</v>
      </c>
      <c r="H316" s="14">
        <f t="shared" si="12"/>
        <v>86.5</v>
      </c>
    </row>
    <row r="317" spans="3:8" x14ac:dyDescent="0.2">
      <c r="C317" s="20">
        <v>45903</v>
      </c>
      <c r="D317" s="20">
        <v>79</v>
      </c>
      <c r="E317" s="12">
        <f t="shared" si="11"/>
        <v>15.75</v>
      </c>
      <c r="F317" s="12"/>
      <c r="G317" s="20">
        <v>865</v>
      </c>
      <c r="H317" s="14">
        <f t="shared" si="12"/>
        <v>86.5</v>
      </c>
    </row>
    <row r="318" spans="3:8" x14ac:dyDescent="0.2">
      <c r="C318" s="20">
        <v>45953</v>
      </c>
      <c r="D318" s="20">
        <v>82</v>
      </c>
      <c r="E318" s="12">
        <f t="shared" si="11"/>
        <v>15.8</v>
      </c>
      <c r="F318" s="12"/>
      <c r="G318" s="20">
        <v>865</v>
      </c>
      <c r="H318" s="14">
        <f t="shared" si="12"/>
        <v>86.5</v>
      </c>
    </row>
    <row r="319" spans="3:8" x14ac:dyDescent="0.2">
      <c r="C319" s="20">
        <v>46003</v>
      </c>
      <c r="D319" s="20">
        <v>85</v>
      </c>
      <c r="E319" s="12">
        <f t="shared" si="11"/>
        <v>15.85</v>
      </c>
      <c r="F319" s="12"/>
      <c r="G319" s="20">
        <v>865</v>
      </c>
      <c r="H319" s="14">
        <f t="shared" si="12"/>
        <v>86.5</v>
      </c>
    </row>
    <row r="320" spans="3:8" x14ac:dyDescent="0.2">
      <c r="C320" s="20">
        <v>46053</v>
      </c>
      <c r="D320" s="20">
        <v>86</v>
      </c>
      <c r="E320" s="12">
        <f t="shared" si="11"/>
        <v>15.9</v>
      </c>
      <c r="F320" s="12"/>
      <c r="G320" s="20">
        <v>865</v>
      </c>
      <c r="H320" s="14">
        <f t="shared" si="12"/>
        <v>86.5</v>
      </c>
    </row>
    <row r="321" spans="3:8" x14ac:dyDescent="0.2">
      <c r="C321" s="20">
        <v>46103</v>
      </c>
      <c r="D321" s="20">
        <v>86</v>
      </c>
      <c r="E321" s="12">
        <f t="shared" si="11"/>
        <v>15.95</v>
      </c>
      <c r="F321" s="12"/>
      <c r="G321" s="20">
        <v>865</v>
      </c>
      <c r="H321" s="14">
        <f t="shared" si="12"/>
        <v>86.5</v>
      </c>
    </row>
    <row r="322" spans="3:8" x14ac:dyDescent="0.2">
      <c r="C322" s="20">
        <v>46153</v>
      </c>
      <c r="D322" s="20">
        <v>74</v>
      </c>
      <c r="E322" s="12">
        <f t="shared" si="11"/>
        <v>16</v>
      </c>
      <c r="F322" s="12"/>
      <c r="G322" s="20">
        <v>865</v>
      </c>
      <c r="H322" s="14">
        <f t="shared" si="12"/>
        <v>86.5</v>
      </c>
    </row>
    <row r="323" spans="3:8" x14ac:dyDescent="0.2">
      <c r="C323" s="20">
        <v>46203</v>
      </c>
      <c r="D323" s="20">
        <v>76</v>
      </c>
      <c r="E323" s="12">
        <f t="shared" ref="E323:E386" si="13">($C323-$C$2)/1000</f>
        <v>16.05</v>
      </c>
      <c r="F323" s="12"/>
      <c r="G323" s="20">
        <v>865</v>
      </c>
      <c r="H323" s="14">
        <f t="shared" ref="H323:H332" si="14">G323/10</f>
        <v>86.5</v>
      </c>
    </row>
    <row r="324" spans="3:8" x14ac:dyDescent="0.2">
      <c r="C324" s="20">
        <v>46253</v>
      </c>
      <c r="D324" s="20">
        <v>69</v>
      </c>
      <c r="E324" s="12">
        <f t="shared" si="13"/>
        <v>16.100000000000001</v>
      </c>
      <c r="F324" s="12"/>
      <c r="G324" s="20">
        <v>865</v>
      </c>
      <c r="H324" s="14">
        <f t="shared" si="14"/>
        <v>86.5</v>
      </c>
    </row>
    <row r="325" spans="3:8" x14ac:dyDescent="0.2">
      <c r="C325" s="20">
        <v>46303</v>
      </c>
      <c r="D325" s="20">
        <v>65</v>
      </c>
      <c r="E325" s="12">
        <f t="shared" si="13"/>
        <v>16.149999999999999</v>
      </c>
      <c r="F325" s="12"/>
      <c r="G325" s="20">
        <v>865</v>
      </c>
      <c r="H325" s="14">
        <f t="shared" si="14"/>
        <v>86.5</v>
      </c>
    </row>
    <row r="326" spans="3:8" x14ac:dyDescent="0.2">
      <c r="C326" s="20">
        <v>46353</v>
      </c>
      <c r="D326" s="20">
        <v>63</v>
      </c>
      <c r="E326" s="12">
        <f t="shared" si="13"/>
        <v>16.2</v>
      </c>
      <c r="F326" s="12"/>
      <c r="G326" s="20">
        <v>865</v>
      </c>
      <c r="H326" s="14">
        <f t="shared" si="14"/>
        <v>86.5</v>
      </c>
    </row>
    <row r="327" spans="3:8" x14ac:dyDescent="0.2">
      <c r="C327" s="20">
        <v>46403</v>
      </c>
      <c r="D327" s="20">
        <v>71</v>
      </c>
      <c r="E327" s="12">
        <f t="shared" si="13"/>
        <v>16.25</v>
      </c>
      <c r="F327" s="12"/>
      <c r="G327" s="20">
        <v>865</v>
      </c>
      <c r="H327" s="14">
        <f t="shared" si="14"/>
        <v>86.5</v>
      </c>
    </row>
    <row r="328" spans="3:8" x14ac:dyDescent="0.2">
      <c r="C328" s="20">
        <v>46453</v>
      </c>
      <c r="D328" s="20">
        <v>70</v>
      </c>
      <c r="E328" s="12">
        <f t="shared" si="13"/>
        <v>16.3</v>
      </c>
      <c r="F328" s="12"/>
      <c r="G328" s="20">
        <v>865</v>
      </c>
      <c r="H328" s="14">
        <f t="shared" si="14"/>
        <v>86.5</v>
      </c>
    </row>
    <row r="329" spans="3:8" x14ac:dyDescent="0.2">
      <c r="C329" s="20">
        <v>46503</v>
      </c>
      <c r="D329" s="20">
        <v>70</v>
      </c>
      <c r="E329" s="12">
        <f t="shared" si="13"/>
        <v>16.350000000000001</v>
      </c>
      <c r="F329" s="12"/>
      <c r="G329" s="20">
        <v>865</v>
      </c>
      <c r="H329" s="14">
        <f t="shared" si="14"/>
        <v>86.5</v>
      </c>
    </row>
    <row r="330" spans="3:8" x14ac:dyDescent="0.2">
      <c r="C330" s="20">
        <v>46553</v>
      </c>
      <c r="D330" s="20">
        <v>72</v>
      </c>
      <c r="E330" s="12">
        <f t="shared" si="13"/>
        <v>16.399999999999999</v>
      </c>
      <c r="F330" s="12"/>
      <c r="G330" s="20">
        <v>865</v>
      </c>
      <c r="H330" s="14">
        <f t="shared" si="14"/>
        <v>86.5</v>
      </c>
    </row>
    <row r="331" spans="3:8" x14ac:dyDescent="0.2">
      <c r="C331" s="20">
        <v>46603</v>
      </c>
      <c r="D331" s="20">
        <v>73</v>
      </c>
      <c r="E331" s="12">
        <f t="shared" si="13"/>
        <v>16.45</v>
      </c>
      <c r="F331" s="12"/>
      <c r="G331" s="20">
        <v>865</v>
      </c>
      <c r="H331" s="14">
        <f t="shared" si="14"/>
        <v>86.5</v>
      </c>
    </row>
    <row r="332" spans="3:8" x14ac:dyDescent="0.2">
      <c r="C332" s="20">
        <v>46653</v>
      </c>
      <c r="D332" s="20">
        <v>76</v>
      </c>
      <c r="E332" s="12">
        <f t="shared" si="13"/>
        <v>16.5</v>
      </c>
      <c r="F332" s="12"/>
      <c r="G332" s="20">
        <v>865</v>
      </c>
      <c r="H332" s="14">
        <f t="shared" si="14"/>
        <v>86.5</v>
      </c>
    </row>
    <row r="333" spans="3:8" x14ac:dyDescent="0.2">
      <c r="C333" s="14"/>
      <c r="D333" s="14"/>
      <c r="E333" s="12"/>
      <c r="F333" s="12"/>
      <c r="G333" s="12"/>
      <c r="H333" s="14"/>
    </row>
    <row r="334" spans="3:8" x14ac:dyDescent="0.2">
      <c r="C334" s="14"/>
      <c r="D334" s="14"/>
      <c r="E334" s="12"/>
      <c r="F334" s="12"/>
      <c r="G334" s="12"/>
      <c r="H334" s="14"/>
    </row>
    <row r="335" spans="3:8" x14ac:dyDescent="0.2">
      <c r="C335" s="14"/>
      <c r="D335" s="14"/>
      <c r="E335" s="12"/>
      <c r="F335" s="12"/>
      <c r="G335" s="12"/>
      <c r="H335" s="14"/>
    </row>
    <row r="336" spans="3:8" x14ac:dyDescent="0.2">
      <c r="C336" s="14"/>
      <c r="D336" s="14"/>
      <c r="E336" s="12"/>
      <c r="F336" s="12"/>
      <c r="G336" s="12"/>
      <c r="H336" s="14"/>
    </row>
    <row r="337" spans="3:8" x14ac:dyDescent="0.2">
      <c r="C337" s="14"/>
      <c r="D337" s="14"/>
      <c r="E337" s="12"/>
      <c r="F337" s="12"/>
      <c r="G337" s="12"/>
      <c r="H337" s="14"/>
    </row>
    <row r="338" spans="3:8" x14ac:dyDescent="0.2">
      <c r="C338" s="14"/>
      <c r="D338" s="14"/>
      <c r="E338" s="12"/>
      <c r="F338" s="12"/>
      <c r="G338" s="12"/>
      <c r="H338" s="14"/>
    </row>
    <row r="339" spans="3:8" x14ac:dyDescent="0.2">
      <c r="C339" s="14"/>
      <c r="D339" s="14"/>
      <c r="E339" s="12"/>
      <c r="F339" s="12"/>
      <c r="G339" s="12"/>
      <c r="H339" s="14"/>
    </row>
    <row r="340" spans="3:8" x14ac:dyDescent="0.2">
      <c r="C340" s="14"/>
      <c r="D340" s="14"/>
      <c r="E340" s="12"/>
      <c r="F340" s="12"/>
      <c r="G340" s="12"/>
      <c r="H340" s="14"/>
    </row>
    <row r="341" spans="3:8" x14ac:dyDescent="0.2">
      <c r="C341" s="14"/>
      <c r="D341" s="14"/>
      <c r="E341" s="12"/>
      <c r="F341" s="12"/>
      <c r="G341" s="12"/>
      <c r="H341" s="14"/>
    </row>
    <row r="342" spans="3:8" x14ac:dyDescent="0.2">
      <c r="C342" s="14"/>
      <c r="D342" s="14"/>
      <c r="E342" s="12"/>
      <c r="F342" s="12"/>
      <c r="G342" s="12"/>
      <c r="H342" s="14"/>
    </row>
    <row r="343" spans="3:8" x14ac:dyDescent="0.2">
      <c r="C343" s="14"/>
      <c r="D343" s="14"/>
      <c r="E343" s="12"/>
      <c r="F343" s="12"/>
      <c r="G343" s="12"/>
      <c r="H343" s="14"/>
    </row>
    <row r="344" spans="3:8" x14ac:dyDescent="0.2">
      <c r="C344" s="14"/>
      <c r="D344" s="14"/>
      <c r="E344" s="12"/>
      <c r="F344" s="12"/>
      <c r="G344" s="12"/>
      <c r="H344" s="14"/>
    </row>
    <row r="345" spans="3:8" x14ac:dyDescent="0.2">
      <c r="C345" s="14"/>
      <c r="D345" s="14"/>
      <c r="E345" s="12"/>
      <c r="F345" s="12"/>
      <c r="G345" s="12"/>
      <c r="H345" s="14"/>
    </row>
    <row r="346" spans="3:8" x14ac:dyDescent="0.2">
      <c r="C346" s="14"/>
      <c r="D346" s="14"/>
      <c r="E346" s="12"/>
      <c r="F346" s="12"/>
      <c r="G346" s="12"/>
      <c r="H346" s="14"/>
    </row>
    <row r="347" spans="3:8" x14ac:dyDescent="0.2">
      <c r="C347" s="14"/>
      <c r="D347" s="14"/>
      <c r="E347" s="12"/>
      <c r="F347" s="12"/>
      <c r="G347" s="12"/>
      <c r="H347" s="14"/>
    </row>
    <row r="348" spans="3:8" x14ac:dyDescent="0.2">
      <c r="C348" s="14"/>
      <c r="D348" s="14"/>
      <c r="E348" s="12"/>
      <c r="F348" s="12"/>
      <c r="G348" s="12"/>
      <c r="H348" s="14"/>
    </row>
    <row r="349" spans="3:8" x14ac:dyDescent="0.2">
      <c r="C349" s="14"/>
      <c r="D349" s="14"/>
      <c r="E349" s="12"/>
      <c r="F349" s="12"/>
      <c r="G349" s="12"/>
      <c r="H349" s="14"/>
    </row>
    <row r="350" spans="3:8" x14ac:dyDescent="0.2">
      <c r="C350" s="14"/>
      <c r="D350" s="14"/>
      <c r="E350" s="12"/>
      <c r="F350" s="12"/>
      <c r="G350" s="12"/>
      <c r="H350" s="14"/>
    </row>
    <row r="351" spans="3:8" x14ac:dyDescent="0.2">
      <c r="C351" s="14"/>
      <c r="D351" s="14"/>
      <c r="E351" s="12"/>
      <c r="F351" s="12"/>
      <c r="G351" s="12"/>
      <c r="H351" s="14"/>
    </row>
    <row r="352" spans="3:8" x14ac:dyDescent="0.2">
      <c r="C352" s="14"/>
      <c r="D352" s="14"/>
      <c r="E352" s="12"/>
      <c r="F352" s="12"/>
      <c r="G352" s="12"/>
      <c r="H352" s="14"/>
    </row>
    <row r="353" spans="3:8" x14ac:dyDescent="0.2">
      <c r="C353" s="14"/>
      <c r="D353" s="14"/>
      <c r="E353" s="12"/>
      <c r="F353" s="12"/>
      <c r="G353" s="12"/>
      <c r="H353" s="14"/>
    </row>
    <row r="354" spans="3:8" x14ac:dyDescent="0.2">
      <c r="C354" s="14"/>
      <c r="D354" s="14"/>
      <c r="E354" s="12"/>
      <c r="F354" s="12"/>
      <c r="G354" s="12"/>
      <c r="H354" s="14"/>
    </row>
    <row r="355" spans="3:8" x14ac:dyDescent="0.2">
      <c r="C355" s="14"/>
      <c r="D355" s="14"/>
      <c r="E355" s="12"/>
      <c r="F355" s="12"/>
      <c r="G355" s="12"/>
      <c r="H355" s="14"/>
    </row>
    <row r="356" spans="3:8" x14ac:dyDescent="0.2">
      <c r="C356" s="14"/>
      <c r="D356" s="14"/>
      <c r="E356" s="12"/>
      <c r="F356" s="12"/>
      <c r="G356" s="12"/>
      <c r="H356" s="14"/>
    </row>
    <row r="357" spans="3:8" x14ac:dyDescent="0.2">
      <c r="C357" s="14"/>
      <c r="D357" s="14"/>
      <c r="E357" s="12"/>
      <c r="F357" s="12"/>
      <c r="G357" s="12"/>
      <c r="H357" s="14"/>
    </row>
    <row r="358" spans="3:8" x14ac:dyDescent="0.2">
      <c r="C358" s="14"/>
      <c r="D358" s="14"/>
      <c r="E358" s="12"/>
      <c r="F358" s="12"/>
      <c r="G358" s="12"/>
      <c r="H358" s="14"/>
    </row>
    <row r="359" spans="3:8" x14ac:dyDescent="0.2">
      <c r="C359" s="14"/>
      <c r="D359" s="14"/>
      <c r="E359" s="12"/>
      <c r="F359" s="12"/>
      <c r="G359" s="12"/>
      <c r="H359" s="14"/>
    </row>
    <row r="360" spans="3:8" x14ac:dyDescent="0.2">
      <c r="C360" s="14"/>
      <c r="D360" s="14"/>
      <c r="E360" s="12"/>
      <c r="F360" s="12"/>
      <c r="G360" s="12"/>
      <c r="H360" s="14"/>
    </row>
    <row r="361" spans="3:8" x14ac:dyDescent="0.2">
      <c r="C361" s="14"/>
      <c r="D361" s="14"/>
      <c r="E361" s="12"/>
      <c r="F361" s="12"/>
      <c r="G361" s="12"/>
      <c r="H361" s="14"/>
    </row>
    <row r="362" spans="3:8" x14ac:dyDescent="0.2">
      <c r="C362" s="14"/>
      <c r="D362" s="14"/>
      <c r="E362" s="12"/>
      <c r="F362" s="12"/>
      <c r="G362" s="12"/>
      <c r="H362" s="14"/>
    </row>
    <row r="363" spans="3:8" x14ac:dyDescent="0.2">
      <c r="C363" s="14"/>
      <c r="D363" s="14"/>
      <c r="E363" s="12"/>
      <c r="F363" s="12"/>
      <c r="G363" s="12"/>
      <c r="H363" s="14"/>
    </row>
    <row r="364" spans="3:8" x14ac:dyDescent="0.2">
      <c r="C364" s="14"/>
      <c r="D364" s="14"/>
      <c r="E364" s="12"/>
      <c r="F364" s="12"/>
      <c r="G364" s="12"/>
      <c r="H364" s="14"/>
    </row>
    <row r="365" spans="3:8" x14ac:dyDescent="0.2">
      <c r="C365" s="14"/>
      <c r="D365" s="14"/>
      <c r="E365" s="12"/>
      <c r="F365" s="12"/>
      <c r="G365" s="12"/>
      <c r="H365" s="14"/>
    </row>
    <row r="366" spans="3:8" x14ac:dyDescent="0.2">
      <c r="C366" s="14"/>
      <c r="D366" s="14"/>
      <c r="E366" s="12"/>
      <c r="F366" s="12"/>
      <c r="G366" s="12"/>
      <c r="H366" s="14"/>
    </row>
    <row r="367" spans="3:8" x14ac:dyDescent="0.2">
      <c r="C367" s="14"/>
      <c r="D367" s="14"/>
      <c r="E367" s="12"/>
      <c r="F367" s="12"/>
      <c r="G367" s="12"/>
      <c r="H367" s="14"/>
    </row>
    <row r="368" spans="3:8" x14ac:dyDescent="0.2">
      <c r="C368" s="14"/>
      <c r="D368" s="14"/>
      <c r="E368" s="12"/>
      <c r="F368" s="12"/>
      <c r="G368" s="12"/>
      <c r="H368" s="14"/>
    </row>
    <row r="369" spans="3:8" x14ac:dyDescent="0.2">
      <c r="C369" s="14"/>
      <c r="D369" s="14"/>
      <c r="E369" s="12"/>
      <c r="F369" s="12"/>
      <c r="G369" s="12"/>
      <c r="H369" s="14"/>
    </row>
    <row r="370" spans="3:8" x14ac:dyDescent="0.2">
      <c r="C370" s="14"/>
      <c r="D370" s="14"/>
      <c r="E370" s="12"/>
      <c r="F370" s="12"/>
      <c r="G370" s="12"/>
      <c r="H370" s="14"/>
    </row>
    <row r="371" spans="3:8" x14ac:dyDescent="0.2">
      <c r="C371" s="14"/>
      <c r="D371" s="14"/>
      <c r="E371" s="12"/>
      <c r="F371" s="12"/>
      <c r="G371" s="12"/>
      <c r="H371" s="14"/>
    </row>
    <row r="372" spans="3:8" x14ac:dyDescent="0.2">
      <c r="C372" s="14"/>
      <c r="D372" s="14"/>
      <c r="E372" s="12"/>
      <c r="F372" s="12"/>
      <c r="G372" s="12"/>
      <c r="H372" s="14"/>
    </row>
    <row r="373" spans="3:8" x14ac:dyDescent="0.2">
      <c r="C373" s="14"/>
      <c r="D373" s="14"/>
      <c r="E373" s="12"/>
      <c r="F373" s="12"/>
      <c r="G373" s="12"/>
      <c r="H373" s="14"/>
    </row>
    <row r="374" spans="3:8" x14ac:dyDescent="0.2">
      <c r="C374" s="14"/>
      <c r="D374" s="14"/>
      <c r="E374" s="12"/>
      <c r="F374" s="12"/>
      <c r="G374" s="12"/>
      <c r="H374" s="14"/>
    </row>
    <row r="375" spans="3:8" x14ac:dyDescent="0.2">
      <c r="C375" s="14"/>
      <c r="D375" s="14"/>
      <c r="E375" s="12"/>
      <c r="F375" s="12"/>
      <c r="G375" s="12"/>
      <c r="H375" s="14"/>
    </row>
    <row r="376" spans="3:8" x14ac:dyDescent="0.2">
      <c r="C376" s="14"/>
      <c r="D376" s="14"/>
      <c r="E376" s="12"/>
      <c r="F376" s="12"/>
      <c r="G376" s="12"/>
      <c r="H376" s="14"/>
    </row>
    <row r="377" spans="3:8" x14ac:dyDescent="0.2">
      <c r="C377" s="14"/>
      <c r="D377" s="14"/>
      <c r="E377" s="12"/>
      <c r="F377" s="12"/>
      <c r="G377" s="12"/>
      <c r="H377" s="14"/>
    </row>
    <row r="378" spans="3:8" x14ac:dyDescent="0.2">
      <c r="C378" s="14"/>
      <c r="D378" s="14"/>
      <c r="E378" s="12"/>
      <c r="F378" s="12"/>
      <c r="G378" s="12"/>
      <c r="H378" s="14"/>
    </row>
    <row r="379" spans="3:8" x14ac:dyDescent="0.2">
      <c r="C379" s="14"/>
      <c r="D379" s="14"/>
      <c r="E379" s="12"/>
      <c r="F379" s="12"/>
      <c r="G379" s="12"/>
      <c r="H379" s="14"/>
    </row>
    <row r="380" spans="3:8" x14ac:dyDescent="0.2">
      <c r="C380" s="14"/>
      <c r="D380" s="14"/>
      <c r="E380" s="12"/>
      <c r="F380" s="12"/>
      <c r="G380" s="12"/>
      <c r="H380" s="14"/>
    </row>
    <row r="381" spans="3:8" x14ac:dyDescent="0.2">
      <c r="C381" s="14"/>
      <c r="D381" s="14"/>
      <c r="E381" s="12"/>
      <c r="F381" s="12"/>
      <c r="G381" s="12"/>
      <c r="H381" s="14"/>
    </row>
    <row r="382" spans="3:8" x14ac:dyDescent="0.2">
      <c r="C382" s="14"/>
      <c r="D382" s="14"/>
      <c r="E382" s="12"/>
      <c r="F382" s="12"/>
      <c r="G382" s="12"/>
      <c r="H382" s="14"/>
    </row>
    <row r="383" spans="3:8" x14ac:dyDescent="0.2">
      <c r="C383" s="14"/>
      <c r="D383" s="14"/>
      <c r="E383" s="12"/>
      <c r="F383" s="12"/>
      <c r="G383" s="12"/>
      <c r="H383" s="14"/>
    </row>
    <row r="384" spans="3:8" x14ac:dyDescent="0.2">
      <c r="C384" s="14"/>
      <c r="D384" s="14"/>
      <c r="E384" s="12"/>
      <c r="F384" s="12"/>
      <c r="G384" s="12"/>
      <c r="H384" s="14"/>
    </row>
    <row r="385" spans="1:8" x14ac:dyDescent="0.2">
      <c r="C385" s="14"/>
      <c r="D385" s="14"/>
      <c r="E385" s="12"/>
      <c r="F385" s="12"/>
      <c r="G385" s="12"/>
      <c r="H385" s="14"/>
    </row>
    <row r="386" spans="1:8" x14ac:dyDescent="0.2">
      <c r="C386" s="14"/>
      <c r="D386" s="14"/>
      <c r="E386" s="12"/>
      <c r="F386" s="12"/>
      <c r="G386" s="12"/>
      <c r="H386" s="14"/>
    </row>
    <row r="387" spans="1:8" x14ac:dyDescent="0.2">
      <c r="C387" s="14"/>
      <c r="D387" s="14"/>
      <c r="E387" s="12"/>
      <c r="F387" s="12"/>
      <c r="G387" s="12"/>
      <c r="H387" s="14"/>
    </row>
    <row r="388" spans="1:8" x14ac:dyDescent="0.2">
      <c r="C388" s="14"/>
      <c r="D388" s="14"/>
      <c r="E388" s="12"/>
      <c r="F388" s="12"/>
      <c r="G388" s="12"/>
      <c r="H388" s="14"/>
    </row>
    <row r="389" spans="1:8" x14ac:dyDescent="0.2">
      <c r="A389" s="17"/>
      <c r="B389" s="17"/>
      <c r="C389" s="16"/>
      <c r="D389" s="16"/>
      <c r="E389" s="18"/>
      <c r="F389" s="18"/>
      <c r="G389" s="18"/>
      <c r="H389" s="16"/>
    </row>
    <row r="390" spans="1:8" x14ac:dyDescent="0.2">
      <c r="C390" s="14"/>
      <c r="D390" s="14"/>
      <c r="E390" s="12"/>
      <c r="F390" s="12"/>
      <c r="G390" s="12"/>
      <c r="H390" s="14"/>
    </row>
    <row r="391" spans="1:8" x14ac:dyDescent="0.2">
      <c r="C391" s="14"/>
      <c r="D391" s="14"/>
      <c r="E391" s="12"/>
      <c r="F391" s="12"/>
      <c r="G391" s="12"/>
      <c r="H391" s="14"/>
    </row>
    <row r="392" spans="1:8" x14ac:dyDescent="0.2">
      <c r="C392" s="14"/>
      <c r="D392" s="14"/>
      <c r="E392" s="12"/>
      <c r="F392" s="12"/>
      <c r="G392" s="12"/>
      <c r="H392" s="14"/>
    </row>
    <row r="393" spans="1:8" x14ac:dyDescent="0.2">
      <c r="C393" s="14"/>
      <c r="D393" s="14"/>
      <c r="E393" s="12"/>
      <c r="F393" s="12"/>
      <c r="G393" s="12"/>
      <c r="H393" s="14"/>
    </row>
    <row r="394" spans="1:8" x14ac:dyDescent="0.2">
      <c r="C394" s="14"/>
      <c r="D394" s="14"/>
      <c r="E394" s="12"/>
      <c r="F394" s="12"/>
      <c r="G394" s="12"/>
      <c r="H394" s="14"/>
    </row>
    <row r="395" spans="1:8" x14ac:dyDescent="0.2">
      <c r="C395" s="14"/>
      <c r="D395" s="14"/>
      <c r="E395" s="12"/>
      <c r="F395" s="12"/>
      <c r="G395" s="12"/>
      <c r="H395" s="14"/>
    </row>
    <row r="396" spans="1:8" x14ac:dyDescent="0.2">
      <c r="C396" s="14"/>
      <c r="D396" s="14"/>
      <c r="E396" s="12"/>
      <c r="F396" s="12"/>
      <c r="G396" s="12"/>
      <c r="H396" s="14"/>
    </row>
    <row r="397" spans="1:8" x14ac:dyDescent="0.2">
      <c r="C397" s="14"/>
      <c r="D397" s="14"/>
      <c r="E397" s="12"/>
      <c r="F397" s="12"/>
      <c r="G397" s="12"/>
      <c r="H397" s="14"/>
    </row>
    <row r="398" spans="1:8" x14ac:dyDescent="0.2">
      <c r="C398" s="14"/>
      <c r="D398" s="14"/>
      <c r="E398" s="12"/>
      <c r="F398" s="12"/>
      <c r="G398" s="12"/>
      <c r="H398" s="14"/>
    </row>
    <row r="399" spans="1:8" x14ac:dyDescent="0.2">
      <c r="C399" s="14"/>
      <c r="D399" s="14"/>
      <c r="E399" s="12"/>
      <c r="F399" s="12"/>
      <c r="G399" s="12"/>
      <c r="H399" s="14"/>
    </row>
    <row r="400" spans="1:8" x14ac:dyDescent="0.2">
      <c r="C400" s="14"/>
      <c r="D400" s="14"/>
      <c r="E400" s="12"/>
      <c r="F400" s="12"/>
      <c r="G400" s="12"/>
      <c r="H400" s="14"/>
    </row>
    <row r="401" spans="3:8" x14ac:dyDescent="0.2">
      <c r="C401" s="14"/>
      <c r="D401" s="14"/>
      <c r="E401" s="12"/>
      <c r="F401" s="12"/>
      <c r="G401" s="12"/>
      <c r="H401" s="14"/>
    </row>
    <row r="402" spans="3:8" x14ac:dyDescent="0.2">
      <c r="C402" s="14"/>
      <c r="D402" s="14"/>
      <c r="E402" s="12"/>
      <c r="F402" s="12"/>
      <c r="G402" s="12"/>
      <c r="H402" s="14"/>
    </row>
    <row r="403" spans="3:8" x14ac:dyDescent="0.2">
      <c r="C403" s="14"/>
      <c r="D403" s="14"/>
      <c r="E403" s="12"/>
      <c r="F403" s="12"/>
      <c r="G403" s="12"/>
      <c r="H403" s="14"/>
    </row>
    <row r="404" spans="3:8" x14ac:dyDescent="0.2">
      <c r="C404" s="14"/>
      <c r="D404" s="14"/>
      <c r="E404" s="12"/>
      <c r="F404" s="12"/>
      <c r="G404" s="12"/>
      <c r="H404" s="14"/>
    </row>
    <row r="405" spans="3:8" x14ac:dyDescent="0.2">
      <c r="C405" s="14"/>
      <c r="D405" s="14"/>
      <c r="E405" s="12"/>
      <c r="F405" s="12"/>
      <c r="G405" s="12"/>
      <c r="H405" s="14"/>
    </row>
    <row r="406" spans="3:8" x14ac:dyDescent="0.2">
      <c r="C406" s="14"/>
      <c r="D406" s="14"/>
      <c r="E406" s="12"/>
      <c r="F406" s="12"/>
      <c r="G406" s="12"/>
      <c r="H406" s="14"/>
    </row>
    <row r="407" spans="3:8" x14ac:dyDescent="0.2">
      <c r="C407" s="14"/>
      <c r="D407" s="14"/>
      <c r="E407" s="12"/>
      <c r="F407" s="12"/>
      <c r="G407" s="12"/>
      <c r="H407" s="14"/>
    </row>
    <row r="408" spans="3:8" x14ac:dyDescent="0.2">
      <c r="C408" s="14"/>
      <c r="D408" s="14"/>
      <c r="E408" s="12"/>
      <c r="F408" s="12"/>
      <c r="G408" s="12"/>
      <c r="H408" s="14"/>
    </row>
    <row r="409" spans="3:8" x14ac:dyDescent="0.2">
      <c r="C409" s="14"/>
      <c r="D409" s="14"/>
      <c r="E409" s="12"/>
      <c r="F409" s="12"/>
      <c r="G409" s="12"/>
      <c r="H409" s="14"/>
    </row>
    <row r="410" spans="3:8" x14ac:dyDescent="0.2">
      <c r="C410" s="14"/>
      <c r="D410" s="14"/>
      <c r="E410" s="12"/>
      <c r="F410" s="12"/>
      <c r="G410" s="12"/>
      <c r="H410" s="14"/>
    </row>
    <row r="411" spans="3:8" x14ac:dyDescent="0.2">
      <c r="C411" s="14"/>
      <c r="D411" s="14"/>
      <c r="E411" s="12"/>
      <c r="F411" s="12"/>
      <c r="G411" s="12"/>
      <c r="H411" s="14"/>
    </row>
    <row r="412" spans="3:8" x14ac:dyDescent="0.2">
      <c r="C412" s="14"/>
      <c r="D412" s="14"/>
      <c r="E412" s="12"/>
      <c r="F412" s="12"/>
      <c r="G412" s="12"/>
      <c r="H412" s="14"/>
    </row>
    <row r="413" spans="3:8" x14ac:dyDescent="0.2">
      <c r="C413" s="14"/>
      <c r="D413" s="14"/>
      <c r="E413" s="12"/>
      <c r="F413" s="12"/>
      <c r="G413" s="12"/>
      <c r="H413" s="14"/>
    </row>
    <row r="414" spans="3:8" x14ac:dyDescent="0.2">
      <c r="C414" s="14"/>
      <c r="D414" s="14"/>
      <c r="E414" s="12"/>
      <c r="F414" s="12"/>
      <c r="G414" s="12"/>
      <c r="H414" s="14"/>
    </row>
    <row r="415" spans="3:8" x14ac:dyDescent="0.2">
      <c r="C415" s="14"/>
      <c r="D415" s="14"/>
      <c r="E415" s="12"/>
      <c r="F415" s="12"/>
      <c r="G415" s="12"/>
      <c r="H415" s="14"/>
    </row>
    <row r="416" spans="3:8" x14ac:dyDescent="0.2">
      <c r="C416" s="14"/>
      <c r="D416" s="14"/>
      <c r="E416" s="12"/>
      <c r="H416" s="14"/>
    </row>
    <row r="417" spans="3:8" x14ac:dyDescent="0.2">
      <c r="C417" s="14"/>
      <c r="D417" s="14"/>
      <c r="E417" s="12"/>
      <c r="H417" s="14"/>
    </row>
    <row r="418" spans="3:8" x14ac:dyDescent="0.2">
      <c r="C418" s="14"/>
      <c r="D418" s="14"/>
      <c r="E418" s="12"/>
      <c r="H418" s="14"/>
    </row>
    <row r="419" spans="3:8" x14ac:dyDescent="0.2">
      <c r="C419" s="14"/>
      <c r="D419" s="14"/>
      <c r="E419" s="12"/>
      <c r="H419" s="14"/>
    </row>
    <row r="420" spans="3:8" x14ac:dyDescent="0.2">
      <c r="C420" s="14"/>
      <c r="D420" s="14"/>
      <c r="E420" s="12"/>
      <c r="H420" s="14"/>
    </row>
    <row r="421" spans="3:8" x14ac:dyDescent="0.2">
      <c r="C421" s="14"/>
      <c r="D421" s="14"/>
      <c r="E421" s="12"/>
      <c r="H421" s="14"/>
    </row>
    <row r="422" spans="3:8" x14ac:dyDescent="0.2">
      <c r="C422" s="14"/>
      <c r="D422" s="14"/>
      <c r="E422" s="12"/>
      <c r="H422" s="14"/>
    </row>
    <row r="423" spans="3:8" x14ac:dyDescent="0.2">
      <c r="C423" s="14"/>
      <c r="D423" s="14"/>
      <c r="E423" s="12"/>
      <c r="H423" s="14"/>
    </row>
    <row r="424" spans="3:8" x14ac:dyDescent="0.2">
      <c r="C424" s="14"/>
      <c r="D424" s="14"/>
      <c r="E424" s="12"/>
      <c r="H424" s="14"/>
    </row>
    <row r="425" spans="3:8" x14ac:dyDescent="0.2">
      <c r="C425" s="14"/>
      <c r="D425" s="14"/>
      <c r="E425" s="12"/>
      <c r="H425" s="14"/>
    </row>
    <row r="426" spans="3:8" x14ac:dyDescent="0.2">
      <c r="C426" s="14"/>
      <c r="D426" s="14"/>
      <c r="E426" s="12"/>
      <c r="H426" s="14"/>
    </row>
    <row r="427" spans="3:8" x14ac:dyDescent="0.2">
      <c r="C427" s="14"/>
      <c r="D427" s="14"/>
      <c r="E427" s="12"/>
      <c r="H427" s="14"/>
    </row>
    <row r="428" spans="3:8" x14ac:dyDescent="0.2">
      <c r="C428" s="14"/>
      <c r="D428" s="14"/>
      <c r="E428" s="12"/>
      <c r="H428" s="14"/>
    </row>
    <row r="429" spans="3:8" x14ac:dyDescent="0.2">
      <c r="C429" s="14"/>
      <c r="D429" s="14"/>
      <c r="E429" s="12"/>
      <c r="H429" s="14"/>
    </row>
    <row r="430" spans="3:8" x14ac:dyDescent="0.2">
      <c r="C430" s="14"/>
      <c r="D430" s="14"/>
      <c r="E430" s="12"/>
      <c r="H430" s="14"/>
    </row>
    <row r="431" spans="3:8" x14ac:dyDescent="0.2">
      <c r="C431" s="14"/>
      <c r="D431" s="14"/>
      <c r="E431" s="12"/>
      <c r="H431" s="14"/>
    </row>
    <row r="432" spans="3:8" x14ac:dyDescent="0.2">
      <c r="C432" s="14"/>
      <c r="D432" s="14"/>
      <c r="E432" s="12"/>
      <c r="H432" s="14"/>
    </row>
    <row r="433" spans="3:8" x14ac:dyDescent="0.2">
      <c r="C433" s="14"/>
      <c r="D433" s="14"/>
      <c r="E433" s="12"/>
      <c r="H433" s="14"/>
    </row>
    <row r="434" spans="3:8" x14ac:dyDescent="0.2">
      <c r="C434" s="14"/>
      <c r="D434" s="14"/>
      <c r="E434" s="12"/>
      <c r="H434" s="14"/>
    </row>
    <row r="435" spans="3:8" x14ac:dyDescent="0.2">
      <c r="C435" s="14"/>
      <c r="D435" s="14"/>
      <c r="E435" s="12"/>
      <c r="H435" s="14"/>
    </row>
    <row r="436" spans="3:8" x14ac:dyDescent="0.2">
      <c r="C436" s="14"/>
      <c r="D436" s="14"/>
      <c r="E436" s="12"/>
      <c r="H436" s="14"/>
    </row>
    <row r="437" spans="3:8" x14ac:dyDescent="0.2">
      <c r="C437" s="14"/>
      <c r="D437" s="14"/>
      <c r="E437" s="12"/>
      <c r="H437" s="14"/>
    </row>
    <row r="438" spans="3:8" x14ac:dyDescent="0.2">
      <c r="C438" s="14"/>
      <c r="D438" s="14"/>
      <c r="E438" s="12"/>
      <c r="H438" s="14"/>
    </row>
    <row r="439" spans="3:8" x14ac:dyDescent="0.2">
      <c r="C439" s="14"/>
      <c r="D439" s="14"/>
      <c r="E439" s="12"/>
      <c r="H439" s="14"/>
    </row>
    <row r="440" spans="3:8" x14ac:dyDescent="0.2">
      <c r="C440" s="14"/>
      <c r="D440" s="14"/>
      <c r="E440" s="12"/>
      <c r="H440" s="14"/>
    </row>
    <row r="441" spans="3:8" x14ac:dyDescent="0.2">
      <c r="C441" s="14"/>
      <c r="D441" s="14"/>
      <c r="E441" s="12"/>
      <c r="H441" s="14"/>
    </row>
    <row r="442" spans="3:8" x14ac:dyDescent="0.2">
      <c r="C442" s="14"/>
      <c r="D442" s="14"/>
      <c r="E442" s="12"/>
      <c r="H442" s="14"/>
    </row>
    <row r="443" spans="3:8" x14ac:dyDescent="0.2">
      <c r="C443" s="14"/>
      <c r="D443" s="14"/>
      <c r="E443" s="12"/>
      <c r="H443" s="14"/>
    </row>
    <row r="444" spans="3:8" x14ac:dyDescent="0.2">
      <c r="C444" s="14"/>
      <c r="D444" s="14"/>
      <c r="E444" s="12"/>
      <c r="H444" s="14"/>
    </row>
    <row r="445" spans="3:8" x14ac:dyDescent="0.2">
      <c r="C445" s="14"/>
      <c r="D445" s="14"/>
      <c r="E445" s="12"/>
      <c r="H445" s="14"/>
    </row>
    <row r="446" spans="3:8" x14ac:dyDescent="0.2">
      <c r="C446" s="14"/>
      <c r="D446" s="14"/>
      <c r="E446" s="12"/>
      <c r="H446" s="14"/>
    </row>
    <row r="447" spans="3:8" x14ac:dyDescent="0.2">
      <c r="C447" s="14"/>
      <c r="D447" s="14"/>
      <c r="E447" s="12"/>
      <c r="H447" s="14"/>
    </row>
    <row r="448" spans="3:8" x14ac:dyDescent="0.2">
      <c r="C448" s="14"/>
      <c r="D448" s="14"/>
      <c r="E448" s="12"/>
      <c r="H448" s="14"/>
    </row>
    <row r="449" spans="3:8" x14ac:dyDescent="0.2">
      <c r="C449" s="14"/>
      <c r="D449" s="14"/>
      <c r="E449" s="12"/>
      <c r="H449" s="14"/>
    </row>
    <row r="450" spans="3:8" x14ac:dyDescent="0.2">
      <c r="C450" s="14"/>
      <c r="D450" s="14"/>
      <c r="E450" s="12"/>
      <c r="H450" s="14"/>
    </row>
    <row r="451" spans="3:8" x14ac:dyDescent="0.2">
      <c r="C451" s="14"/>
      <c r="D451" s="14"/>
      <c r="E451" s="12"/>
      <c r="H451" s="14"/>
    </row>
    <row r="452" spans="3:8" x14ac:dyDescent="0.2">
      <c r="C452" s="14"/>
      <c r="D452" s="14"/>
      <c r="E452" s="12"/>
      <c r="H452" s="14"/>
    </row>
    <row r="453" spans="3:8" x14ac:dyDescent="0.2">
      <c r="C453" s="14"/>
      <c r="D453" s="14"/>
      <c r="E453" s="12"/>
      <c r="H453" s="14"/>
    </row>
    <row r="454" spans="3:8" x14ac:dyDescent="0.2">
      <c r="C454" s="14"/>
      <c r="D454" s="14"/>
      <c r="E454" s="12"/>
      <c r="H454" s="14"/>
    </row>
    <row r="455" spans="3:8" x14ac:dyDescent="0.2">
      <c r="C455" s="14"/>
      <c r="D455" s="14"/>
      <c r="E455" s="12"/>
      <c r="H455" s="14"/>
    </row>
    <row r="456" spans="3:8" x14ac:dyDescent="0.2">
      <c r="C456" s="14"/>
      <c r="D456" s="14"/>
      <c r="E456" s="12"/>
      <c r="H456" s="14"/>
    </row>
    <row r="457" spans="3:8" x14ac:dyDescent="0.2">
      <c r="C457" s="14"/>
      <c r="D457" s="14"/>
      <c r="E457" s="12"/>
      <c r="H457" s="14"/>
    </row>
    <row r="458" spans="3:8" x14ac:dyDescent="0.2">
      <c r="C458" s="14"/>
      <c r="D458" s="14"/>
      <c r="E458" s="12"/>
      <c r="H458" s="14"/>
    </row>
    <row r="459" spans="3:8" x14ac:dyDescent="0.2">
      <c r="C459" s="14"/>
      <c r="D459" s="14"/>
      <c r="E459" s="12"/>
      <c r="H459" s="14"/>
    </row>
    <row r="460" spans="3:8" x14ac:dyDescent="0.2">
      <c r="C460" s="14"/>
      <c r="D460" s="14"/>
      <c r="E460" s="12"/>
      <c r="H460" s="14"/>
    </row>
    <row r="461" spans="3:8" x14ac:dyDescent="0.2">
      <c r="C461" s="14"/>
      <c r="D461" s="14"/>
      <c r="E461" s="12"/>
      <c r="H461" s="14"/>
    </row>
    <row r="462" spans="3:8" x14ac:dyDescent="0.2">
      <c r="C462" s="14"/>
      <c r="D462" s="14"/>
      <c r="E462" s="12"/>
      <c r="H462" s="14"/>
    </row>
    <row r="463" spans="3:8" x14ac:dyDescent="0.2">
      <c r="C463" s="14"/>
      <c r="D463" s="14"/>
      <c r="E463" s="12"/>
      <c r="H463" s="14"/>
    </row>
    <row r="464" spans="3:8" x14ac:dyDescent="0.2">
      <c r="C464" s="14"/>
      <c r="D464" s="14"/>
      <c r="E464" s="12"/>
      <c r="H464" s="14"/>
    </row>
    <row r="465" spans="3:8" x14ac:dyDescent="0.2">
      <c r="C465" s="14"/>
      <c r="D465" s="14"/>
      <c r="E465" s="12"/>
      <c r="H465" s="14"/>
    </row>
    <row r="466" spans="3:8" x14ac:dyDescent="0.2">
      <c r="C466" s="14"/>
      <c r="D466" s="14"/>
      <c r="E466" s="12"/>
      <c r="H466" s="14"/>
    </row>
    <row r="467" spans="3:8" x14ac:dyDescent="0.2">
      <c r="C467" s="14"/>
      <c r="D467" s="14"/>
      <c r="E467" s="12"/>
      <c r="H467" s="14"/>
    </row>
    <row r="468" spans="3:8" x14ac:dyDescent="0.2">
      <c r="C468" s="14"/>
      <c r="D468" s="14"/>
      <c r="E468" s="12"/>
      <c r="H468" s="14"/>
    </row>
    <row r="469" spans="3:8" x14ac:dyDescent="0.2">
      <c r="C469" s="14"/>
      <c r="D469" s="14"/>
      <c r="E469" s="12"/>
      <c r="H469" s="14"/>
    </row>
    <row r="470" spans="3:8" x14ac:dyDescent="0.2">
      <c r="C470" s="14"/>
      <c r="D470" s="14"/>
      <c r="E470" s="12"/>
      <c r="H470" s="14"/>
    </row>
    <row r="471" spans="3:8" x14ac:dyDescent="0.2">
      <c r="C471" s="14"/>
      <c r="D471" s="14"/>
      <c r="E471" s="12"/>
      <c r="H471" s="14"/>
    </row>
    <row r="472" spans="3:8" x14ac:dyDescent="0.2">
      <c r="C472" s="14"/>
      <c r="D472" s="14"/>
      <c r="E472" s="12"/>
      <c r="H472" s="14"/>
    </row>
    <row r="473" spans="3:8" x14ac:dyDescent="0.2">
      <c r="C473" s="14"/>
      <c r="D473" s="14"/>
      <c r="E473" s="12"/>
      <c r="H473" s="14"/>
    </row>
    <row r="474" spans="3:8" x14ac:dyDescent="0.2">
      <c r="C474" s="14"/>
      <c r="D474" s="14"/>
      <c r="E474" s="12"/>
      <c r="H474" s="15"/>
    </row>
    <row r="475" spans="3:8" x14ac:dyDescent="0.2">
      <c r="C475" s="14"/>
      <c r="D475" s="14"/>
      <c r="E475" s="12"/>
      <c r="H475" s="14"/>
    </row>
    <row r="476" spans="3:8" x14ac:dyDescent="0.2">
      <c r="C476" s="14"/>
      <c r="D476" s="14"/>
      <c r="E476" s="12"/>
      <c r="H476" s="14"/>
    </row>
    <row r="477" spans="3:8" x14ac:dyDescent="0.2">
      <c r="C477" s="14"/>
      <c r="D477" s="14"/>
      <c r="E477" s="12"/>
      <c r="H477" s="14"/>
    </row>
    <row r="478" spans="3:8" x14ac:dyDescent="0.2">
      <c r="C478" s="14"/>
      <c r="D478" s="14"/>
      <c r="E478" s="12"/>
      <c r="H478" s="14"/>
    </row>
    <row r="479" spans="3:8" x14ac:dyDescent="0.2">
      <c r="C479" s="14"/>
      <c r="D479" s="14"/>
      <c r="E479" s="12"/>
      <c r="H479" s="14"/>
    </row>
    <row r="480" spans="3:8" x14ac:dyDescent="0.2">
      <c r="C480" s="14"/>
      <c r="D480" s="14"/>
      <c r="E480" s="12"/>
      <c r="H480" s="14"/>
    </row>
    <row r="481" spans="3:8" x14ac:dyDescent="0.2">
      <c r="C481" s="14"/>
      <c r="D481" s="14"/>
      <c r="E481" s="12"/>
      <c r="H481" s="14"/>
    </row>
    <row r="482" spans="3:8" x14ac:dyDescent="0.2">
      <c r="C482" s="14"/>
      <c r="D482" s="14"/>
      <c r="E482" s="12"/>
      <c r="H482" s="14"/>
    </row>
    <row r="483" spans="3:8" x14ac:dyDescent="0.2">
      <c r="C483" s="14"/>
      <c r="D483" s="14"/>
      <c r="E483" s="12"/>
      <c r="H483" s="14"/>
    </row>
    <row r="484" spans="3:8" x14ac:dyDescent="0.2">
      <c r="C484" s="14"/>
      <c r="D484" s="14"/>
      <c r="E484" s="12"/>
      <c r="H484" s="14"/>
    </row>
    <row r="485" spans="3:8" x14ac:dyDescent="0.2">
      <c r="C485" s="14"/>
      <c r="D485" s="14"/>
      <c r="E485" s="12"/>
      <c r="H485" s="14"/>
    </row>
    <row r="486" spans="3:8" x14ac:dyDescent="0.2">
      <c r="C486" s="14"/>
      <c r="D486" s="14"/>
      <c r="E486" s="12"/>
      <c r="H486" s="14"/>
    </row>
    <row r="487" spans="3:8" x14ac:dyDescent="0.2">
      <c r="C487" s="14"/>
      <c r="D487" s="14"/>
      <c r="E487" s="12"/>
      <c r="H487" s="14"/>
    </row>
    <row r="488" spans="3:8" x14ac:dyDescent="0.2">
      <c r="C488" s="14"/>
      <c r="D488" s="14"/>
      <c r="E488" s="12"/>
      <c r="H488" s="14"/>
    </row>
    <row r="489" spans="3:8" x14ac:dyDescent="0.2">
      <c r="C489" s="14"/>
      <c r="D489" s="14"/>
      <c r="E489" s="12"/>
      <c r="H489" s="14"/>
    </row>
    <row r="490" spans="3:8" x14ac:dyDescent="0.2">
      <c r="C490" s="14"/>
      <c r="D490" s="14"/>
      <c r="E490" s="12"/>
      <c r="H490" s="14"/>
    </row>
    <row r="491" spans="3:8" x14ac:dyDescent="0.2">
      <c r="C491" s="14"/>
      <c r="D491" s="14"/>
      <c r="E491" s="12"/>
      <c r="H491" s="14"/>
    </row>
    <row r="492" spans="3:8" x14ac:dyDescent="0.2">
      <c r="C492" s="14"/>
      <c r="D492" s="14"/>
      <c r="E492" s="12"/>
      <c r="H492" s="14"/>
    </row>
    <row r="493" spans="3:8" x14ac:dyDescent="0.2">
      <c r="C493" s="14"/>
      <c r="D493" s="14"/>
      <c r="E493" s="12"/>
      <c r="H493" s="14"/>
    </row>
    <row r="494" spans="3:8" x14ac:dyDescent="0.2">
      <c r="C494" s="14"/>
      <c r="D494" s="14"/>
      <c r="E494" s="12"/>
      <c r="H494" s="14"/>
    </row>
    <row r="495" spans="3:8" x14ac:dyDescent="0.2">
      <c r="C495" s="14"/>
      <c r="D495" s="14"/>
      <c r="E495" s="12"/>
      <c r="H495" s="14"/>
    </row>
    <row r="496" spans="3:8" x14ac:dyDescent="0.2">
      <c r="C496" s="14"/>
      <c r="D496" s="14"/>
      <c r="E496" s="12"/>
      <c r="H496" s="14"/>
    </row>
    <row r="497" spans="3:8" x14ac:dyDescent="0.2">
      <c r="C497" s="14"/>
      <c r="D497" s="14"/>
      <c r="E497" s="12"/>
      <c r="H497" s="14"/>
    </row>
    <row r="498" spans="3:8" x14ac:dyDescent="0.2">
      <c r="C498" s="14"/>
      <c r="D498" s="14"/>
      <c r="E498" s="12"/>
      <c r="H498" s="14"/>
    </row>
    <row r="499" spans="3:8" x14ac:dyDescent="0.2">
      <c r="C499" s="14"/>
      <c r="D499" s="14"/>
      <c r="E499" s="12"/>
      <c r="H499" s="14"/>
    </row>
    <row r="500" spans="3:8" x14ac:dyDescent="0.2">
      <c r="C500" s="14"/>
      <c r="D500" s="14"/>
      <c r="E500" s="12"/>
      <c r="H500" s="14"/>
    </row>
    <row r="501" spans="3:8" x14ac:dyDescent="0.2">
      <c r="C501" s="14"/>
      <c r="D501" s="14"/>
      <c r="E501" s="12"/>
      <c r="H501" s="14"/>
    </row>
    <row r="502" spans="3:8" x14ac:dyDescent="0.2">
      <c r="C502" s="14"/>
      <c r="D502" s="14"/>
      <c r="E502" s="12"/>
      <c r="H502" s="14"/>
    </row>
    <row r="503" spans="3:8" x14ac:dyDescent="0.2">
      <c r="C503" s="14"/>
      <c r="D503" s="14"/>
      <c r="E503" s="12"/>
      <c r="H503" s="14"/>
    </row>
    <row r="504" spans="3:8" x14ac:dyDescent="0.2">
      <c r="C504" s="14"/>
      <c r="D504" s="14"/>
      <c r="E504" s="12"/>
      <c r="H504" s="14"/>
    </row>
    <row r="505" spans="3:8" x14ac:dyDescent="0.2">
      <c r="C505" s="14"/>
      <c r="D505" s="14"/>
      <c r="E505" s="12"/>
      <c r="H505" s="14"/>
    </row>
    <row r="506" spans="3:8" x14ac:dyDescent="0.2">
      <c r="C506" s="14"/>
      <c r="D506" s="14"/>
      <c r="E506" s="12"/>
      <c r="H506" s="14"/>
    </row>
    <row r="507" spans="3:8" x14ac:dyDescent="0.2">
      <c r="C507" s="14"/>
      <c r="D507" s="14"/>
      <c r="E507" s="12"/>
      <c r="H507" s="14"/>
    </row>
    <row r="508" spans="3:8" x14ac:dyDescent="0.2">
      <c r="C508" s="14"/>
      <c r="D508" s="14"/>
      <c r="E508" s="12"/>
      <c r="H508" s="14"/>
    </row>
    <row r="509" spans="3:8" x14ac:dyDescent="0.2">
      <c r="C509" s="14"/>
      <c r="D509" s="14"/>
      <c r="E509" s="12"/>
      <c r="H509" s="14"/>
    </row>
    <row r="510" spans="3:8" x14ac:dyDescent="0.2">
      <c r="C510" s="14"/>
      <c r="D510" s="14"/>
      <c r="E510" s="12"/>
      <c r="H510" s="14"/>
    </row>
    <row r="511" spans="3:8" x14ac:dyDescent="0.2">
      <c r="C511" s="14"/>
      <c r="D511" s="14"/>
      <c r="E511" s="12"/>
      <c r="H511" s="14"/>
    </row>
    <row r="512" spans="3:8" x14ac:dyDescent="0.2">
      <c r="C512" s="14"/>
      <c r="D512" s="14"/>
      <c r="E512" s="12"/>
      <c r="H512" s="14"/>
    </row>
    <row r="513" spans="3:8" x14ac:dyDescent="0.2">
      <c r="C513" s="14"/>
      <c r="D513" s="14"/>
      <c r="E513" s="12"/>
      <c r="H513" s="14"/>
    </row>
    <row r="514" spans="3:8" x14ac:dyDescent="0.2">
      <c r="C514" s="14"/>
      <c r="D514" s="14"/>
      <c r="E514" s="12"/>
      <c r="H514" s="14"/>
    </row>
    <row r="515" spans="3:8" x14ac:dyDescent="0.2">
      <c r="C515" s="14"/>
      <c r="D515" s="14"/>
      <c r="E515" s="12"/>
      <c r="H515" s="14"/>
    </row>
    <row r="516" spans="3:8" x14ac:dyDescent="0.2">
      <c r="C516" s="14"/>
      <c r="D516" s="14"/>
      <c r="E516" s="12"/>
      <c r="H516" s="14"/>
    </row>
    <row r="517" spans="3:8" x14ac:dyDescent="0.2">
      <c r="C517" s="14"/>
      <c r="D517" s="14"/>
      <c r="E517" s="12"/>
      <c r="H517" s="14"/>
    </row>
    <row r="518" spans="3:8" x14ac:dyDescent="0.2">
      <c r="C518" s="14"/>
      <c r="D518" s="14"/>
      <c r="E518" s="12"/>
      <c r="H518" s="14"/>
    </row>
    <row r="519" spans="3:8" x14ac:dyDescent="0.2">
      <c r="C519" s="14"/>
      <c r="D519" s="14"/>
      <c r="E519" s="12"/>
      <c r="H519" s="14"/>
    </row>
    <row r="520" spans="3:8" x14ac:dyDescent="0.2">
      <c r="C520" s="14"/>
      <c r="D520" s="14"/>
      <c r="E520" s="12"/>
      <c r="H520" s="14"/>
    </row>
    <row r="521" spans="3:8" x14ac:dyDescent="0.2">
      <c r="C521" s="14"/>
      <c r="D521" s="14"/>
      <c r="E521" s="12"/>
      <c r="H521" s="14"/>
    </row>
    <row r="522" spans="3:8" x14ac:dyDescent="0.2">
      <c r="C522" s="14"/>
      <c r="D522" s="14"/>
      <c r="E522" s="12"/>
      <c r="H522" s="14"/>
    </row>
    <row r="523" spans="3:8" x14ac:dyDescent="0.2">
      <c r="C523" s="14"/>
      <c r="D523" s="14"/>
      <c r="E523" s="12"/>
      <c r="H523" s="14"/>
    </row>
    <row r="524" spans="3:8" x14ac:dyDescent="0.2">
      <c r="C524" s="14"/>
      <c r="D524" s="14"/>
      <c r="E524" s="12"/>
      <c r="H524" s="14"/>
    </row>
    <row r="525" spans="3:8" x14ac:dyDescent="0.2">
      <c r="C525" s="14"/>
      <c r="D525" s="14"/>
      <c r="E525" s="12"/>
      <c r="H525" s="14"/>
    </row>
    <row r="526" spans="3:8" x14ac:dyDescent="0.2">
      <c r="C526" s="14"/>
      <c r="D526" s="14"/>
      <c r="E526" s="12"/>
      <c r="H526" s="14"/>
    </row>
    <row r="527" spans="3:8" x14ac:dyDescent="0.2">
      <c r="C527" s="14"/>
      <c r="D527" s="14"/>
      <c r="E527" s="12"/>
      <c r="H527" s="14"/>
    </row>
    <row r="528" spans="3:8" x14ac:dyDescent="0.2">
      <c r="C528" s="14"/>
      <c r="D528" s="14"/>
      <c r="E528" s="12"/>
      <c r="H528" s="14"/>
    </row>
    <row r="529" spans="3:8" x14ac:dyDescent="0.2">
      <c r="C529" s="14"/>
      <c r="D529" s="14"/>
      <c r="E529" s="12"/>
      <c r="H529" s="14"/>
    </row>
    <row r="530" spans="3:8" x14ac:dyDescent="0.2">
      <c r="C530" s="14"/>
      <c r="D530" s="14"/>
      <c r="E530" s="12"/>
      <c r="H530" s="14"/>
    </row>
    <row r="531" spans="3:8" x14ac:dyDescent="0.2">
      <c r="C531" s="14"/>
      <c r="D531" s="14"/>
      <c r="E531" s="12"/>
      <c r="H531" s="14"/>
    </row>
    <row r="532" spans="3:8" x14ac:dyDescent="0.2">
      <c r="C532" s="14"/>
      <c r="D532" s="14"/>
      <c r="E532" s="12"/>
      <c r="H532" s="14"/>
    </row>
    <row r="533" spans="3:8" x14ac:dyDescent="0.2">
      <c r="C533" s="14"/>
      <c r="D533" s="14"/>
      <c r="E533" s="12"/>
      <c r="H533" s="14"/>
    </row>
    <row r="534" spans="3:8" x14ac:dyDescent="0.2">
      <c r="C534" s="14"/>
      <c r="D534" s="14"/>
      <c r="E534" s="12"/>
      <c r="H534" s="14"/>
    </row>
    <row r="535" spans="3:8" x14ac:dyDescent="0.2">
      <c r="C535" s="14"/>
      <c r="D535" s="14"/>
      <c r="E535" s="12"/>
      <c r="H535" s="14"/>
    </row>
    <row r="536" spans="3:8" x14ac:dyDescent="0.2">
      <c r="C536" s="14"/>
      <c r="D536" s="14"/>
      <c r="E536" s="12"/>
      <c r="H536" s="14"/>
    </row>
    <row r="537" spans="3:8" x14ac:dyDescent="0.2">
      <c r="C537" s="14"/>
      <c r="D537" s="14"/>
      <c r="E537" s="12"/>
      <c r="H537" s="14"/>
    </row>
    <row r="538" spans="3:8" x14ac:dyDescent="0.2">
      <c r="C538" s="14"/>
      <c r="D538" s="14"/>
      <c r="E538" s="12"/>
      <c r="H538" s="14"/>
    </row>
    <row r="539" spans="3:8" x14ac:dyDescent="0.2">
      <c r="C539" s="14"/>
      <c r="D539" s="14"/>
      <c r="E539" s="12"/>
      <c r="H539" s="14"/>
    </row>
    <row r="540" spans="3:8" x14ac:dyDescent="0.2">
      <c r="C540" s="14"/>
      <c r="D540" s="14"/>
      <c r="E540" s="12"/>
      <c r="H540" s="14"/>
    </row>
    <row r="541" spans="3:8" x14ac:dyDescent="0.2">
      <c r="C541" s="14"/>
      <c r="D541" s="14"/>
      <c r="E541" s="12"/>
      <c r="H541" s="14"/>
    </row>
    <row r="542" spans="3:8" x14ac:dyDescent="0.2">
      <c r="C542" s="14"/>
      <c r="D542" s="14"/>
      <c r="E542" s="12"/>
      <c r="H542" s="14"/>
    </row>
    <row r="543" spans="3:8" x14ac:dyDescent="0.2">
      <c r="C543" s="14"/>
      <c r="D543" s="14"/>
      <c r="E543" s="12"/>
      <c r="H543" s="14"/>
    </row>
    <row r="544" spans="3:8" x14ac:dyDescent="0.2">
      <c r="C544" s="14"/>
      <c r="D544" s="14"/>
      <c r="E544" s="12"/>
      <c r="H544" s="14"/>
    </row>
    <row r="545" spans="3:8" x14ac:dyDescent="0.2">
      <c r="C545" s="14"/>
      <c r="D545" s="14"/>
      <c r="E545" s="12"/>
      <c r="H545" s="14"/>
    </row>
    <row r="546" spans="3:8" x14ac:dyDescent="0.2">
      <c r="C546" s="14"/>
      <c r="D546" s="14"/>
      <c r="E546" s="12"/>
      <c r="H546" s="14"/>
    </row>
    <row r="547" spans="3:8" x14ac:dyDescent="0.2">
      <c r="C547" s="14"/>
      <c r="D547" s="14"/>
      <c r="E547" s="12"/>
      <c r="H547" s="14"/>
    </row>
    <row r="548" spans="3:8" x14ac:dyDescent="0.2">
      <c r="C548" s="14"/>
      <c r="D548" s="14"/>
      <c r="E548" s="12"/>
      <c r="H548" s="14"/>
    </row>
    <row r="549" spans="3:8" x14ac:dyDescent="0.2">
      <c r="C549" s="14"/>
      <c r="D549" s="14"/>
      <c r="E549" s="12"/>
      <c r="H549" s="14"/>
    </row>
    <row r="550" spans="3:8" x14ac:dyDescent="0.2">
      <c r="C550" s="14"/>
      <c r="D550" s="14"/>
      <c r="E550" s="12"/>
      <c r="H550" s="14"/>
    </row>
    <row r="551" spans="3:8" x14ac:dyDescent="0.2">
      <c r="C551" s="14"/>
      <c r="D551" s="14"/>
      <c r="E551" s="12"/>
      <c r="H551" s="14"/>
    </row>
    <row r="552" spans="3:8" x14ac:dyDescent="0.2">
      <c r="C552" s="14"/>
      <c r="D552" s="14"/>
      <c r="E552" s="12"/>
      <c r="H552" s="14"/>
    </row>
    <row r="553" spans="3:8" x14ac:dyDescent="0.2">
      <c r="C553" s="14"/>
      <c r="D553" s="14"/>
      <c r="E553" s="12"/>
      <c r="H553" s="14"/>
    </row>
    <row r="554" spans="3:8" x14ac:dyDescent="0.2">
      <c r="C554" s="14"/>
      <c r="D554" s="14"/>
      <c r="E554" s="12"/>
      <c r="H554" s="14"/>
    </row>
    <row r="555" spans="3:8" x14ac:dyDescent="0.2">
      <c r="C555" s="14"/>
      <c r="D555" s="14"/>
      <c r="E555" s="12"/>
      <c r="H555" s="14"/>
    </row>
    <row r="556" spans="3:8" x14ac:dyDescent="0.2">
      <c r="C556" s="14"/>
      <c r="D556" s="14"/>
      <c r="E556" s="12"/>
      <c r="H556" s="14"/>
    </row>
    <row r="557" spans="3:8" x14ac:dyDescent="0.2">
      <c r="C557" s="14"/>
      <c r="D557" s="14"/>
      <c r="E557" s="12"/>
      <c r="H557" s="14"/>
    </row>
    <row r="558" spans="3:8" x14ac:dyDescent="0.2">
      <c r="C558" s="14"/>
      <c r="D558" s="14"/>
      <c r="E558" s="12"/>
      <c r="H558" s="14"/>
    </row>
    <row r="559" spans="3:8" x14ac:dyDescent="0.2">
      <c r="C559" s="14"/>
      <c r="D559" s="14"/>
      <c r="E559" s="12"/>
      <c r="H559" s="14"/>
    </row>
    <row r="560" spans="3:8" x14ac:dyDescent="0.2">
      <c r="C560" s="14"/>
      <c r="D560" s="14"/>
      <c r="E560" s="12"/>
      <c r="H560" s="14"/>
    </row>
    <row r="561" spans="3:8" x14ac:dyDescent="0.2">
      <c r="C561" s="14"/>
      <c r="D561" s="14"/>
      <c r="E561" s="12"/>
      <c r="H561" s="14"/>
    </row>
    <row r="562" spans="3:8" x14ac:dyDescent="0.2">
      <c r="C562" s="14"/>
      <c r="D562" s="14"/>
      <c r="E562" s="12"/>
      <c r="H562" s="14"/>
    </row>
    <row r="563" spans="3:8" x14ac:dyDescent="0.2">
      <c r="C563" s="14"/>
      <c r="D563" s="14"/>
      <c r="E563" s="12"/>
      <c r="H563" s="14"/>
    </row>
    <row r="564" spans="3:8" x14ac:dyDescent="0.2">
      <c r="C564" s="14"/>
      <c r="D564" s="14"/>
      <c r="E564" s="12"/>
      <c r="H564" s="14"/>
    </row>
    <row r="565" spans="3:8" x14ac:dyDescent="0.2">
      <c r="C565" s="14"/>
      <c r="D565" s="14"/>
      <c r="E565" s="12"/>
      <c r="H565" s="14"/>
    </row>
    <row r="566" spans="3:8" x14ac:dyDescent="0.2">
      <c r="C566" s="14"/>
      <c r="D566" s="14"/>
      <c r="E566" s="12"/>
      <c r="H566" s="14"/>
    </row>
    <row r="567" spans="3:8" x14ac:dyDescent="0.2">
      <c r="C567" s="14"/>
      <c r="D567" s="14"/>
      <c r="E567" s="12"/>
      <c r="H567" s="14"/>
    </row>
    <row r="568" spans="3:8" x14ac:dyDescent="0.2">
      <c r="C568" s="14"/>
      <c r="D568" s="14"/>
      <c r="E568" s="12"/>
      <c r="H568" s="14"/>
    </row>
    <row r="569" spans="3:8" x14ac:dyDescent="0.2">
      <c r="C569" s="14"/>
      <c r="D569" s="14"/>
      <c r="E569" s="12"/>
      <c r="H569" s="14"/>
    </row>
    <row r="570" spans="3:8" x14ac:dyDescent="0.2">
      <c r="C570" s="14"/>
      <c r="D570" s="14"/>
      <c r="E570" s="12"/>
      <c r="H570" s="14"/>
    </row>
    <row r="571" spans="3:8" x14ac:dyDescent="0.2">
      <c r="C571" s="14"/>
      <c r="D571" s="14"/>
      <c r="E571" s="12"/>
      <c r="H571" s="14"/>
    </row>
    <row r="572" spans="3:8" x14ac:dyDescent="0.2">
      <c r="C572" s="14"/>
      <c r="D572" s="14"/>
      <c r="E572" s="12"/>
      <c r="H572" s="14"/>
    </row>
    <row r="573" spans="3:8" x14ac:dyDescent="0.2">
      <c r="C573" s="14"/>
      <c r="D573" s="14"/>
      <c r="E573" s="12"/>
      <c r="H573" s="14"/>
    </row>
    <row r="574" spans="3:8" x14ac:dyDescent="0.2">
      <c r="C574" s="14"/>
      <c r="D574" s="14"/>
      <c r="E574" s="12"/>
      <c r="H574" s="14"/>
    </row>
    <row r="575" spans="3:8" x14ac:dyDescent="0.2">
      <c r="C575" s="14"/>
      <c r="D575" s="14"/>
      <c r="E575" s="12"/>
      <c r="H575" s="14"/>
    </row>
    <row r="576" spans="3:8" x14ac:dyDescent="0.2">
      <c r="C576" s="14"/>
      <c r="D576" s="14"/>
      <c r="E576" s="12"/>
      <c r="H576" s="14"/>
    </row>
    <row r="577" spans="3:8" x14ac:dyDescent="0.2">
      <c r="C577" s="14"/>
      <c r="D577" s="14"/>
      <c r="E577" s="12"/>
      <c r="H577" s="14"/>
    </row>
    <row r="578" spans="3:8" x14ac:dyDescent="0.2">
      <c r="C578" s="14"/>
      <c r="D578" s="14"/>
      <c r="E578" s="12"/>
      <c r="H578" s="14"/>
    </row>
    <row r="579" spans="3:8" x14ac:dyDescent="0.2">
      <c r="C579" s="14"/>
      <c r="D579" s="14"/>
      <c r="E579" s="12"/>
      <c r="H579" s="14"/>
    </row>
    <row r="580" spans="3:8" x14ac:dyDescent="0.2">
      <c r="C580" s="14"/>
      <c r="D580" s="14"/>
      <c r="E580" s="12"/>
      <c r="H580" s="14"/>
    </row>
    <row r="581" spans="3:8" x14ac:dyDescent="0.2">
      <c r="C581" s="14"/>
      <c r="D581" s="14"/>
      <c r="E581" s="12"/>
      <c r="H581" s="14"/>
    </row>
    <row r="582" spans="3:8" x14ac:dyDescent="0.2">
      <c r="C582" s="14"/>
      <c r="D582" s="14"/>
      <c r="E582" s="12"/>
      <c r="H582" s="14"/>
    </row>
    <row r="583" spans="3:8" x14ac:dyDescent="0.2">
      <c r="C583" s="14"/>
      <c r="D583" s="14"/>
      <c r="E583" s="12"/>
      <c r="H583" s="14"/>
    </row>
    <row r="584" spans="3:8" x14ac:dyDescent="0.2">
      <c r="C584" s="14"/>
      <c r="D584" s="14"/>
      <c r="E584" s="12"/>
      <c r="H584" s="14"/>
    </row>
    <row r="585" spans="3:8" x14ac:dyDescent="0.2">
      <c r="C585" s="14"/>
      <c r="D585" s="14"/>
      <c r="E585" s="12"/>
      <c r="H585" s="14"/>
    </row>
    <row r="586" spans="3:8" x14ac:dyDescent="0.2">
      <c r="C586" s="14"/>
      <c r="D586" s="14"/>
      <c r="E586" s="12"/>
      <c r="H586" s="14"/>
    </row>
    <row r="587" spans="3:8" x14ac:dyDescent="0.2">
      <c r="C587" s="14"/>
      <c r="D587" s="14"/>
      <c r="E587" s="12"/>
      <c r="H587" s="14"/>
    </row>
    <row r="588" spans="3:8" x14ac:dyDescent="0.2">
      <c r="C588" s="14"/>
      <c r="D588" s="14"/>
      <c r="E588" s="12"/>
      <c r="H588" s="14"/>
    </row>
    <row r="589" spans="3:8" x14ac:dyDescent="0.2">
      <c r="C589" s="14"/>
      <c r="D589" s="14"/>
      <c r="E589" s="12"/>
      <c r="H589" s="14"/>
    </row>
    <row r="590" spans="3:8" x14ac:dyDescent="0.2">
      <c r="C590" s="14"/>
      <c r="D590" s="14"/>
      <c r="E590" s="12"/>
      <c r="H590" s="14"/>
    </row>
    <row r="591" spans="3:8" x14ac:dyDescent="0.2">
      <c r="C591" s="14"/>
      <c r="D591" s="14"/>
      <c r="E591" s="12"/>
      <c r="H591" s="14"/>
    </row>
    <row r="592" spans="3:8" x14ac:dyDescent="0.2">
      <c r="C592" s="14"/>
      <c r="D592" s="14"/>
      <c r="E592" s="12"/>
      <c r="H592" s="14"/>
    </row>
    <row r="593" spans="3:8" x14ac:dyDescent="0.2">
      <c r="C593" s="14"/>
      <c r="D593" s="14"/>
      <c r="E593" s="12"/>
      <c r="H593" s="14"/>
    </row>
    <row r="594" spans="3:8" x14ac:dyDescent="0.2">
      <c r="C594" s="14"/>
      <c r="D594" s="14"/>
      <c r="E594" s="12"/>
      <c r="H594" s="14"/>
    </row>
    <row r="595" spans="3:8" x14ac:dyDescent="0.2">
      <c r="C595" s="14"/>
      <c r="D595" s="14"/>
      <c r="E595" s="12"/>
      <c r="H595" s="14"/>
    </row>
    <row r="596" spans="3:8" x14ac:dyDescent="0.2">
      <c r="C596" s="14"/>
      <c r="D596" s="14"/>
      <c r="E596" s="12"/>
      <c r="H596" s="14"/>
    </row>
    <row r="597" spans="3:8" x14ac:dyDescent="0.2">
      <c r="C597" s="14"/>
      <c r="D597" s="14"/>
      <c r="E597" s="12"/>
      <c r="H597" s="14"/>
    </row>
    <row r="598" spans="3:8" x14ac:dyDescent="0.2">
      <c r="C598" s="14"/>
      <c r="D598" s="14"/>
      <c r="E598" s="12"/>
      <c r="H598" s="14"/>
    </row>
    <row r="599" spans="3:8" x14ac:dyDescent="0.2">
      <c r="C599" s="14"/>
      <c r="D599" s="14"/>
      <c r="E599" s="12"/>
      <c r="H599" s="14"/>
    </row>
    <row r="600" spans="3:8" x14ac:dyDescent="0.2">
      <c r="C600" s="14"/>
      <c r="D600" s="14"/>
      <c r="E600" s="12"/>
      <c r="H600" s="14"/>
    </row>
    <row r="601" spans="3:8" x14ac:dyDescent="0.2">
      <c r="C601" s="14"/>
      <c r="D601" s="14"/>
      <c r="E601" s="12"/>
      <c r="H601" s="14"/>
    </row>
    <row r="602" spans="3:8" x14ac:dyDescent="0.2">
      <c r="C602" s="14"/>
      <c r="D602" s="14"/>
      <c r="E602" s="12"/>
      <c r="H602" s="14"/>
    </row>
    <row r="603" spans="3:8" x14ac:dyDescent="0.2">
      <c r="C603" s="14"/>
      <c r="D603" s="14"/>
      <c r="E603" s="12"/>
      <c r="H603" s="14"/>
    </row>
    <row r="604" spans="3:8" x14ac:dyDescent="0.2">
      <c r="C604" s="14"/>
      <c r="D604" s="14"/>
      <c r="E604" s="12"/>
      <c r="H604" s="14"/>
    </row>
    <row r="605" spans="3:8" x14ac:dyDescent="0.2">
      <c r="C605" s="14"/>
      <c r="D605" s="14"/>
      <c r="E605" s="12"/>
      <c r="H605" s="14"/>
    </row>
    <row r="606" spans="3:8" x14ac:dyDescent="0.2">
      <c r="C606" s="14"/>
      <c r="D606" s="14"/>
      <c r="E606" s="12"/>
      <c r="H606" s="14"/>
    </row>
    <row r="607" spans="3:8" x14ac:dyDescent="0.2">
      <c r="C607" s="14"/>
      <c r="D607" s="14"/>
      <c r="E607" s="12"/>
      <c r="H607" s="14"/>
    </row>
    <row r="608" spans="3:8" x14ac:dyDescent="0.2">
      <c r="C608" s="14"/>
      <c r="D608" s="14"/>
      <c r="E608" s="12"/>
      <c r="H608" s="14"/>
    </row>
    <row r="609" spans="3:8" x14ac:dyDescent="0.2">
      <c r="C609" s="14"/>
      <c r="D609" s="14"/>
      <c r="E609" s="12"/>
      <c r="H609" s="14"/>
    </row>
    <row r="610" spans="3:8" x14ac:dyDescent="0.2">
      <c r="C610" s="14"/>
      <c r="D610" s="14"/>
      <c r="E610" s="12"/>
      <c r="H610" s="14"/>
    </row>
    <row r="611" spans="3:8" x14ac:dyDescent="0.2">
      <c r="C611" s="14"/>
      <c r="D611" s="14"/>
      <c r="E611" s="12"/>
      <c r="H611" s="14"/>
    </row>
    <row r="612" spans="3:8" x14ac:dyDescent="0.2">
      <c r="C612" s="14"/>
      <c r="D612" s="14"/>
      <c r="E612" s="12"/>
      <c r="H612" s="14"/>
    </row>
    <row r="613" spans="3:8" x14ac:dyDescent="0.2">
      <c r="C613" s="14"/>
      <c r="D613" s="14"/>
      <c r="E613" s="12"/>
      <c r="H613" s="14"/>
    </row>
    <row r="614" spans="3:8" x14ac:dyDescent="0.2">
      <c r="C614" s="14"/>
      <c r="D614" s="14"/>
      <c r="E614" s="12"/>
      <c r="H614" s="14"/>
    </row>
    <row r="615" spans="3:8" x14ac:dyDescent="0.2">
      <c r="C615" s="14"/>
      <c r="D615" s="14"/>
      <c r="E615" s="12"/>
      <c r="H615" s="14"/>
    </row>
    <row r="616" spans="3:8" x14ac:dyDescent="0.2">
      <c r="C616" s="14"/>
      <c r="D616" s="14"/>
      <c r="E616" s="12"/>
      <c r="H616" s="14"/>
    </row>
    <row r="617" spans="3:8" x14ac:dyDescent="0.2">
      <c r="C617" s="14"/>
      <c r="D617" s="14"/>
      <c r="E617" s="12"/>
      <c r="H617" s="14"/>
    </row>
    <row r="618" spans="3:8" x14ac:dyDescent="0.2">
      <c r="C618" s="14"/>
      <c r="D618" s="14"/>
      <c r="E618" s="12"/>
      <c r="H618" s="14"/>
    </row>
    <row r="619" spans="3:8" x14ac:dyDescent="0.2">
      <c r="C619" s="14"/>
      <c r="D619" s="14"/>
      <c r="E619" s="12"/>
      <c r="H619" s="14"/>
    </row>
    <row r="620" spans="3:8" x14ac:dyDescent="0.2">
      <c r="C620" s="14"/>
      <c r="D620" s="14"/>
      <c r="E620" s="12"/>
      <c r="H620" s="14"/>
    </row>
    <row r="621" spans="3:8" x14ac:dyDescent="0.2">
      <c r="C621" s="14"/>
      <c r="D621" s="14"/>
      <c r="E621" s="12"/>
      <c r="H621" s="14"/>
    </row>
    <row r="622" spans="3:8" x14ac:dyDescent="0.2">
      <c r="C622" s="14"/>
      <c r="D622" s="14"/>
      <c r="E622" s="12"/>
      <c r="H622" s="14"/>
    </row>
    <row r="623" spans="3:8" x14ac:dyDescent="0.2">
      <c r="C623" s="14"/>
      <c r="D623" s="14"/>
      <c r="E623" s="12"/>
      <c r="H623" s="14"/>
    </row>
    <row r="624" spans="3:8" x14ac:dyDescent="0.2">
      <c r="C624" s="14"/>
      <c r="D624" s="14"/>
      <c r="E624" s="12"/>
      <c r="H624" s="14"/>
    </row>
    <row r="625" spans="3:8" x14ac:dyDescent="0.2">
      <c r="C625" s="14"/>
      <c r="D625" s="14"/>
      <c r="E625" s="12"/>
      <c r="H625" s="14"/>
    </row>
    <row r="626" spans="3:8" x14ac:dyDescent="0.2">
      <c r="C626" s="14"/>
      <c r="D626" s="14"/>
      <c r="E626" s="12"/>
      <c r="H626" s="14"/>
    </row>
    <row r="627" spans="3:8" x14ac:dyDescent="0.2">
      <c r="C627" s="14"/>
      <c r="D627" s="14"/>
      <c r="E627" s="12"/>
      <c r="H627" s="14"/>
    </row>
    <row r="628" spans="3:8" x14ac:dyDescent="0.2">
      <c r="C628" s="14"/>
      <c r="D628" s="14"/>
      <c r="E628" s="12"/>
      <c r="H628" s="14"/>
    </row>
    <row r="629" spans="3:8" x14ac:dyDescent="0.2">
      <c r="C629" s="14"/>
      <c r="D629" s="14"/>
      <c r="E629" s="12"/>
      <c r="H629" s="14"/>
    </row>
    <row r="630" spans="3:8" x14ac:dyDescent="0.2">
      <c r="C630" s="14"/>
      <c r="D630" s="14"/>
      <c r="E630" s="12"/>
      <c r="H630" s="14"/>
    </row>
    <row r="631" spans="3:8" x14ac:dyDescent="0.2">
      <c r="C631" s="14"/>
      <c r="D631" s="14"/>
      <c r="E631" s="12"/>
      <c r="H631" s="14"/>
    </row>
    <row r="632" spans="3:8" x14ac:dyDescent="0.2">
      <c r="C632" s="14"/>
      <c r="D632" s="14"/>
      <c r="E632" s="12"/>
      <c r="H632" s="14"/>
    </row>
    <row r="633" spans="3:8" x14ac:dyDescent="0.2">
      <c r="C633" s="14"/>
      <c r="D633" s="14"/>
      <c r="E633" s="12"/>
      <c r="H633" s="14"/>
    </row>
    <row r="634" spans="3:8" x14ac:dyDescent="0.2">
      <c r="C634" s="14"/>
      <c r="D634" s="14"/>
      <c r="E634" s="12"/>
      <c r="H634" s="14"/>
    </row>
    <row r="635" spans="3:8" x14ac:dyDescent="0.2">
      <c r="C635" s="14"/>
      <c r="D635" s="14"/>
      <c r="E635" s="12"/>
      <c r="H635" s="14"/>
    </row>
    <row r="636" spans="3:8" x14ac:dyDescent="0.2">
      <c r="C636" s="14"/>
      <c r="D636" s="14"/>
      <c r="E636" s="12"/>
      <c r="H636" s="14"/>
    </row>
    <row r="637" spans="3:8" x14ac:dyDescent="0.2">
      <c r="C637" s="14"/>
      <c r="D637" s="14"/>
      <c r="E637" s="12"/>
      <c r="H637" s="14"/>
    </row>
    <row r="638" spans="3:8" x14ac:dyDescent="0.2">
      <c r="C638" s="14"/>
      <c r="D638" s="14"/>
      <c r="E638" s="12"/>
      <c r="H638" s="14"/>
    </row>
    <row r="639" spans="3:8" x14ac:dyDescent="0.2">
      <c r="C639" s="14"/>
      <c r="D639" s="14"/>
      <c r="E639" s="12"/>
      <c r="H639" s="14"/>
    </row>
    <row r="640" spans="3:8" x14ac:dyDescent="0.2">
      <c r="C640" s="14"/>
      <c r="D640" s="15"/>
      <c r="E640" s="12"/>
      <c r="H640" s="14"/>
    </row>
    <row r="641" spans="3:8" x14ac:dyDescent="0.2">
      <c r="C641" s="14"/>
      <c r="D641" s="14"/>
      <c r="E641" s="12"/>
      <c r="H641" s="14"/>
    </row>
    <row r="642" spans="3:8" x14ac:dyDescent="0.2">
      <c r="C642" s="14"/>
      <c r="D642" s="14"/>
      <c r="E642" s="12"/>
      <c r="H642" s="14"/>
    </row>
    <row r="643" spans="3:8" x14ac:dyDescent="0.2">
      <c r="C643" s="14"/>
      <c r="D643" s="14"/>
      <c r="E643" s="12"/>
      <c r="H643" s="14"/>
    </row>
    <row r="644" spans="3:8" x14ac:dyDescent="0.2">
      <c r="C644" s="14"/>
      <c r="D644" s="14"/>
      <c r="E644" s="12"/>
      <c r="H644" s="14"/>
    </row>
    <row r="645" spans="3:8" x14ac:dyDescent="0.2">
      <c r="C645" s="14"/>
      <c r="D645" s="14"/>
      <c r="E645" s="12"/>
      <c r="H645" s="14"/>
    </row>
    <row r="646" spans="3:8" x14ac:dyDescent="0.2">
      <c r="C646" s="14"/>
      <c r="D646" s="14"/>
      <c r="E646" s="12"/>
      <c r="H646" s="14"/>
    </row>
    <row r="647" spans="3:8" x14ac:dyDescent="0.2">
      <c r="C647" s="14"/>
      <c r="D647" s="14"/>
      <c r="E647" s="12"/>
      <c r="H647" s="14"/>
    </row>
    <row r="648" spans="3:8" x14ac:dyDescent="0.2">
      <c r="C648" s="14"/>
      <c r="D648" s="14"/>
      <c r="E648" s="12"/>
      <c r="H648" s="14"/>
    </row>
    <row r="649" spans="3:8" x14ac:dyDescent="0.2">
      <c r="C649" s="14"/>
      <c r="D649" s="14"/>
      <c r="E649" s="12"/>
      <c r="H649" s="14"/>
    </row>
    <row r="650" spans="3:8" x14ac:dyDescent="0.2">
      <c r="C650" s="14"/>
      <c r="D650" s="14"/>
      <c r="E650" s="12"/>
      <c r="H650" s="14"/>
    </row>
    <row r="651" spans="3:8" x14ac:dyDescent="0.2">
      <c r="C651" s="14"/>
      <c r="D651" s="14"/>
      <c r="E651" s="12"/>
      <c r="H651" s="14"/>
    </row>
    <row r="652" spans="3:8" x14ac:dyDescent="0.2">
      <c r="C652" s="14"/>
      <c r="D652" s="14"/>
      <c r="E652" s="12"/>
      <c r="H652" s="14"/>
    </row>
    <row r="653" spans="3:8" x14ac:dyDescent="0.2">
      <c r="C653" s="14"/>
      <c r="D653" s="14"/>
      <c r="E653" s="12"/>
      <c r="H653" s="14"/>
    </row>
    <row r="654" spans="3:8" x14ac:dyDescent="0.2">
      <c r="C654" s="14"/>
      <c r="D654" s="14"/>
      <c r="E654" s="12"/>
      <c r="H654" s="14"/>
    </row>
    <row r="655" spans="3:8" x14ac:dyDescent="0.2">
      <c r="C655" s="14"/>
      <c r="D655" s="14"/>
      <c r="E655" s="12"/>
      <c r="H655" s="14"/>
    </row>
    <row r="656" spans="3:8" x14ac:dyDescent="0.2">
      <c r="C656" s="14"/>
      <c r="D656" s="14"/>
      <c r="E656" s="12"/>
      <c r="H656" s="14"/>
    </row>
    <row r="657" spans="3:8" x14ac:dyDescent="0.2">
      <c r="C657" s="14"/>
      <c r="D657" s="14"/>
      <c r="E657" s="12"/>
      <c r="H657" s="14"/>
    </row>
    <row r="658" spans="3:8" x14ac:dyDescent="0.2">
      <c r="C658" s="14"/>
      <c r="D658" s="14"/>
      <c r="E658" s="12"/>
      <c r="H658" s="14"/>
    </row>
    <row r="659" spans="3:8" x14ac:dyDescent="0.2">
      <c r="C659" s="14"/>
      <c r="D659" s="14"/>
      <c r="E659" s="12"/>
      <c r="H659" s="14"/>
    </row>
    <row r="660" spans="3:8" x14ac:dyDescent="0.2">
      <c r="C660" s="14"/>
      <c r="D660" s="14"/>
      <c r="E660" s="12"/>
      <c r="H660" s="14"/>
    </row>
    <row r="661" spans="3:8" x14ac:dyDescent="0.2">
      <c r="C661" s="14"/>
      <c r="D661" s="14"/>
      <c r="E661" s="12"/>
      <c r="H661" s="14"/>
    </row>
    <row r="662" spans="3:8" x14ac:dyDescent="0.2">
      <c r="C662" s="14"/>
      <c r="D662" s="14"/>
      <c r="E662" s="12"/>
      <c r="H662" s="14"/>
    </row>
    <row r="663" spans="3:8" x14ac:dyDescent="0.2">
      <c r="C663" s="14"/>
      <c r="D663" s="14"/>
      <c r="E663" s="12"/>
      <c r="H663" s="14"/>
    </row>
    <row r="664" spans="3:8" x14ac:dyDescent="0.2">
      <c r="C664" s="14"/>
      <c r="D664" s="14"/>
      <c r="E664" s="12"/>
      <c r="H664" s="14"/>
    </row>
    <row r="665" spans="3:8" x14ac:dyDescent="0.2">
      <c r="C665" s="14"/>
      <c r="D665" s="14"/>
      <c r="E665" s="12"/>
      <c r="H665" s="14"/>
    </row>
    <row r="666" spans="3:8" x14ac:dyDescent="0.2">
      <c r="C666" s="14"/>
      <c r="D666" s="14"/>
      <c r="E666" s="12"/>
      <c r="H666" s="14"/>
    </row>
    <row r="667" spans="3:8" x14ac:dyDescent="0.2">
      <c r="C667" s="14"/>
      <c r="D667" s="14"/>
      <c r="E667" s="12"/>
      <c r="H667" s="14"/>
    </row>
    <row r="668" spans="3:8" x14ac:dyDescent="0.2">
      <c r="C668" s="14"/>
      <c r="D668" s="14"/>
      <c r="E668" s="12"/>
      <c r="H668" s="14"/>
    </row>
    <row r="669" spans="3:8" x14ac:dyDescent="0.2">
      <c r="C669" s="14"/>
      <c r="D669" s="14"/>
      <c r="E669" s="12"/>
      <c r="H669" s="14"/>
    </row>
    <row r="670" spans="3:8" x14ac:dyDescent="0.2">
      <c r="C670" s="14"/>
      <c r="D670" s="14"/>
      <c r="E670" s="12"/>
      <c r="H670" s="14"/>
    </row>
    <row r="671" spans="3:8" x14ac:dyDescent="0.2">
      <c r="C671" s="14"/>
      <c r="D671" s="14"/>
      <c r="E671" s="12"/>
      <c r="H671" s="14"/>
    </row>
    <row r="672" spans="3:8" x14ac:dyDescent="0.2">
      <c r="C672" s="14"/>
      <c r="D672" s="14"/>
      <c r="E672" s="12"/>
      <c r="H672" s="14"/>
    </row>
    <row r="673" spans="3:8" x14ac:dyDescent="0.2">
      <c r="C673" s="14"/>
      <c r="D673" s="14"/>
      <c r="E673" s="12"/>
      <c r="H673" s="14"/>
    </row>
    <row r="674" spans="3:8" x14ac:dyDescent="0.2">
      <c r="C674" s="14"/>
      <c r="D674" s="14"/>
      <c r="E674" s="12"/>
      <c r="H674" s="14"/>
    </row>
    <row r="675" spans="3:8" x14ac:dyDescent="0.2">
      <c r="C675" s="14"/>
      <c r="D675" s="14"/>
      <c r="E675" s="12"/>
      <c r="H675" s="14"/>
    </row>
    <row r="676" spans="3:8" x14ac:dyDescent="0.2">
      <c r="C676" s="14"/>
      <c r="D676" s="14"/>
      <c r="E676" s="12"/>
      <c r="H676" s="14"/>
    </row>
    <row r="677" spans="3:8" x14ac:dyDescent="0.2">
      <c r="C677" s="14"/>
      <c r="D677" s="14"/>
      <c r="E677" s="12"/>
      <c r="H677" s="14"/>
    </row>
    <row r="678" spans="3:8" x14ac:dyDescent="0.2">
      <c r="C678" s="14"/>
      <c r="D678" s="14"/>
      <c r="E678" s="12"/>
      <c r="H678" s="14"/>
    </row>
    <row r="679" spans="3:8" x14ac:dyDescent="0.2">
      <c r="C679" s="14"/>
      <c r="D679" s="14"/>
      <c r="E679" s="12"/>
      <c r="H679" s="14"/>
    </row>
    <row r="680" spans="3:8" x14ac:dyDescent="0.2">
      <c r="C680" s="14"/>
      <c r="D680" s="14"/>
      <c r="E680" s="12"/>
      <c r="H680" s="14"/>
    </row>
    <row r="681" spans="3:8" x14ac:dyDescent="0.2">
      <c r="C681" s="14"/>
      <c r="D681" s="14"/>
      <c r="E681" s="12"/>
      <c r="H681" s="14"/>
    </row>
    <row r="682" spans="3:8" x14ac:dyDescent="0.2">
      <c r="C682" s="14"/>
      <c r="D682" s="14"/>
      <c r="E682" s="12"/>
      <c r="H682" s="14"/>
    </row>
    <row r="683" spans="3:8" x14ac:dyDescent="0.2">
      <c r="C683" s="14"/>
      <c r="D683" s="14"/>
      <c r="E683" s="12"/>
      <c r="H683" s="14"/>
    </row>
    <row r="684" spans="3:8" x14ac:dyDescent="0.2">
      <c r="C684" s="14"/>
      <c r="D684" s="14"/>
      <c r="E684" s="12"/>
      <c r="H684" s="14"/>
    </row>
    <row r="685" spans="3:8" x14ac:dyDescent="0.2">
      <c r="C685" s="14"/>
      <c r="D685" s="14"/>
      <c r="E685" s="12"/>
      <c r="H685" s="14"/>
    </row>
    <row r="686" spans="3:8" x14ac:dyDescent="0.2">
      <c r="C686" s="14"/>
      <c r="D686" s="14"/>
      <c r="E686" s="12"/>
      <c r="H686" s="14"/>
    </row>
    <row r="687" spans="3:8" x14ac:dyDescent="0.2">
      <c r="C687" s="14"/>
      <c r="D687" s="14"/>
      <c r="E687" s="12"/>
      <c r="H687" s="14"/>
    </row>
    <row r="688" spans="3:8" x14ac:dyDescent="0.2">
      <c r="C688" s="14"/>
      <c r="D688" s="14"/>
      <c r="E688" s="12"/>
      <c r="H688" s="14"/>
    </row>
    <row r="689" spans="3:8" x14ac:dyDescent="0.2">
      <c r="C689" s="14"/>
      <c r="D689" s="14"/>
      <c r="E689" s="12"/>
      <c r="H689" s="14"/>
    </row>
    <row r="690" spans="3:8" x14ac:dyDescent="0.2">
      <c r="C690" s="14"/>
      <c r="D690" s="14"/>
      <c r="E690" s="12"/>
      <c r="H690" s="14"/>
    </row>
    <row r="691" spans="3:8" x14ac:dyDescent="0.2">
      <c r="C691" s="14"/>
      <c r="D691" s="14"/>
      <c r="E691" s="12"/>
      <c r="H691" s="14"/>
    </row>
    <row r="692" spans="3:8" x14ac:dyDescent="0.2">
      <c r="C692" s="14"/>
      <c r="D692" s="14"/>
      <c r="E692" s="12"/>
      <c r="H692" s="14"/>
    </row>
    <row r="693" spans="3:8" x14ac:dyDescent="0.2">
      <c r="C693" s="14"/>
      <c r="D693" s="14"/>
      <c r="E693" s="12"/>
      <c r="H693" s="14"/>
    </row>
    <row r="694" spans="3:8" x14ac:dyDescent="0.2">
      <c r="C694" s="14"/>
      <c r="D694" s="14"/>
      <c r="E694" s="12"/>
      <c r="H694" s="14"/>
    </row>
    <row r="695" spans="3:8" x14ac:dyDescent="0.2">
      <c r="C695" s="14"/>
      <c r="D695" s="14"/>
      <c r="E695" s="12"/>
      <c r="H695" s="14"/>
    </row>
    <row r="696" spans="3:8" x14ac:dyDescent="0.2">
      <c r="C696" s="14"/>
      <c r="D696" s="14"/>
      <c r="E696" s="12"/>
      <c r="H696" s="14"/>
    </row>
    <row r="697" spans="3:8" x14ac:dyDescent="0.2">
      <c r="C697" s="14"/>
      <c r="D697" s="14"/>
      <c r="E697" s="12"/>
      <c r="H697" s="14"/>
    </row>
    <row r="698" spans="3:8" x14ac:dyDescent="0.2">
      <c r="C698" s="14"/>
      <c r="D698" s="14"/>
      <c r="E698" s="12"/>
      <c r="H698" s="14"/>
    </row>
    <row r="699" spans="3:8" x14ac:dyDescent="0.2">
      <c r="C699" s="14"/>
      <c r="D699" s="14"/>
      <c r="E699" s="12"/>
      <c r="H699" s="14"/>
    </row>
    <row r="700" spans="3:8" x14ac:dyDescent="0.2">
      <c r="C700" s="14"/>
      <c r="D700" s="14"/>
      <c r="E700" s="12"/>
      <c r="H700" s="14"/>
    </row>
    <row r="701" spans="3:8" x14ac:dyDescent="0.2">
      <c r="C701" s="14"/>
      <c r="D701" s="14"/>
      <c r="E701" s="12"/>
      <c r="H701" s="14"/>
    </row>
    <row r="702" spans="3:8" x14ac:dyDescent="0.2">
      <c r="C702" s="14"/>
      <c r="D702" s="14"/>
      <c r="E702" s="12"/>
      <c r="H702" s="14"/>
    </row>
    <row r="703" spans="3:8" x14ac:dyDescent="0.2">
      <c r="C703" s="14"/>
      <c r="D703" s="14"/>
      <c r="E703" s="12"/>
      <c r="H703" s="14"/>
    </row>
    <row r="704" spans="3:8" x14ac:dyDescent="0.2">
      <c r="C704" s="14"/>
      <c r="D704" s="14"/>
      <c r="E704" s="12"/>
      <c r="H704" s="14"/>
    </row>
    <row r="705" spans="3:8" x14ac:dyDescent="0.2">
      <c r="C705" s="14"/>
      <c r="D705" s="14"/>
      <c r="E705" s="12"/>
      <c r="H705" s="14"/>
    </row>
    <row r="706" spans="3:8" x14ac:dyDescent="0.2">
      <c r="C706" s="14"/>
      <c r="D706" s="14"/>
      <c r="E706" s="12"/>
      <c r="H706" s="14"/>
    </row>
    <row r="707" spans="3:8" x14ac:dyDescent="0.2">
      <c r="C707" s="14"/>
      <c r="D707" s="14"/>
      <c r="E707" s="12"/>
      <c r="H707" s="14"/>
    </row>
    <row r="708" spans="3:8" x14ac:dyDescent="0.2">
      <c r="C708" s="14"/>
      <c r="D708" s="14"/>
      <c r="E708" s="12"/>
      <c r="H708" s="14"/>
    </row>
    <row r="709" spans="3:8" x14ac:dyDescent="0.2">
      <c r="C709" s="14"/>
      <c r="D709" s="14"/>
      <c r="E709" s="12"/>
      <c r="H709" s="14"/>
    </row>
    <row r="710" spans="3:8" x14ac:dyDescent="0.2">
      <c r="C710" s="14"/>
      <c r="D710" s="14"/>
      <c r="E710" s="12"/>
      <c r="H710" s="14"/>
    </row>
    <row r="711" spans="3:8" x14ac:dyDescent="0.2">
      <c r="C711" s="14"/>
      <c r="D711" s="14"/>
      <c r="E711" s="12"/>
      <c r="H711" s="14"/>
    </row>
    <row r="712" spans="3:8" x14ac:dyDescent="0.2">
      <c r="C712" s="14"/>
      <c r="D712" s="14"/>
      <c r="E712" s="12"/>
      <c r="H712" s="14"/>
    </row>
    <row r="713" spans="3:8" x14ac:dyDescent="0.2">
      <c r="C713" s="14"/>
      <c r="D713" s="14"/>
      <c r="E713" s="12"/>
      <c r="H713" s="14"/>
    </row>
    <row r="714" spans="3:8" x14ac:dyDescent="0.2">
      <c r="C714" s="14"/>
      <c r="D714" s="14"/>
      <c r="E714" s="12"/>
      <c r="H714" s="14"/>
    </row>
    <row r="715" spans="3:8" x14ac:dyDescent="0.2">
      <c r="C715" s="14"/>
      <c r="D715" s="14"/>
      <c r="E715" s="12"/>
      <c r="H715" s="14"/>
    </row>
    <row r="716" spans="3:8" x14ac:dyDescent="0.2">
      <c r="C716" s="14"/>
      <c r="D716" s="14"/>
      <c r="E716" s="12"/>
      <c r="H716" s="14"/>
    </row>
    <row r="717" spans="3:8" x14ac:dyDescent="0.2">
      <c r="C717" s="14"/>
      <c r="D717" s="14"/>
      <c r="E717" s="12"/>
      <c r="H717" s="14"/>
    </row>
    <row r="718" spans="3:8" x14ac:dyDescent="0.2">
      <c r="C718" s="14"/>
      <c r="D718" s="14"/>
      <c r="E718" s="12"/>
      <c r="H718" s="14"/>
    </row>
    <row r="719" spans="3:8" x14ac:dyDescent="0.2">
      <c r="C719" s="14"/>
      <c r="D719" s="14"/>
      <c r="E719" s="12"/>
      <c r="H719" s="14"/>
    </row>
    <row r="720" spans="3:8" x14ac:dyDescent="0.2">
      <c r="C720" s="14"/>
      <c r="D720" s="14"/>
      <c r="E720" s="12"/>
      <c r="H720" s="14"/>
    </row>
    <row r="721" spans="3:8" x14ac:dyDescent="0.2">
      <c r="C721" s="14"/>
      <c r="D721" s="14"/>
      <c r="E721" s="12"/>
      <c r="H721" s="14"/>
    </row>
    <row r="722" spans="3:8" x14ac:dyDescent="0.2">
      <c r="C722" s="14"/>
      <c r="D722" s="14"/>
      <c r="E722" s="12"/>
      <c r="H722" s="14"/>
    </row>
    <row r="723" spans="3:8" x14ac:dyDescent="0.2">
      <c r="C723" s="14"/>
      <c r="D723" s="14"/>
      <c r="E723" s="12"/>
      <c r="H723" s="14"/>
    </row>
    <row r="724" spans="3:8" x14ac:dyDescent="0.2">
      <c r="C724" s="14"/>
      <c r="D724" s="14"/>
      <c r="E724" s="12"/>
      <c r="H724" s="14"/>
    </row>
    <row r="725" spans="3:8" x14ac:dyDescent="0.2">
      <c r="C725" s="14"/>
      <c r="D725" s="14"/>
      <c r="E725" s="12"/>
      <c r="H725" s="14"/>
    </row>
    <row r="726" spans="3:8" x14ac:dyDescent="0.2">
      <c r="C726" s="14"/>
      <c r="D726" s="14"/>
      <c r="E726" s="12"/>
      <c r="H726" s="14"/>
    </row>
    <row r="727" spans="3:8" x14ac:dyDescent="0.2">
      <c r="C727" s="14"/>
      <c r="D727" s="14"/>
      <c r="E727" s="12"/>
      <c r="H727" s="14"/>
    </row>
    <row r="728" spans="3:8" x14ac:dyDescent="0.2">
      <c r="C728" s="14"/>
      <c r="D728" s="14"/>
      <c r="E728" s="12"/>
      <c r="H728" s="14"/>
    </row>
    <row r="729" spans="3:8" x14ac:dyDescent="0.2">
      <c r="C729" s="14"/>
      <c r="D729" s="14"/>
      <c r="E729" s="12"/>
      <c r="H729" s="14"/>
    </row>
    <row r="730" spans="3:8" x14ac:dyDescent="0.2">
      <c r="C730" s="14"/>
      <c r="D730" s="14"/>
      <c r="E730" s="12"/>
      <c r="H730" s="14"/>
    </row>
    <row r="731" spans="3:8" x14ac:dyDescent="0.2">
      <c r="C731" s="14"/>
      <c r="D731" s="14"/>
      <c r="E731" s="12"/>
      <c r="H731" s="14"/>
    </row>
    <row r="732" spans="3:8" x14ac:dyDescent="0.2">
      <c r="C732" s="14"/>
      <c r="D732" s="14"/>
      <c r="E732" s="12"/>
      <c r="H732" s="14"/>
    </row>
    <row r="733" spans="3:8" x14ac:dyDescent="0.2">
      <c r="C733" s="14"/>
      <c r="D733" s="14"/>
      <c r="E733" s="12"/>
      <c r="H733" s="14"/>
    </row>
    <row r="734" spans="3:8" x14ac:dyDescent="0.2">
      <c r="C734" s="14"/>
      <c r="D734" s="14"/>
      <c r="E734" s="12"/>
      <c r="H734" s="14"/>
    </row>
    <row r="735" spans="3:8" x14ac:dyDescent="0.2">
      <c r="C735" s="14"/>
      <c r="D735" s="14"/>
      <c r="E735" s="12"/>
      <c r="H735" s="14"/>
    </row>
    <row r="736" spans="3:8" x14ac:dyDescent="0.2">
      <c r="C736" s="14"/>
      <c r="D736" s="14"/>
      <c r="E736" s="12"/>
      <c r="H736" s="14"/>
    </row>
    <row r="737" spans="3:8" x14ac:dyDescent="0.2">
      <c r="C737" s="14"/>
      <c r="D737" s="14"/>
      <c r="E737" s="12"/>
      <c r="H737" s="14"/>
    </row>
    <row r="738" spans="3:8" x14ac:dyDescent="0.2">
      <c r="C738" s="14"/>
      <c r="D738" s="14"/>
      <c r="E738" s="12"/>
      <c r="H738" s="14"/>
    </row>
    <row r="739" spans="3:8" x14ac:dyDescent="0.2">
      <c r="C739" s="14"/>
      <c r="D739" s="14"/>
      <c r="E739" s="12"/>
      <c r="H739" s="14"/>
    </row>
    <row r="740" spans="3:8" x14ac:dyDescent="0.2">
      <c r="C740" s="14"/>
      <c r="D740" s="14"/>
      <c r="E740" s="12"/>
      <c r="H740" s="14"/>
    </row>
    <row r="741" spans="3:8" x14ac:dyDescent="0.2">
      <c r="C741" s="14"/>
      <c r="D741" s="14"/>
      <c r="E741" s="12"/>
      <c r="H741" s="14"/>
    </row>
    <row r="742" spans="3:8" x14ac:dyDescent="0.2">
      <c r="C742" s="14"/>
      <c r="D742" s="14"/>
      <c r="E742" s="12"/>
      <c r="H742" s="14"/>
    </row>
    <row r="743" spans="3:8" x14ac:dyDescent="0.2">
      <c r="C743" s="14"/>
      <c r="D743" s="14"/>
      <c r="E743" s="12"/>
      <c r="H743" s="14"/>
    </row>
    <row r="744" spans="3:8" x14ac:dyDescent="0.2">
      <c r="C744" s="14"/>
      <c r="D744" s="14"/>
      <c r="E744" s="12"/>
      <c r="H744" s="14"/>
    </row>
    <row r="745" spans="3:8" x14ac:dyDescent="0.2">
      <c r="C745" s="14"/>
      <c r="D745" s="14"/>
      <c r="E745" s="12"/>
      <c r="H745" s="14"/>
    </row>
    <row r="746" spans="3:8" x14ac:dyDescent="0.2">
      <c r="C746" s="14"/>
      <c r="D746" s="14"/>
      <c r="E746" s="12"/>
      <c r="H746" s="14"/>
    </row>
    <row r="747" spans="3:8" x14ac:dyDescent="0.2">
      <c r="C747" s="14"/>
      <c r="D747" s="14"/>
      <c r="E747" s="12"/>
      <c r="H747" s="14"/>
    </row>
    <row r="748" spans="3:8" x14ac:dyDescent="0.2">
      <c r="C748" s="14"/>
      <c r="D748" s="14"/>
      <c r="E748" s="12"/>
      <c r="H748" s="14"/>
    </row>
    <row r="749" spans="3:8" x14ac:dyDescent="0.2">
      <c r="C749" s="14"/>
      <c r="D749" s="14"/>
      <c r="E749" s="12"/>
      <c r="H749" s="14"/>
    </row>
    <row r="750" spans="3:8" x14ac:dyDescent="0.2">
      <c r="C750" s="14"/>
      <c r="D750" s="14"/>
      <c r="E750" s="12"/>
      <c r="H750" s="14"/>
    </row>
    <row r="751" spans="3:8" x14ac:dyDescent="0.2">
      <c r="C751" s="14"/>
      <c r="D751" s="14"/>
      <c r="E751" s="12"/>
      <c r="H751" s="14"/>
    </row>
    <row r="752" spans="3:8" x14ac:dyDescent="0.2">
      <c r="C752" s="14"/>
      <c r="D752" s="14"/>
      <c r="E752" s="12"/>
      <c r="H752" s="14"/>
    </row>
    <row r="753" spans="3:8" x14ac:dyDescent="0.2">
      <c r="C753" s="14"/>
      <c r="D753" s="14"/>
      <c r="E753" s="12"/>
      <c r="H753" s="14"/>
    </row>
    <row r="754" spans="3:8" x14ac:dyDescent="0.2">
      <c r="C754" s="14"/>
      <c r="D754" s="14"/>
      <c r="E754" s="12"/>
      <c r="H754" s="14"/>
    </row>
    <row r="755" spans="3:8" x14ac:dyDescent="0.2">
      <c r="C755" s="14"/>
      <c r="D755" s="14"/>
      <c r="E755" s="12"/>
      <c r="H755" s="14"/>
    </row>
    <row r="756" spans="3:8" x14ac:dyDescent="0.2">
      <c r="C756" s="14"/>
      <c r="D756" s="14"/>
      <c r="E756" s="12"/>
      <c r="H756" s="14"/>
    </row>
    <row r="757" spans="3:8" x14ac:dyDescent="0.2">
      <c r="C757" s="14"/>
      <c r="D757" s="14"/>
      <c r="E757" s="12"/>
      <c r="H757" s="14"/>
    </row>
    <row r="758" spans="3:8" x14ac:dyDescent="0.2">
      <c r="C758" s="14"/>
      <c r="D758" s="14"/>
      <c r="E758" s="12"/>
      <c r="H758" s="14"/>
    </row>
    <row r="759" spans="3:8" x14ac:dyDescent="0.2">
      <c r="C759" s="14"/>
      <c r="D759" s="14"/>
      <c r="E759" s="12"/>
      <c r="H759" s="14"/>
    </row>
    <row r="760" spans="3:8" x14ac:dyDescent="0.2">
      <c r="C760" s="14"/>
      <c r="D760" s="14"/>
      <c r="E760" s="12"/>
      <c r="H760" s="14"/>
    </row>
    <row r="761" spans="3:8" x14ac:dyDescent="0.2">
      <c r="C761" s="14"/>
      <c r="D761" s="14"/>
      <c r="E761" s="12"/>
      <c r="H761" s="14"/>
    </row>
    <row r="762" spans="3:8" x14ac:dyDescent="0.2">
      <c r="C762" s="14"/>
      <c r="D762" s="14"/>
      <c r="E762" s="12"/>
      <c r="H762" s="14"/>
    </row>
    <row r="763" spans="3:8" x14ac:dyDescent="0.2">
      <c r="C763" s="14"/>
      <c r="D763" s="14"/>
      <c r="E763" s="12"/>
      <c r="H763" s="14"/>
    </row>
    <row r="764" spans="3:8" x14ac:dyDescent="0.2">
      <c r="C764" s="14"/>
      <c r="D764" s="14"/>
      <c r="E764" s="12"/>
      <c r="H764" s="14"/>
    </row>
    <row r="765" spans="3:8" x14ac:dyDescent="0.2">
      <c r="C765" s="14"/>
      <c r="D765" s="14"/>
      <c r="E765" s="12"/>
      <c r="H765" s="14"/>
    </row>
    <row r="766" spans="3:8" x14ac:dyDescent="0.2">
      <c r="C766" s="14"/>
      <c r="D766" s="14"/>
      <c r="E766" s="12"/>
      <c r="H766" s="14"/>
    </row>
    <row r="767" spans="3:8" x14ac:dyDescent="0.2">
      <c r="C767" s="14"/>
      <c r="D767" s="14"/>
      <c r="E767" s="12"/>
      <c r="H767" s="14"/>
    </row>
    <row r="768" spans="3:8" x14ac:dyDescent="0.2">
      <c r="C768" s="14"/>
      <c r="D768" s="14"/>
      <c r="E768" s="12"/>
      <c r="H768" s="14"/>
    </row>
    <row r="769" spans="3:8" x14ac:dyDescent="0.2">
      <c r="C769" s="14"/>
      <c r="D769" s="14"/>
      <c r="E769" s="12"/>
      <c r="H769" s="14"/>
    </row>
    <row r="770" spans="3:8" x14ac:dyDescent="0.2">
      <c r="C770" s="14"/>
      <c r="D770" s="14"/>
      <c r="E770" s="12"/>
      <c r="H770" s="14"/>
    </row>
    <row r="771" spans="3:8" x14ac:dyDescent="0.2">
      <c r="C771" s="14"/>
      <c r="D771" s="14"/>
      <c r="E771" s="12"/>
      <c r="H771" s="14"/>
    </row>
    <row r="772" spans="3:8" x14ac:dyDescent="0.2">
      <c r="C772" s="14"/>
      <c r="D772" s="14"/>
      <c r="E772" s="12"/>
      <c r="H772" s="14"/>
    </row>
    <row r="773" spans="3:8" x14ac:dyDescent="0.2">
      <c r="C773" s="14"/>
      <c r="D773" s="14"/>
      <c r="E773" s="12"/>
      <c r="H773" s="14"/>
    </row>
    <row r="774" spans="3:8" x14ac:dyDescent="0.2">
      <c r="C774" s="14"/>
      <c r="D774" s="14"/>
      <c r="E774" s="12"/>
      <c r="H774" s="14"/>
    </row>
    <row r="775" spans="3:8" x14ac:dyDescent="0.2">
      <c r="C775" s="14"/>
      <c r="D775" s="14"/>
      <c r="E775" s="12"/>
      <c r="H775" s="14"/>
    </row>
    <row r="776" spans="3:8" x14ac:dyDescent="0.2">
      <c r="C776" s="14"/>
      <c r="D776" s="14"/>
      <c r="E776" s="12"/>
      <c r="H776" s="14"/>
    </row>
    <row r="777" spans="3:8" x14ac:dyDescent="0.2">
      <c r="C777" s="14"/>
      <c r="D777" s="14"/>
      <c r="E777" s="12"/>
      <c r="H777" s="14"/>
    </row>
    <row r="778" spans="3:8" x14ac:dyDescent="0.2">
      <c r="C778" s="14"/>
      <c r="D778" s="14"/>
      <c r="E778" s="12"/>
      <c r="H778" s="14"/>
    </row>
    <row r="779" spans="3:8" x14ac:dyDescent="0.2">
      <c r="C779" s="14"/>
      <c r="D779" s="14"/>
      <c r="E779" s="12"/>
      <c r="H779" s="14"/>
    </row>
    <row r="780" spans="3:8" x14ac:dyDescent="0.2">
      <c r="C780" s="14"/>
      <c r="D780" s="14"/>
      <c r="E780" s="12"/>
      <c r="H780" s="14"/>
    </row>
    <row r="781" spans="3:8" x14ac:dyDescent="0.2">
      <c r="C781" s="14"/>
      <c r="D781" s="14"/>
      <c r="E781" s="12"/>
      <c r="H781" s="14"/>
    </row>
    <row r="782" spans="3:8" x14ac:dyDescent="0.2">
      <c r="C782" s="14"/>
      <c r="D782" s="14"/>
      <c r="E782" s="12"/>
      <c r="H782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115200</v>
      </c>
      <c r="E4" s="26"/>
      <c r="F4" s="27"/>
    </row>
    <row r="5" spans="2:13" ht="12.75" customHeight="1" x14ac:dyDescent="0.2">
      <c r="B5" s="1" t="s">
        <v>2</v>
      </c>
      <c r="C5" s="2" t="b">
        <v>0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533.4000244140625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2024-12-23T22:34:32Z</dcterms:modified>
</cp:coreProperties>
</file>